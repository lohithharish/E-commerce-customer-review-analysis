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E-commerce Analytics" sheetId="2" state="visible" r:id="rId4"/>
    <sheet name="Summary Data" sheetId="3" state="visible" r:id="rId5"/>
    <sheet name="Methodology" sheetId="4" state="visible" r:id="rId6"/>
  </sheets>
  <definedNames>
    <definedName function="false" hidden="false" name="Slicer_platform1" vbProcedure="false">#N/A</definedName>
    <definedName function="false" hidden="false" name="Slicer_rating" vbProcedure="false">#N/A</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<sst xmlns="http://schemas.openxmlformats.org/spreadsheetml/2006/main" count="13928" uniqueCount="4682">
  <si>
    <t xml:space="preserve">E-commerce Customer Review Analytics — Blinkit vs Zepto vs JioMart</t>
  </si>
  <si>
    <t xml:space="preserve">Total Reviews</t>
  </si>
  <si>
    <t xml:space="preserve">Average Rating </t>
  </si>
  <si>
    <t xml:space="preserve">Highest Rated Platform</t>
  </si>
  <si>
    <t xml:space="preserve">Lowest Rated Platform</t>
  </si>
  <si>
    <t xml:space="preserve">Total Platforms Compared</t>
  </si>
  <si>
    <t xml:space="preserve">Percentage of reviews are positive (4 &amp; 5 stars)</t>
  </si>
  <si>
    <t xml:space="preserve">Percentage of reviews are negative (1 &amp; 2 stars)</t>
  </si>
  <si>
    <t xml:space="preserve">blinkit</t>
  </si>
  <si>
    <t xml:space="preserve">jiomart</t>
  </si>
  <si>
    <t xml:space="preserve">Note: This dataset is heavily skewed toward 1-star reviews (71.5% of all reviews), which pulls the average rating down. Treat the average rating as a reflection of this sample, not a literal market-wide satisfaction score. Sentiment (col E of raw data) was scored from review text using VADER, independent of the star rating given.</t>
  </si>
  <si>
    <t xml:space="preserve">rating</t>
  </si>
  <si>
    <t xml:space="preserve">date</t>
  </si>
  <si>
    <t xml:space="preserve">review</t>
  </si>
  <si>
    <t xml:space="preserve">platform</t>
  </si>
  <si>
    <t xml:space="preserve">sentiment</t>
  </si>
  <si>
    <t xml:space="preserve">month</t>
  </si>
  <si>
    <t xml:space="preserve">I was using it for long time, but have to stop using it because
                recently I got a used item and when I talked to support team
                they keep asking me for clearer image of product although the
                image was perfectly fine. They is no further option for help. I
                can't tolerate this kind of cheating and also the prices are
                also on higher side, compare to others.</t>
  </si>
  <si>
    <t xml:space="preserve">Positive</t>
  </si>
  <si>
    <t xml:space="preserve">Loving the fast deliveries and mostly they are great. There is
                no other quick delivery agent in my area so I can't compare. I
                would have given 4 star but 1 star is because of the frustration
                for whenever there is an issue, you would end up getting
                frustrated with the customer care. Not really "caring" for their
                customers. But anyway, I'm stuck with them since I'm have no
                option to switch to someone else.</t>
  </si>
  <si>
    <t xml:space="preserve">Negative</t>
  </si>
  <si>
    <t xml:space="preserve">The customer support is very disappointing. I recently bought
                some electronic products that arrived faulty. Iâ€™ve been trying
                to reach customer support, but my chat sessions keep getting
                disconnected with the message, "we are currently experiencing a
                high volume of queries." Initially, I thought it was a one-time
                issue, but after 3-4 attempts, I received the same response. I
                then checked on my other, less expensive orders and found that
                customer care was readily available. BE CAREFUL WITH THIS AP</t>
  </si>
  <si>
    <t xml:space="preserve">I've been using Blinkit for a while now, and it has become my
                go-to app for grocery shopping. The app is well-designed, easy
                to navigate, and offers a wide range of products. The best part?
                Super quick delivery, often within minutes! However, one area
                where Blinkit could take a leaf out of Swiggy's book is the
                delivery charges. While I appreciate the speed, the added
                delivery fee cn sometimes make small purchase option or a
                membership model like instamart would definitely elevate the
                experience</t>
  </si>
  <si>
    <t xml:space="preserve">Blinkit was my go to app and it was rare that it disappointed
                me,but today it has disappointed me on a large scale. I order
                items worth 340,the order was paid and after 20 mins they
                cancelled my order with 'items are out of stock' which was not
                earlier,the refund would be after 6 days and there is no room
                for complaint because they have closed the conversation ".
                Thankyou,blinkit,I would no further order from you again. Highly
                disappointed. Regards, Nivriti</t>
  </si>
  <si>
    <t xml:space="preserve">After my first order about six months before with Blinkit, now i
                have become a regular customer with them. The reason - very good
                quality products, good packing, well behaved delivery persons,
                punctual delivery and absolutely safe and quick transactions.
                Definately I would give 5/5 rating - recommend others to go with
                them. Thanks and good wishes.</t>
  </si>
  <si>
    <t xml:space="preserve">I had a terrible experience with Blinkit. I ordered a few items
                on Christmas and received one item less. I immediately raised
                the issue with Blinkit support, and they assured me it would be
                resolved within 24 hours. However, even after three days,
                thereâ€™s been no resolution. To make matters worse, they closed
                the ticket without resolving the issue, and now I canâ€™t raise
                the concern again as the 24-hour window has passed. Extremely
                disappointing serviceâ€”I would not recommend it to anyone.</t>
  </si>
  <si>
    <t xml:space="preserve">They have over priced items. The electronic items are always
                damaged, They charge a handling fees but the products delivered
                are not at all upto mark, they deliver Rotten and stale
                vegetables and fruits. I would never recommended buying
                groceries from this application. No support Executive is
                available for to report the issue.</t>
  </si>
  <si>
    <t xml:space="preserve">had cancell order but they just give you promo code instead of
                refund. On top of that they force you to use the entire amount
                in one go. we might not have laws in India to delt(not sure)
                such scenarios &amp; they seem to be exploiting the loopholes.
                Taking customers for granted, will definitely hit your business,
                better to mend your ways before it's too late.</t>
  </si>
  <si>
    <t xml:space="preserve">Sometimes they deliver stale products like eggs and breads.
                Sometimes they show you the free item added in your cart post
                doing payment they reflect free item not available. If they
                don't have such offers then why they are showing it on there app
                screen or it is just a way to be fool your customer.</t>
  </si>
  <si>
    <t xml:space="preserve">5/5 stars! Blinkit is my go-to app for last-minute grocery needs
                and more! Their prices are reasonable, and their delivery
                service is incredibly fast - truly living up to its name! It's
                been a huge convenience to be able to order what I need at the
                last minute. Highly recommend!</t>
  </si>
  <si>
    <t xml:space="preserve">Pathetic service as usual nothing has changed since they
                upgraded their service in areas, their customer support agents
                sound so robotic and unnecessary delays on order from the
                warehouse just nearby 1.5kms away, unnecessary charges and
                taxes, where does platform fee goes when their developers
                doesn't use common sense about scanning areas, updating proper
                ETA for order delivery and most importantly accuracy using
                Google Maps for route, Zomato Blinkit service is worst than
                their customer service</t>
  </si>
  <si>
    <t xml:space="preserve">The app keeps crashing. I have tried it on different devices. I
                have been using the app for more than an year but suddenly it
                has started crashing. The same thing is happening in all devices
                at my house. I think they have some software issue.</t>
  </si>
  <si>
    <t xml:space="preserve">Neutral</t>
  </si>
  <si>
    <t xml:space="preserve">I am fine with it being overpriced but problem is there is no
                way to return any product. This is really pathetic. Bigbasket
                has instant returns. But here to return a bad product you will
                have to go through hassle of chat with a bot and then with human
                and they will ultimately reject returns no matter how bad the
                product is. I will never order again. very bad experience.</t>
  </si>
  <si>
    <t xml:space="preserve">Great app everything is perfect. Blinkit doesn't deliver any bad
                stuff all fresh and original products at an affordable rates.
                Great step towards society many old or handicapped people can't
                go to market for household products now they will all be greatly
                benefitted. Keep up the Great work never con your customers by
                sending stale or expired products we trust you don't ever break
                it.</t>
  </si>
  <si>
    <t xml:space="preserve">No proper details on the application. I have placed so many
                orders but still they could not help with one of my order. Poor
                service. Wanted to return a item which is useless for me because
                I didn't have an idea about it and ordered. But they don't
                bother to talk also . Awful service. Deleting application. Will
                not place order from now onwards</t>
  </si>
  <si>
    <t xml:space="preserve">Had been using the app for sometime but the the experience is
                becoming worse. The platform fees have increased while the order
                takes half to 1 hr for delivery. This happened not once but
                multiple times.</t>
  </si>
  <si>
    <t xml:space="preserve">It was fantastic upto a certain time but then the cash on
                delivery option was not working it was a issue for me because as
                a student I don't use online payment apps so cash on delivery
                was my only option and then I tried to contact with the helpline
                tbh it was useless</t>
  </si>
  <si>
    <t xml:space="preserve">Very pathetic and frustrating experience with blinkit. They
                delivered rotten items with fungus which they refused to return
                and give a refund. Very horrible customer service. Wasted my
                entire morning in trying to return the items. Customer Care is
                unable to resolve even such a small petty issue. Their app
                doesn't have return option.</t>
  </si>
  <si>
    <t xml:space="preserve">I haven't used this app but i have heard about it. I installed
                it but the problem is that it's not available in my area and
                that's disappointing. I request blinkit to start it everywhere
                so everyone can use it as it's a very good app.Otherwise i
                totally thik that this app should get full rating............and
                do i have to share my location? Where?</t>
  </si>
  <si>
    <t xml:space="preserve">They have given coupon of Rs. 50 on first order. But it was not
                applied on billing. The payment from my wallet went so fast
                without showing billing details. I immediately tried to cancel
                it within few seconds but they refused cancellation saying your
                items are packed. It is rubbish. They are just making fool of
                public.</t>
  </si>
  <si>
    <t xml:space="preserve">How can you not let me cancel an order within 1 minute. This is
                not customer friendly at all. I use Blinkit almost every day.
                Today, when I wanted to cancel an erroneous order. Neither the
                App allows me. Not there is any customer care whom I can call to
                and amend it. For the very first time, I am really unhappy with
                your services. Hope you will provide a window for orders placed
                in error. Atleast 1 minute like your competitors.</t>
  </si>
  <si>
    <t xml:space="preserve">The worst customer service. I received a product with items
                missing. The first guy I talked to did nothing, the second said
                he'll refund the item but it's been 15 days and I still haven't
                gotten my refund. I had to email them to follow up . How can I
                trust this app to reliably send me the items I paid for, if they
                won't even check the items being sent, or assist properly in
                making the situation correct?</t>
  </si>
  <si>
    <t xml:space="preserve">Blinkit needs see this if you are illegible of getting gift it
                should by default add it to your cart. It has happened several
                times of missing the gift. Accepted that if a person has
                forgotten to add the gift they should provide it again. Rather
                than saying by their executive to have to purchase again.
                Sometimes we are in a hurry that we miss stuff. I guess the
                company knows it I am sure it happens with others also the
                company is taking advantage. This maybe lead to a soft scam.</t>
  </si>
  <si>
    <t xml:space="preserve">Delete this app ASAP if u don't want to waste your money
                Accidentally I clicked on check out and the order got placed and
                with in fraction of seconds I tried to cancel it... the app said
                ur order is packed. how on earth they can pack it in mili
                seconds. And then it promptly said cannot cancel the order.
                Tried to contact the coustomer care and couldn't get through. I
                guess they purposefully put such bugs in the app so that any
                accidental orders are converted into business. Good job on cheap
                trick</t>
  </si>
  <si>
    <t xml:space="preserve">Subject: Complaint Regarding Missing Items in Order Dear Blinkit
                Team, I recently placed an order for groceries and vegetables
                through your platform. Unfortunately, some items were marked as
                out of stock and were not delivered. Upon receiving the order, I
                noticed that certain items were missing, which was not initially
                communicated. I had to raise a complaint to address the issue
                and eventually received a refund. However, I believe this could
                have been avoided with better communication,thanks.</t>
  </si>
  <si>
    <t xml:space="preserve">I din't find this App useful. Most of the stuffs are overpriced,
                on top of that you pay handling charge, delivery charge and high
                demand surcharge. After all these they will take 25 minutes to
                deliver. Then why advertise Grocery in 10 minutes ? If you are
                taking a surcharge, then deliver in 10 mins, else don't charge
                extra. I feel this App is useful only on those days when I am
                too lazy and lethargic to not step out for 10 mins. Good bye
                Blinkit.</t>
  </si>
  <si>
    <t xml:space="preserve">This app doesn't give you option to share your issues. The
                chatbot has fixed issues and only those can be addressed. It
                doesn't give an opportunity to tell your issues with the order.
                In The name of gift packing, they are merely sending a carry bag
                and putting all the items in it rather than actually packing the
                product in gift form.</t>
  </si>
  <si>
    <t xml:space="preserve">I would have given 0 star rating if there was a option, one of
                the worst app ever, non sense app. When we place order it picks
                up some other location, it shows the same location for the
                customer but picks up different location for delivery guy, one
                of the worst experience ever had in blinkit. Not once it
                happened twice with me even after double checking the location
                before confirming the order, waste of time and money ðŸ‘ŽðŸ‘Ž Won't
                recommend to anyone</t>
  </si>
  <si>
    <t xml:space="preserve">Worst experience ever. I am new to this app. All was good with
                few initial orders. But when I ordered an Earbuds, I received
                damaged or fake product. The branded earbuds are discharging
                quickly. And there's no option to return. Or even raise a
                concern. I didn't even get any bill for the product bought. I
                can't even claim warranty from earbuds brand. My money is
                wasted. Or I should say stolen by Blinkit. I promise to never
                buy any thing from Blinkit ever again. Even grocery product.</t>
  </si>
  <si>
    <t xml:space="preserve">I actually disappointed with the service that there is no
                exchange policy (not talking about 1 or 2 days expired product
                s). For any items that has long expiry you should have exchange
                policy if we place it by mistake(my case Surf 3.21 Top load
                instead of front load). If this happen in a regular retail
                store, we could have easily exchanged it without any issue).
                Blinkit need to review it to improve customer experience.</t>
  </si>
  <si>
    <t xml:space="preserve">It does show items out of stock , only after adding it to the
                cart It shows out of stock. Also app crashes of there is sudden
                increase in price..when i go back ..i see its bit expensive
                now...it is frustrating and so..I switched to Zepto, It has a
                good interface and shows which are out of stock and user
                friendly and clean. If there is any item out of stock plz grey
                it out....instead of giving silly reasons..Also no option for
                return and refund if u get wrong or products in bad shape.</t>
  </si>
  <si>
    <t xml:space="preserve">Accidentally I clicked on check out and the order got placed and
                with in fraction of seconds I tried to cancel it .. the app said
                ur order is packed.. how on earth they can pack it in mili
                seconds. And then it promptly said cannot cancel the order.
                Tried to contact the coustomer care and couldn't get through. I
                guess they purposefully put such bugs in the app so that any
                accidental orders are converted into business. Good job on cheap
                trick blink it. No more using this tricky app.</t>
  </si>
  <si>
    <t xml:space="preserve">I understand that there's rain but it stopped raining for 5hours
                but it was still unavailable, it was my first time checking out
                the app after a friend recommended it, and i absolutely regret
                it. The worst thing is that they don't do cash on delivery any
                more apparently, just because some people don't have change
                doesn't mean everyone doesn't.</t>
  </si>
  <si>
    <t xml:space="preserve">The Blinkit application is just Outstanding. I am using this
                application since a long time and I can say that it's services
                are wonderful. Blinkit is the best 10 minutes delivery app. It's
                delivery speed is literally so fast. I get my every order
                delivered to me in 10-12 minutes. The Crazy deals &amp; heavy
                discounts makes the shopping experience like WOW. You must have
                Blinkit application in your smartphone ðŸ’–ðŸ¤©ðŸ¤©ðŸ’.</t>
  </si>
  <si>
    <t xml:space="preserve">Efficient and Reliable Service! I've been using Blinkit for a
                while now, and it has truly made my life easier. The app is
                user-friendly, with a wide range of products available.
                Deliveries are incredibly fast, and the items are always fresh
                and well-packed. Customer service is prompt and helpful whenever
                I've had queries. It's a go-to solution for quick grocery
                shopping, especially for last-minute needs. Highly recommended!</t>
  </si>
  <si>
    <t xml:space="preserve">People may find it easy to get and easy to handle to get
                products but they won't know about the cons or their other side
                where they bring other products if the real products are out of
                stock and if they want to refund they make their way in coupons
                so that they make sure you buy only from blinkit , I got the
                option of getting refund of money but they didn't let me choose
                that option so all I had to do is use the coupon</t>
  </si>
  <si>
    <t xml:space="preserve">My issue is not with the app, but with the delivery partners. I
                had ordered groceries only to have the delivery partner refuse
                to walk up the stairs to deliver the order. When I went down to
                get the order myself, I asked him why he wouldn't come and just
                hung up on me while I asked him to. He was not fit at all,
                created a scene in the neighborhood, vulgar words and body
                language, having no decency while talking to the elderly either!
                Please do better in hiring your delivery executives, Blinkit.</t>
  </si>
  <si>
    <t xml:space="preserve">Most third rate app. When I contact support, I cannot type my
                issue but need to choose only from their drop downs. Each time
                you are deducting a delivery tip though I have not given you any
                blanket authorisation. For an order less than â‚¹100, you have
                charged â‚¹ 175. I had ordered goods worth â‚¹215, but your
                oversmart app delivered goods with â‚¹75. Tata bye bye to this
                cheat of an organisation.</t>
  </si>
  <si>
    <t xml:space="preserve">The experience is amazing! There are no words to describe
                Blinkits quick and comfortable with simple delivery. Everything
                you need, in just minutes (like literally everything you can
                imagine!) Adding cherry to top, hassle free payments with cost
                effective products. Furthermore, special free treats for you on
                special day. Excellent, must have. Keep it up Blinkit team. â¤ï¸</t>
  </si>
  <si>
    <t xml:space="preserve">This is the second time with my bad experience as i had to order
                in emergency i did,but poor quality as all the veggies i ordered
                were damaged and they sent soo poor quality Veggies. When i
                complained them,they asked for replacement to which i agreed but
                when the ordered arrived(new ones) it was more poor quality
                which i showed the delivery executive as well. To which he
                helped me to send them again. So poor quality. I think they sell
                the veggies which are left over in markets at higher price.</t>
  </si>
  <si>
    <t xml:space="preserve">Worst app for buying any thing, they can sell duplicate product
                also and If you complain then also they just ignore you buy send
                severals or messages instant of providing help support. I had
                buyed a Sandisk 64 GB pendrive and after receiving it I had use
                it for the first time and the pendrive started heating and when
                ever I use it then it start heating and after some time it get
                eject from my system automatically...after I analyse the
                problem, I had contact to help support, but no support.</t>
  </si>
  <si>
    <t xml:space="preserve">Charging surge charges just to take extra money of our pockets.
                Such a cheap trick. First they'll offer everything for genuine
                delivery rates and then they'll charge extra for no reason and
                guess what that too delivering in 22 minutes. If I'm paying
                surge charges then why it's taking 22 min. Weren't you a 10
                minutes delivery app. Waiting for Amazon to disrupt the market.</t>
  </si>
  <si>
    <t xml:space="preserve">They show free gift for suppose 1000rs,but free gift do not add
                automatically we have to add it, add button does not show
                properly so that people forget to add, also raise their order
                for that much rupees and get nothing. Instead of my free
                christmas cake they have given me 2rs google card, and i thought
                i was getting a free cake. Very bad experience.</t>
  </si>
  <si>
    <t xml:space="preserve">Lots of surge pricing and poor customer support. Disappointed
                with the app. They say that this surge pricing motivates the
                delivery partner for additional efforts to bring me my order at
                the earliest in "less than ideal circumstances". Blinkit, in the
                spirit of transparency, can you prove to your customers that
                there indeed are "less than ideal circumstances"? The customer
                has the right to know. I feel that this charge is purposely used
                to milk additional amount from the customer.</t>
  </si>
  <si>
    <t xml:space="preserve">From sending stale / bad products to now surpassing their own
                record. Their delivery time is NOT in their control. The CC
                gives lame excuses. Your order if delivered at some wrong
                address, will never be compensated / delivered. They ask you to
                cancel instead and when you don't, eventually they will. The
                delivery partner changes &amp; is NOT updated on your App. They
                even differentiate between Metros and Growth Markets in the way
                their delivery staff and CC Reps behave. BAD experiences.</t>
  </si>
  <si>
    <t xml:space="preserve">Not resolving the GREVIENCE for the ordered products. I ordered
                two products which has replacement for one day and 24/7 customer
                support. I received a damaged one. I tried to reach out but they
                will only chat. I raised a request for replacement or refund the
                amount with full charges i.e including delivery charges. But
                they given refund without delivery charges and saying that they
                are unable to replace the product because of OPERATIONAL
                RESTRAINTS. And i am able to order again with charges.</t>
  </si>
  <si>
    <t xml:space="preserve">Always incomplete order is delivered. I had ordered for print
                service through blinkit for which i had to vomplete the entire
                order. Since there was a surcharge, so had to order for minimum
                700 and guess what the print documents were not delivered.
                Pathetic. Zepto and instamart are far better.</t>
  </si>
  <si>
    <t xml:space="preserve">I like this app. But now recent order is . Which I ordered a
                product. That product is missed and so I contacted to customer
                care.but no response. Make sure that check once your order like
                capturing images.and when u receive item check once of your
                order and then sent the delivery man back to his work</t>
  </si>
  <si>
    <t xml:space="preserve">Misleading promotions and marketing tactics are used by blinkit.
                They showed mea free item for order above 500. When I had cart
                below 500 it showed me add for example 200 more for free gift .
                I added 200 more. it showed unlocked free gift. It makes us
                think we are eligible and will receive free gift . However I
                didn't received any. They said on complaining that you need to
                add. Tho whole UI is made to somehow convey you are getting gift
                which in unlocked. misleading so that max people miss it.</t>
  </si>
  <si>
    <t xml:space="preserve">they folls customers, when I opened app they said you will free
                item for orders above 499. So I ordered in blinkit, they didn't
                provided free item and they changed words. And they denied to
                cancel order. They don't know that customer cant fool every
                time, now am just deleted their app and I never use it. I
                strongly recommend to my friends not use their app and don't get
                fool.</t>
  </si>
  <si>
    <t xml:space="preserve">It is not accepting even the locations near my house. I gave the
                location of Indore airport, but that too is not being accepted.
                Then I gave the location of Kalani Nagar, but it rejected that
                too. If you are not capable of delivering somewhere , then why
                did you make the app? I gave a location 10 kilometers away from
                my house, but that too is not being accepted. I tried a lot but
                the app did not start. Close this app.ðŸ˜¡ðŸ˜¡</t>
  </si>
  <si>
    <t xml:space="preserve">some products are not have actual information as well as
                misconduct to user. i mean to say i was purchased nu brand fast
                charging data cable 50W, when i bought and after using that data
                cable on my Vivo V23 Phone Adopter which have 44W that data
                cable is not supported fast charging...ðŸ˜• so my experience with
                Blinkit is not good...but yes blinkit support is very Good ðŸ‘ â¤ï¸</t>
  </si>
  <si>
    <t xml:space="preserve">I like this app but I don't understand one functionality. Maybe
                it is a bug. After buying any product, we get option to provide
                stars and add some review about the product. But while buying
                anything we can see the rating of the products and no of ratings
                which product has received, BUT we cannot read the reviews of
                the product. I think this is basic requirement and advantage
                while buying any product online.</t>
  </si>
  <si>
    <t xml:space="preserve">Blinkit is a game-changer in online grocery shopping. With its
                super-fast delivery, wide product range, and excellent quality,
                it ensures convenience like never before. The app is
                user-friendly, and customer service is prompt, making it a
                reliable choice for everyday needs. Highly recommended for
                hassle-free and efficient shopping!</t>
  </si>
  <si>
    <t xml:space="preserve">Would give 4.7 if that were possible. Delivery is always
                flawless and on time. For all packed groceries you get exactly
                what you order. However, in fresh fruits and vegetables, on
                average, the quality is sub par. A few items have been excellent
                and similarly a few items were so bad (beetroot, chikoos) I had
                to simply throw away.</t>
  </si>
  <si>
    <t xml:space="preserve">It's actually as quick as shown in the advertisement, love the
                speed. Sometimes if feels, they were standing outside your door
                with the stuff. Excellent work, thanks for making us lazy ðŸ˜´</t>
  </si>
  <si>
    <t xml:space="preserve">The app was great but i think they need to work on the delivery
                part. Last minute needs will be met only if the service is
                available in that area. All day long it keeps showing not
                available due to excess demand. You can't simply rely on this
                app for urgent needs. Not being available most of the time takes
                away the very purpose for which it was created. Used to depend
                upon it but i have started looking for alternatives.</t>
  </si>
  <si>
    <t xml:space="preserve">I downloaded Blinkit a few years ago when it was known as
                Grofers, and at that time, very few products were available,
                mostly their in-house products. But now that I have downloaded
                Blinkit again, a lot more products are available. Delivery is
                also on time. I have used several apps, but I can say my
                experience with Blinkit has been the best. And I found their app
                to be more organized and better. It is also easy to search for
                products.</t>
  </si>
  <si>
    <t xml:space="preserve">Worst application ever.. I have made prepaid order for my
                products out of that I didn't received one of my product.. When
                I was trying to connect customer support through chat.. It was
                showing some issue.. I already mailed them 13 times.. Later on
                one support executive connected me and said we can't do
                anything.. We have already delivered your order... No proper
                customer care number... Better you can order products from Big
                basket because in big basket the customer service team is
                excellent..</t>
  </si>
  <si>
    <t xml:space="preserve">It's dependable and in emergencies I can always rely on quick
                delivery. I have always had a good experience with the
                delivery,products and polite service. Happy with this app and
                relieved of last minute running to the market, I have also
                ordered gifts for impromptu events and never once has this app
                disappointed me ! Thank you for your service.</t>
  </si>
  <si>
    <t xml:space="preserve">Loved the ease of use and delivery time. But they have limited
                inventory specially in vegetable &amp; fruits section, most of
                the time items remain out of stock. Dec/24- Editing the review
                and changing the rating to 5, Blinkit have improved the stock
                and inventory. It's now my go to App for groceries.</t>
  </si>
  <si>
    <t xml:space="preserve">Blinkit is an excellent grocery and all-in-one delivery
                platform. It consistently delivers on time, often even earlier
                than the estimated time shown. Iâ€™ve received my orders promptly
                on multiple occasions, making the experience incredibly
                reliable. The products, especially food items, are always fresh
                and of great quality. This consistency and efficiency make
                Blinkit the best platform in my opinion.</t>
  </si>
  <si>
    <t xml:space="preserve">It was so good but one I personally don't like it is extra
                delivery charge and GST charge it was very high then that's why
                I sometimes I think I don't know that but think it's come in 10
                minutes fresh food make some time by order fruits than its
                company freshly clearly I like the app â˜ºï¸â˜ºï¸ðŸ˜€ðŸ˜€</t>
  </si>
  <si>
    <t xml:space="preserve">When an app provides poor customer support service, i feel they
                don't value their customers. Blinkit's chat support is so slow
                that the customer gets frustrated. In today's time, people don't
                like to wait for 2-3 min for reply. I feel their chat system is
                slow. They need to upgrade it to a faster and better system.</t>
  </si>
  <si>
    <t xml:space="preserve">Exceptionally Excellent I am from the US of America and
                absolutely in love this app. This is a perfect app, never has it
                crashed on me. Plus easy to understand UI and UX such that
                person of any age above 7 yrs can understand. Delivery is quick
                which is the highlight. I invite the business and marketing
                group to discuss with me to launch this setup and service in the
                Americas.</t>
  </si>
  <si>
    <t xml:space="preserve">They come at their comfortable time but shows lesstime in the
                app Moreover there is no window to change location , if by
                chance u select wrong address,that is little disappointed. Also
                inspite of trying to cancel immediately didn't cancelled .</t>
  </si>
  <si>
    <t xml:space="preserve">The app is convenient to use. The order is delivered in less
                than 10 minutes. The quality of the products is good. If some
                issue, it is resolved ASAP without hassle. Atleast that's my
                experience when an item was not there in the order and I noticed
                it next day. As soon as I put my query on the app, I got a call
                from the store and without any hurdle the item was delivered.</t>
  </si>
  <si>
    <t xml:space="preserve">I had the worst experience in my 1st order itself. Ordered for
                adult sized 10 packed Christmas caps and each pack contains 2
                piece. But I recieved kid sized, cheap quality caps. And when I
                placed for replacement for the entire order, they only brought 1
                pack(2 piece) which was again kid sized. N this confusion
                continued for the entire day and ruining my Christmas. And till
                now I have not recieved my refund. Please don't use this app.
                Horrible experience but the delivery executives were helpful</t>
  </si>
  <si>
    <t xml:space="preserve">Worst service ever had, the app shows delivery time less than 8
                minutes but the delivery guys takes more than 40 mins, if we
                follow up with executive service team, they causally tells that
                the delivery guy was at another location. This service team
                taking us a granted. I would have given minus ratings for this
                kind service.</t>
  </si>
  <si>
    <t xml:space="preserve">Horrible platform. Systems are not in place. I was made to pay
                for the item which I did not recieve. It was credited in the
                form of a promo which comes with the expiry. When you want to
                use the promo it will be no where to be seen. The customer
                service executive have no solutions and neither make efforts to
                resolve the concerns. In the end if you want to lose your money
                order from there. Your local store will be much more helpful
                than them. Don't recommend at all.</t>
  </si>
  <si>
    <t xml:space="preserve">I received my order on 1.7.2020 and when I checked my order I
                found that 3 milkybar chocolate were missing. Thereafter I tried
                to raise the issue with customer support chat system but after
                selecting missing item the app hanged up. I tried many times but
                response was same. So my query is that where would one approach
                to lodge a missing item as there is no call centre feature in
                your app Nd when will I get my missing item.</t>
  </si>
  <si>
    <t xml:space="preserve">I recently placed an order for rice through Blinkit, and the bag
                arrived torn, only partially secured with tape. Unfortunately, I
                received no assistance from Blinkit's customer support, as their
                chatbot provided no resolution to the issue, leaving me in an
                unfortunate situation. Based on this experience, I find
                Blinkitâ€™s service to be inadequate. This will likely be my first
                and last order with them. Unlike Blinkit, other apps like Zepto
                &amp; BigBasket offer prompt customer support when issue arise</t>
  </si>
  <si>
    <t xml:space="preserve">I was using this app for a long time. But yesterday's incident
                was horrible and harrassing. They accepted my order and received
                the payment also but didn't deliver my order. Their delivery
                partner was pathetic. He was standing at a wrong address and
                asked to pick it up from there. After reporting the same to the
                customer care they called me 7 times and I had to explain the
                same to 7 different people. After spending 90 mins on this
                matter but without my knowledge they cancelled my order.</t>
  </si>
  <si>
    <t xml:space="preserve">Manually mark location not working.. GPS location track every
                time ðŸ˜ž.....again and again.. so uninstalled...I can't see any
                future tests or products. Fake app + stupid developer...at least
                show the content, it seems after taking location, it will give
                you everything for free and at discount...</t>
  </si>
  <si>
    <t xml:space="preserve">I am extremely disappointed with Blinkitâ€™s service. I ordered 2
                packets of pomegranate but received 2 packets of tomatoes
                instead. Despite multiple complaints, the delivery executive
                took both packets during the return, but I only received a
                replacement for one. The refund for the second packet has not
                been processed even after repeated follow-ups. The lack of
                proper resolution and poor customer support is frustrating and
                unacceptable. I expected much better service from Bl</t>
  </si>
  <si>
    <t xml:space="preserve">The app should include a statement feature that allows users to
                track the number of orders they have placed over different time
                periods, such as yearly or monthly. The statement should display
                both the order count and the total amount spent. Additionally, a
                filter option should be provided, enabling users to view
                statements for specific months, years, or previous years. A
                sorting feature should also be included, allowing users to
                arrange data by date and amount (ascending or descending)</t>
  </si>
  <si>
    <t xml:space="preserve">I ordered a shin ramen cup noodles late at night as I wasnâ€™t
                feeling well and needed something for dinner around 12 am.
                Unfortunately, the delivery person couldnâ€™t connect with me due
                to issues with the third-party calling service, even though I
                tried calling back multiple times. The connection simply
                wouldnâ€™t go through. To make things worse, they canceled my
                order, and the customer support assistant was unhelpful and
                provided no resolution. I was left stranded.</t>
  </si>
  <si>
    <t xml:space="preserve">Pathetic after service their main focus is only deliver fast
                that's it. Jam Ordered 2 times they sent near expiry items only
                15 days left to the expiry. And after many attempts for refund
                they sent me same near expiry items. Their after service
                behavior is very rude and unprofessional. I must say from now I
                only prefer Swiggy Instamart and Zepto for their professional
                and fast after service. If I can give rating according to me I
                will give 0 or in minus.</t>
  </si>
  <si>
    <t xml:space="preserve">Its good, but sometimes charge delivery fee without any amount
                limitation, now its charging handling fee. It should be same as
                amazon, no charges after some amount of order. Otherwise fine,
                and it can improve its handler for search.</t>
  </si>
  <si>
    <t xml:space="preserve">I recently purchased Boat earbuds from Blinkit, but
                unfortunately, the battery drains very quickly, making them
                almost unusable. I contacted their support team for a
                replacement, but they refused to assist or provide a solution.
                This experience has been disappointing, and I now feel that
                platforms like Amazon and Flipkart are far more reliable for
                buying electronics. They offer better customer service and are
                more accommodating when issues arise.</t>
  </si>
  <si>
    <t xml:space="preserve">Good to use. They need to expand the product range to match
                supermarkets. A lot of products cant be found. Also, there is an
                issue with the chat support with android version. When you type
                anything, you can't see the typed message.</t>
  </si>
  <si>
    <t xml:space="preserve">Though the service is good, the rates are exorbitant which is
                more than the market rates. It is presumed that all the charges
                including delivery charges are subsumed in the price but shown
                as free delivery. Kindly review this since it is very evident
                that the service offered is not more customer oriented.</t>
  </si>
  <si>
    <t xml:space="preserve">It's fine and worthy app with its feature like print app and
                others , and I have found issue in it that is while ordering if
                I have chosen an item below 99 then it must be 99 for free
                delivery and if I add 130 then say add items worth 149 and for
                more alsoooo what is this ??? Deepinder</t>
  </si>
  <si>
    <t xml:space="preserve">Fast, convenient. Customer care is supportive. Maintain the
                same. Do not compromise on quality when customer brings to your
                notice to maintain it. Please include more items in vegetables,
                if possible, including green vegetables. In free gift items,
                include few more items like sweet corn, beetroot, lemon, Ginger.
                The items they deliver are 99% of good quality. Surcharge not
                required to be collected. Delivery persons are trained n kind to
                the customer. Love BlinkIt. Please maintain.</t>
  </si>
  <si>
    <t xml:space="preserve">I liked the app but on 16th I ordered a powerbank from their app
                and they have not listed anywhere that any problem could only be
                raised in 24 hours of purchase. And electronics like powerbank
                can't be just bought and tested I bought it on 16th night and
                faced problem of overheating I placed a request on 17th night
                ,but they were not available and when on 18th I complaint again
                they just said they can't help me because I have not placed
                request in 24hr. Now I am stuck with defective powerbank.</t>
  </si>
  <si>
    <t xml:space="preserve">16/12/24 Horrible experience. They deliver substandard products
                and then don't take accountability for it. Update 30/12/24:
                after infinite mails, calls, pics and videos to and fro, they
                finally agreed to initiate a refund. This was on 20th Dec. Users
                please be informed, when they say 3-5 working days, it means
                eternity or many lifetimes. I'm still waiting for my refund.
                Blinkit has stooped so low.</t>
  </si>
  <si>
    <t xml:space="preserve">Within 10 seconds of ordering I cancelled my order because of
                the address issue I was ready to order the same things on a
                different address but how can an order be packed and on its way
                within 10 seconds I think it is extremely unprofessional.</t>
  </si>
  <si>
    <t xml:space="preserve">This is always last minute grocery app, because when everything
                fails then this app will provide in terms of quick delivery
                apart from that nothing exist. High prices, own brands,
                platforms fee.. and if this is not sufficient to handle their
                business there is handling fee, festive fee, offer fee. And they
                had delivery fee irrespective of order amount 2k and 100rs will
                have same delivery fee bcoz they have to run the business with
                high price. And now, high demand fee. Uninstalling.. bye!</t>
  </si>
  <si>
    <t xml:space="preserve">Very pathetic Firstly the chat support is useless they are of no
                help I was not being able to connect to the delivery partner,the
                chat support assured that the order will be delivered but then
                they cancelled it and stated that I requested the cancellation
                very pathetic app very disappointed now my money is also stuck
                and I have to wait 3-4 business days to get my money back and
                reorder so that I can eat and right now I have no other option
                but to sleep empty stomach.</t>
  </si>
  <si>
    <t xml:space="preserve">Worst customer service experience. I am not even able to tell
                the problem. There are check options and my problem doesn't lie
                in any of the options. Moreover, you cannot chat to any customer
                service. Just after 5 mins installing the app, I am uninstalling
                it</t>
  </si>
  <si>
    <t xml:space="preserve">I am revising my rating from 5 to 1 due to my strange experience
                today. On making a purchase today, there was a popular
                announcing that I will get a free Bakers Dozen Plum cake along
                with my order. I was surprised that the gift item was missing .
                When I contacted ,I was told that I have to add the free item to
                my cart. This was strange since I didnot ask for a gift, but I
                was told that I will get a gift but didnot get it since I didnot
                add it to my cart. Lesson learnt &amp; Warning others.</t>
  </si>
  <si>
    <t xml:space="preserve">A happy user here :) I found less options/choices for products
                compared to other apps. Maybe it's just so in my area, I'm not
                sure. However, I did find it super super helpful as I was
                ordering stuff for my elderly parents, from another city. The
                service/delivery is good (sometimes delayed but that was only
                because of the covid situation). I'm quite happy with Grofers,
                though it would be nice to have more options to choose from, not
                an absolute requirement, but it'll be nice.</t>
  </si>
  <si>
    <t xml:space="preserve">App has only AI customer service, cannot speak to a person to
                refund a defective product. I am forced to accept replacement
                even though I had to order something else to save time. Do not
                use this app unless you are willing to risk losing your money
                for convenience. It is illegal not to offer refund for defective
                goods.</t>
  </si>
  <si>
    <t xml:space="preserve">Excellent delivery service. I use Blinkit almost daily. The
                prices are almost the same as what you pay in kirana stores. The
                drivers are very professional and polite. Blinkit NEVER gets an
                order wrong, which is magical but true. I highly recommend
                Blinkit to everyone based on my personal experience. Trust me,
                it is NOT EXPENSIVE. ðŸ’¯</t>
  </si>
  <si>
    <t xml:space="preserve">Exceptional app for ordering groceries. I mostly use Swiggy
                Instamart but this app has more options than any other online
                delivery service. The delivery is also very fast for me it's
                mostly 10- 12 mins</t>
  </si>
  <si>
    <t xml:space="preserve">Blinkit has become my go-to for those last-minute grocery needs
                and unexpected cravings. The app is incredibly user-friendly,
                and the delivery speed is truly impressive. I've never been
                disappointed with the quality of their products, and their
                customer service is always helpful. Highly recommend.</t>
  </si>
  <si>
    <t xml:space="preserve">"I am extremely happy with the Blinkit service! It offers fast
                deliveries, a user-friendly app interface, and a wide range of
                products. The convenience and reliability make it my go-to app
                for daily essentials. Highly recommended!"ðŸ‘ðŸ‘</t>
  </si>
  <si>
    <t xml:space="preserve">Looting customers... Asks customers to add items to achieve
                certain amount of value and offers freebies, but doesn't deliver
                them even after customer activated and adds them to cart. No
                proper customer support on issues and doesn't responds for mails
                too.</t>
  </si>
  <si>
    <t xml:space="preserve">It is not available in many places right now. Blinkit is
                probably not a big enough app or company that it can deliver
                everywhere like the Meesho or Amazon apps. Or it is not
                available outside the area due to quick delivery.</t>
  </si>
  <si>
    <t xml:space="preserve">To be very honest I want to give a '0' rating to this not so
                useful app. The quality is pathetic. And above all their
                customer care dept is pathetic.Ronak, simran, nikita, and one
                more guy they all were of no help. Finally aishwarya came and
                she somehow resolved the issue. The product that I got was
                different from the product which was shown in the app. When u
                are chatting to the customer care person in between they will
                end the conversation and then if u have enough time u can start
                chatting.</t>
  </si>
  <si>
    <t xml:space="preserve">They have given coupon of Rs. 50 on first order. But it was not
                applied on billing. The payment from my wallet went so fast
                without showing billing details. I immediately tried to cancel
                it within few seconds but they refused cancellation saying your
                items are packed.</t>
  </si>
  <si>
    <t xml:space="preserve">Overall good, only issues with address change. Because we are
                not able to edit address from google location we get calls every
                time we order because delivery people dont find us. We would
                like to be able.tomedit address and add more details to address.</t>
  </si>
  <si>
    <t xml:space="preserve">Cross check before accepting any items from blink it. Recently I
                ordered a projector and blink it sold me a used piece. It never
                gave me a replacement for the device even after raising
                complaint multiple times. Blink it can cheat you if you are not
                careful!!</t>
  </si>
  <si>
    <t xml:space="preserve">I'm not able to use any bank offer on app. When I click use
                coupons it shows a blank page and this has been from many days.
                I checked on my family members they get the list of availble
                coupons while ordering from same location.</t>
  </si>
  <si>
    <t xml:space="preserve">Not providing with the correct item. Even after replacement,
                they do the same mistake, provide with a defective item. It is
                needed for a school project. Very bad !!!</t>
  </si>
  <si>
    <t xml:space="preserve">It's have an amazing variety of products but many products tend
                to be out of stock....other than that it's has good offers and
                would definitely recommend it for more people. It is very
                convenient and easy to use blink it.... definitely has made
                daily grocery shopping more easier.</t>
  </si>
  <si>
    <t xml:space="preserve">I added address and double checked it, and now I am getting it
                to someplace else where I don't want to. Even cancelling just a
                second after ordering and it doesn't allows me for. I mean wow
                who does that.</t>
  </si>
  <si>
    <t xml:space="preserve">Their customer support sucks. Cant talk to real person and the
                bot is trÃ«s stupid. Donn't understand the issue and very limited
                option. Its where swiggy shines. Order from blinkit only when
                item not available on Swiggy Instamart.</t>
  </si>
  <si>
    <t xml:space="preserve">Blinkit app is just outstanding. Everything you need delivered
                in minutes. The delivery speed is literally so fast, each &amp;
                every order delivered in just 10-12 minutes. Crazy deals &amp;
                season sales makes the shopping experience like WOW. You must
                install this application. ðŸ˜ðŸ˜ðŸ˜ðŸ˜ But there must be an option
                for "No Bag Delivery"</t>
  </si>
  <si>
    <t xml:space="preserve">Good service. Why I rate down the app to 3 stars is I get a lot
                of notifications I don't want. And the app has no categories for
                notifications like others have. I want only essential
                notification but it's taken all or leave all here</t>
  </si>
  <si>
    <t xml:space="preserve">Happened to me twice now.I always order something and put the
                RIGHT address yet the delivery guy somehow picks the wrong
                address and makes excuses that this is what the location
                shows.When they ask the company about it they say that its not
                their problem, you either cancel the order or demand an extra
                FEES!Fix this problem as a lot of us might really be relying on
                your claims of fast delivery and due to that suffer HEAVY LOSS!
                Anyways I hope I get refunded soon and you don't make a MISTAKE
                again</t>
  </si>
  <si>
    <t xml:space="preserve">Don't use print service. I need urgent document contains 6
                pages.. they delivery only 3 pages.. I try to get the remaining
                3 pages.. but not delivery. Don't use ... don't use blinkit
                service go to near by shop for getting printout.. again form
                submitted.. not yet get reply</t>
  </si>
  <si>
    <t xml:space="preserve">Placed my first order and it came so quickly, the delivery
                partner was so friendly and quickly found the address too. The
                only problem is the payment option, most of the time I can't do
                COD, it always says it's currently unavailable at the moment</t>
  </si>
  <si>
    <t xml:space="preserve">One of the Worst Apps on the Play Store Destined to Shut
                Down..If there was an award for the most useless app, this one
                would win hands down. If you enjoy waiting endlessly and having
                your orders canceled for no reason, this app is perfect for you.
                They have mastered the art of disappointment. You place an
                order, wait patiently, only to find it canceled at the last
                minute with zero explanation. To top it off, they take a whole
                week (sometimes more) to refund your money.</t>
  </si>
  <si>
    <t xml:space="preserve">The app rider cancel myorder on its own and it takes 3 to. 5
                days for transfer of money. It's better to use swiggy instamart
                as they transfer money in2 hours. Also if you order one thing
                they will take order and later cancel it. Don't use th appp</t>
  </si>
  <si>
    <t xml:space="preserve">Service and everything is good but the only thing is that the
                delivery person never carries any change money that's the only
                problem I face every time I blink it something! Even if the
                delivery guy has the change money many of them refuse that they
                don't have it. It's their responsibility to have some change
                money.</t>
  </si>
  <si>
    <t xml:space="preserve">Very bad and unprofessional service. I had placed 2 orders that
                were delivered together. They both landed up together. The first
                guy took 1274 inclusive of the second order and the second guy
                also took 201 for his order. Both standing there and in cahoots
                because I wasn't home when the order was delivered. By ankush
                and Rustom. They took 201 extra...such thugs.</t>
  </si>
  <si>
    <t xml:space="preserve">Took the DELIVERY amount of Rs 55 directly from my wallet
                without my approval.order was place automatically with no option
                to cancel. I had not completed my order. Partial item in the
                cart was ordered automatically and money taken from wallet.
                Better not to order from Blinkit and go back to tried and tested
                Zepto. approval.beware .NO RESOLUTION FROM SUPPORT JUST
                AUTOMATED RESPONSE .</t>
  </si>
  <si>
    <t xml:space="preserve">The app was very good in the start but u r taking extra charges
                for no reason. Delivery charges 30 rs on low amount order i
                understand but apart from that why 5 rs + extra 30 rs charges
                for ordering a product that you consider as highly demanded. Are
                u guys selling or auctioning the product? where If u want to buy
                you have to pay 30 rs extra or exceed your bill above 700rs...
                Why this loot?? I was about to submit 5 start but for this loot
                i will give 0 star. People will stop using it soon.</t>
  </si>
  <si>
    <t xml:space="preserve">They say flat â‚¹50 off on first order above 299. I applied also.
                But the amount is not reduced in the bill amount. U can't chat
                with them because this issue is not listed there. Same zomato
                style misleading.</t>
  </si>
  <si>
    <t xml:space="preserve">They have pathetic service first they show your order as payment
                not confirmed then when you order again they deduct payment for
                both product and you end up receiving same product twice and
                when you try to return one of them they refuse to do so by
                saying it's your mistake not our hamne thodi kaha the hamare aap
                se order karne ko tumne order kia tum dekho apna. Its the worst
                delivery app to use never book anything on blink it.</t>
  </si>
  <si>
    <t xml:space="preserve">After using for 2 years and stopped using from last 1 month: I'm
                a regular blinkit customer with monthly billing of 10k to 12k
                per month. I stay in 2nd floor from last 4 months delivery
                people are not coming to 2nd floor and asking me to come down.
                Any how I have to get down so I started going to near by store
                and stopped using blinkit. After a month I was shocked that my
                monthly expenses are only 4k to 5k when I started buying from
                loxal store. Thanks for delivery people for saving my money.</t>
  </si>
  <si>
    <t xml:space="preserve">They have shown that I would be getting a Christmas cake if the
                order amount is more than Rs 500. But, it was NOT automated, a
                foul play was made about clicking something which was designed
                to be missed. So, the helpdesk poor entity sust said "sorry, now
                we cannot correct it." Bad idea of deceiving this way.</t>
  </si>
  <si>
    <t xml:space="preserve">Really love their delivery experience, and hastle free money
                back on not delivered items (rarely happens). Also love the
                redelivery of missing products although it happens rarely.
                Absolutely love Blinkit!</t>
  </si>
  <si>
    <t xml:space="preserve">Pathetic services Everytime you order, there for sure a item
                will go missing.. on top of that you keep chasing their Customer
                service (chat) for resolving the issue.. which is beyond
                anyone's understanding.. .. horrible app.. waste of Time &amp;
                Money</t>
  </si>
  <si>
    <t xml:space="preserve">I have ordered groceris and household items a few times from
                this app and have decided to Uninstall it. There is something
                wrong with the products most of the time. It's looks fresh bur
                smells and tastes bad and causes stomach issue . One example., I
                bought master chow noodles sometime back and they had very bad
                tyre-petrol kind of smell. We threw it immediately after having
                couple of spoons. However I never had this issue when I buy from
                direct site or Swiggy. And customer care is pathetic.</t>
  </si>
  <si>
    <t xml:space="preserve">I had a terrible experience with this delivery app! I ordered a
                few items, and one of them arrived in absolutely pathetic
                conditionâ€”completely unusable. To make matters worse, I tried
                reaching out to their customer care, and it was a nightmare.
                Their support team was utterly useless, offering no resolution
                at all. Itâ€™s disgusting how a service can be so careless about
                quality and customer satisfaction. Avoid buying from Blinkit at
                all costsâ€”itâ€™s not worth the hassle or the money! zero starts ðŸš«</t>
  </si>
  <si>
    <t xml:space="preserve">Dec 2024 Now I am DisappointedðŸ˜ž I just add 30 items in card and
                within a min i get the message Due to High Demand your order
                cannot be placed.ðŸ˜ðŸ˜¡ Please let us know in the play store app
                itself, that you cannot afford to deliver item which is more
                then 4000Rs Or you cannot afford to deliver 30 item, this is
                ridiculous I just wasted my time listing item in cart which I
                cannot even buy. I was even okay with 30min delivery timeline. I
                can understand it's not ez. Take 1hr not a problem why reject</t>
  </si>
  <si>
    <t xml:space="preserve">I almost ordered everyday from this app by uninstalling other
                delivery app because of there fast deliveries..But now suddenly
                they stopped delivering to my location...it is asking to set me
                my location , but if i set the location , it is showing " sorry
                we are not delivering to this location" ...what the hell was
                that...you are disappointing your repeating customer only then
                how will you attract more new customer. NOW i am uninstalling
                this app forever and will recommend my circle to uninstall</t>
  </si>
  <si>
    <t xml:space="preserve">I wanted some other queries than listed in their app. But I was
                unable to contact assistant direcly. So, no one is there to
                resolve our problem. I have problem other than order. So, I
                think you are unable as you stick to order only.</t>
  </si>
  <si>
    <t xml:space="preserve">Worst experience. Getting so much delayed in each and every
                delivery. Their delivery partners are asking to change the
                location when they deliver us the items. Instamart is way better
                in services and on time. Blinkit is much worser than zepto and
                instamart. Please don't use the app if you want your delivery on
                time. Late delivery of their product is not the first time.
                Every items they deliver it atleast 5 mins late on time. Stop
                Blinkit. Worst App.</t>
  </si>
  <si>
    <t xml:space="preserve">Be very careful before payment. They apply surge charge for no
                reason. I did the mistake of not checking the final bill before
                payment and when I realised that a surge has been applied, I
                cancelled the order. But I did not get my money back. They put
                it as a voucher in my account. When I placed an order again when
                the surge was gone, one item from my order had automatically
                disappeared. These Blinkit guys are either too smart or they
                think we are dumb. Hence, be careful.</t>
  </si>
  <si>
    <t xml:space="preserve">This app is really nice for last moment things . The items are
                delivered within minutes which is actually appreciable . The
                only problem I face is that items get out of stock really fast
                and it takes much time to restock them . Kindly fix this ,
                otherwise over all this app is very reliable</t>
  </si>
  <si>
    <t xml:space="preserve">Not going to order from Blinkit anymore. will shift to Zepto
                now. The maida packet which I received was dirty and I wanted to
                return but Blinkit refused because it was not visible in the
                picture I sent them. I had no option but to throw it. Blinkit
                just lost a customer.</t>
  </si>
  <si>
    <t xml:space="preserve">Prices are on the higher side + it's a difficult process to
                return items + no one available on live chat. Blinkit won't
                survive in the next few years if they continue to rip of
                customers. I HATE THIS APP.</t>
  </si>
  <si>
    <t xml:space="preserve">This app works absolutely well. But today that I needed it the
                most, at first it showed temporarily closed for which I waited
                for 5 hours upto 12 am so it could open. But it was of no use.
                At 12 it said, store opens at 6.. I am deeply disappointed with
                the app today.</t>
  </si>
  <si>
    <t xml:space="preserve">I had order but errorously address was captured wrong by app .
                The delivery partner was confused instead of calling and
                confirming address he went to other location and than called me
                and I said him address was captured wrong and said me to cancel
                the order and rebook it .. I sadi will nt cancel order , i will
                update the location He very rude he himself cancelled the order
                and someone from your blink it teami called and said order
                cannot be completed</t>
  </si>
  <si>
    <t xml:space="preserve">I always had a good experience with quick delivery. Still giving
                1 star for the worst customer care n after sales service
                specifically regarding product replacement, return or refund.
                It's too damn irritating to deal with them after sales. Nobody
                resolves ur problem as if they hv No return or refund policy.
                I'm uninstalling this app after several similar experience.</t>
  </si>
  <si>
    <t xml:space="preserve">No cancellation option. Practically no customer support, there's
                no way to contact customer care, there's no number, you are
                stuck with chatbot, which is totally useless. I guess that's
                what happens when there's more demand. Helpful in times of need.
                App is user friendly, service is good considering delivery and
                options available. Quality of Fresh vegetables and other
                perishable products is average, something which is very bad and
                for which there's no support.</t>
  </si>
  <si>
    <t xml:space="preserve">Amazing service , ive been using Blinkit for a while now and the
                service is just amazing specially for a person like me who
                doesnt really like going out for shoppings. Also, during
                emergency this service just making my life much more easier,
                cherry on top-the deliveries are really fast. Highly
                recommended.</t>
  </si>
  <si>
    <t xml:space="preserve">Very annoying first experience. Was buying favourite perfume of
                friend but when added to cart it was showing out of stock so
                bought another but when purchased it immediately shown previous
                product available. How cheap tactics played by blinkit team. I
                can't return it that a other product</t>
  </si>
  <si>
    <t xml:space="preserve">The return process is very annoying. Its like they don't want us
                to place returns. Its like they stick you with a product , like
                it or not.. you ordered it so you keep it. The app itself is
                easy to navigate but the customer support after the delivery, if
                there is any issue with the quality of the product. Forget about
                returning it or getting it replaced. It would be a good app if
                they can provide with better customer support.</t>
  </si>
  <si>
    <t xml:space="preserve">"I recently used Blinkit for a grocery delivery, and I was
                thoroughly impressed with the experience. The app interface is
                user-friendly, making it easy to search for products and
                complete the order process. The delivery was incredibly fast,
                arriving within 15 minutes, as promised.</t>
  </si>
  <si>
    <t xml:space="preserve">Dear Blinkit Team, I hope youâ€™re doing well. I recently placed
                an order through Blinkit, and I encountered an issue with some
                of the products. They were delivered without the proper
                packaging or in packets, which was a bit inconvenient. For items
                that usually come in packets (like snacks, dry goods, etc.), it
                would be great if Blinkit could ensure that they are
                appropriately packed before delivery.</t>
  </si>
  <si>
    <t xml:space="preserve">Useless application. no matter how many times we have written in
                instructions to lea e the delivery outside and leave. The
                delivery executives keep on calling and banging the door
                non-stop. Blinkit has the Worst delivery executives.</t>
  </si>
  <si>
    <t xml:space="preserve">I recently used Blinkit, and I am thoroughly impressed with the
                service. The delivery was incredibly quick, and the variety of
                products available is remarkable. Each order has been accurate,
                and the quality of the items exceeded my expectations. The user
                interface is intuitive, making shopping a breeze. Additionally,
                the customer support team is responsive and helpful. Overall, my
                experience has been fantastic, and I highly recommend Blinkit
                for anyone looking for convenience and quality.</t>
  </si>
  <si>
    <t xml:space="preserve">Subject: Concern Regarding Gift Packing and Delivery Dear
                Blinkit Team, I paid an additional â‚¹30 for gift packing,
                expecting the product to be delivered in proper gift packaging.
                However, I only received the gift box, and the other items I
                purchased for personal use were adjusted into the same gift bag.
                As a result: 1. The gift bag, which I intended to present
                clearly as a gift, was overloaded and got damaged.</t>
  </si>
  <si>
    <t xml:space="preserve">Earlier the items in the cart could be shared between users
                through sharing in WA. It was an useful feature. Currently not
                working. Didn't see any means or mode to talk or chat with
                BlinkIT support in real time to resolve the issue. Support needs
                to be improved for sure. Voice of customer is key.</t>
  </si>
  <si>
    <t xml:space="preserve">Blinkit has completely changed the way I shop for groceries and
                essentials. The app is incredibly user-friendly, and the
                delivery is super fastâ€”often within minutes! The product quality
                is excellent, and the customer support team is always
                responsive. I also love the wide range of items available, from
                fresh produce to household items. It's a lifesaver for busy
                schedules. Highly recommended!"</t>
  </si>
  <si>
    <t xml:space="preserve">Just gving negative feedback. Bcz only positive rating is warly
                delivery. Promo order is cancelled automatically. There is
                nonsense charge of handling fees. Surge charge is looting the
                system. Expired milk items delivered most of the days. If you
                cancel the order and try to pay again after adding some item.
                Make sure the promo code and coupon code to apply again. It's
                removed automatically by blinking master algorithm. WOW. Hope
                Amazon is going to fox this issues soonin Bamgalore.</t>
  </si>
  <si>
    <t xml:space="preserve">I actually disappointed with the service that there is no
                exchange policy ( not takling about 1or2 days expiry product s).
                For any items that has long expiry you should have exchange
                policy if we place it by mistake(my case Surf 3.2l Top load
                instead of front load). If this happen in a regular retail
                store, we could have easily exchanged it without any issue).
                Blinkit need to review it to improve customer experience.</t>
  </si>
  <si>
    <t xml:space="preserve">A new problem started with blinkit that once I order, I receive
                a call saying that this order is being cancelled as the order is
                booked with another store. Though I don't get any notification
                for the store. Most of the times it us getting cancelled. I'm
                getting the delivery since 2 years regularly. Not sure what
                happened. As suggested, I pinned my locator and address once
                again but every other time the order is getting cancelled. I
                hope I won't oder anymore with you guys!! Complete disappointmen</t>
  </si>
  <si>
    <t xml:space="preserve">You are experiencing a high volume of orders and inquiries, but
                your customer support staffing levels have not increased
                proportionally. Attempts to contact customer service have
                repeatedly indicated high query volumes, regardless of the time
                of day. While there may be system-generated messages explaining
                this, the overall experience is unacceptable. Consequently, I
                will not place further orders with Blinkit.(Happened with me
                twice)</t>
  </si>
  <si>
    <t xml:space="preserve">I was trying to add some items in cart, meanwhile the order got
                placed, how this has happened, please have a look at this issue,
                When I noticed, I tried to cancel the order using the help
                section, but it replied order has been packed, so cannot be
                cancelled. How this happened so quickly?</t>
  </si>
  <si>
    <t xml:space="preserve">it's a pretty convenient app. everything abt this app is perfect
                and very useful. one of the main advantages is that it can
                deliver orders 24/7. it's very convenient as during emergency or
                any other times u can get whatever and whenever u want, within
                10 or 15 mins. the only small issue I would like to point out
                that the packaging is a bit dirty. I would recommend to separate
                the skin care products from the groceries. that's all. I really
                love their service!!thank you</t>
  </si>
  <si>
    <t xml:space="preserve">Horrible. I have placed orders worth thousands of rupees on this
                app. For the past few days, it takes ages for the payment to go
                through. Today as one of my bank accounts was facing network
                issues, i ordered from the other bank account, having minimal
                balance. In spite of money going from my account, the costumer
                service personnel keep on saying, money not received. Most
                insensitive and horrible customer service.</t>
  </si>
  <si>
    <t xml:space="preserve">I am a customer from Vadodara facing persistent issues: *
                Ordering Issues: The app incorrectly identifies my address
                despite using the correct address. * Cancellation Difficulties:
                No dedicated 'Cancel Order' button. I must initiate cancellation
                via chat, often after orders are already packed. This leads to
                wasted time and frustration for the customer as well as the
                delivery partner. Request an immediate resolution and
                improvement to the app's address recognition and order
                cancellation</t>
  </si>
  <si>
    <t xml:space="preserve">We r Blessed with blink it! They provides emergency services
                within 10 minutes. I would not recommend to use it everytime
                (environmental Cost )but in emergency it's worth to go for it .
                Ordered printout of imp document it reached within 10 minutes ,
                deducted one star for print quality. Overall good experience,
                Blink it !</t>
  </si>
  <si>
    <t xml:space="preserve">Order at your own risk. I received an incomplete order from
                Blinkit, with a missing item I was still charged for. I reached
                out to their customer support, but the chat repeatedly closed by
                saying there is upsurge in queries. I had to email them with my
                order details. Shockingly, their support team denied the issue,
                claiming the entire order was delivered, indirectly accusing me
                of lying. As a loyal customer, this response felt dismissive
                &amp; broke my trust. I'll be looking for alternatives now.</t>
  </si>
  <si>
    <t xml:space="preserve">Initially first 3 times delivery was fast and free of charge,
                but after that it started taking more times and started taking
                delivery charges with out any notice. Wanted to report this in
                the app, but not found any scope. Transparency is big issue
                here. In reply: so why you are stating in your first slide first
                10 delivery charges will be free, I would like to add here my
                transaction value this time wad more than 1000.</t>
  </si>
  <si>
    <t xml:space="preserve">Disappointment and frustration with the service I received
                regarding my recent order. Despite placing my order with the
                expectation of swift delivery, it has been over an hour, and my
                order has yet to be delivered. The delay is highly inconvenient,
                and when I contacted customer support, I was informed that there
                is no estimated time for delivery and that no delivery person is
                available. This is unacceptable, especially since Blinkit's
                service is marketed with the promise of quick deliveries.</t>
  </si>
  <si>
    <t xml:space="preserve">Just ordered a number of products. Then I got a call that some
                of the items from the order has gone to a different warehouse.
                So it's not serviceable. They cancelled it from their side only.
                I had no option for choosing the warehouse. It's a harrasment
                from them. Since it was their fault they should have delivered.</t>
  </si>
  <si>
    <t xml:space="preserve">A very convenient fast delivery service, esp. for groceries. And
                quite many items with a discount! ðŸ‘Œ Your Print service is also
                very innovative and is useful for many people. Keep up the good
                service.ðŸ‘ Thanks.</t>
  </si>
  <si>
    <t xml:space="preserve">Not at all good services, delivery boy was very rude. They show
                cash on delivery option on there app but if we choose it
                delivery boy don't have sufficient cash with them instead they
                behave rudely. App is totally dependent on UPI, it may find
                difficult to elder person who are not very much used to gpay and
                other UPI apps.</t>
  </si>
  <si>
    <t xml:space="preserve">I recently started using Blinkit and it has been a real time
                saver and helpful. It does make me lazy to go out but I do not
                have time to step out since I have wfh. I have used it at times
                when I absolutely didn't have an option or was too lazy to step
                out. It's a blessing to have in winters specially</t>
  </si>
  <si>
    <t xml:space="preserve">It's the worst out of all apps it'll never come on time and its
                always soo much longer idk why the only good part is it also
                does printouts which also they deliver like 30 mins later very
                disappointed very bad I had to wait soo mucha nd my child was
                getting soo late</t>
  </si>
  <si>
    <t xml:space="preserve">I would not buy anything other than grocery here. Even then,
                check out other options available. Refunds are a pain..and cust
                care is at times silent (maybe on purpose). Their chatbot
                conveniently provides only those options that they prefer. You
                cannot type your own thoughts</t>
  </si>
  <si>
    <t xml:space="preserve">it's a really good app for when you want something super quick.
                the variety of product that they have to offer is great. though
                one time I had already paid for my products but the delivery guy
                wanted me to pay again because he had "not received" the payment
                notification and made a big deal about it so that is something
                that bothered me. Overall not bad</t>
  </si>
  <si>
    <t xml:space="preserve">Useless apps , ordered a product, showing delivery time 10
                minutes later but recieved after 2 hrs later, whis was useless
                for me. Between i bought this product from zepto. Even they not
                refunded my money. Crazy management and apps. Very bad service.
                Highly recommend to be not use this app</t>
  </si>
  <si>
    <t xml:space="preserve">First hand experience was not good as delivery was beyond said
                time. Customer agent was not able to help and even compensate
                towards the delay ...is Blinkit getting bigger that cannot
                manage itself...not a good experience. Also is price of each of
                product inflated to cover the cost</t>
  </si>
  <si>
    <t xml:space="preserve">Blinkit has been a lifesaver! Need groceries in a pinch? Blinkit
                delivers in minutes, seriously! Their app is super easy to use,
                with a wide selection of everyday essentials, fresh produce,
                &amp; even those "oops, I forgot" items. The delivery partners
                are always friendly and efficient. Prices are reasonable, and
                they often have great deals. Blinkit has completely changed my
                grocery shopping game - no more impromptu trips to the store!
                Highly recommend for anyone who values convenience &amp; speed</t>
  </si>
  <si>
    <t xml:space="preserve">I would advise to be cautious while ordering on blinkit. They
                don't deliver all the items and when you contact the support
                they will inform that the item was not in the inventory... No
                one will have the courtesy to inform you before or at the time
                of delivery. Please tally all the orderd items at the time of
                delivery. I did contact the support, however, no support... I 3
                email they asked for the order id and mobile number, which I
                gave but they still keep on asking for order id and mobile
                number</t>
  </si>
  <si>
    <t xml:space="preserve">This app is a hub for fake products, delivering faulty items
                without offering proper resolutions. Their return policies are
                deceptive, and when questioned, they deflect with misleading
                statements, manipulating customers to push counterfeit goods. As
                this is a fast-delivering app, they assume people buy these
                products in a hurry, so they won't check the products
                thoroughly, using this app as a last option</t>
  </si>
  <si>
    <t xml:space="preserve">Chat service sucks......It won't even give you an option to
                discribe your issue properly. So either you can report an issue
                that is listed there or you can go back to the main menu. That's
                all there is to it. They really need to improve theur support
                options.</t>
  </si>
  <si>
    <t xml:space="preserve">Blinkit has completely transformed how I shop for groceries. The
                app is user-friendly, and the product variety is impressive.
                What stands out is their delivery speed â€“ Iâ€™ve received my
                orders in less than 15 minutes multiple times! The packaging is
                neat, and the delivery staff are always polite. Itâ€™s a lifesaver
                for last-minute essentials. Highly</t>
  </si>
  <si>
    <t xml:space="preserve">Overall App is good but off late it has become very slow. The
                moment you go to pay it takes over a minute to load the payment
                options or redirect to the payment screen..card transaction otps
                are not coming. Latency is really high right now on app and have
                to wait a lot for placing the order.</t>
  </si>
  <si>
    <t xml:space="preserve">Blinkit has revolutionized my grocery shopping experience! The
                app is incredibly user-friendly, making it easy to navigate
                through a vast range of products. The availability of fresh
                produce, pantry staples and even household essentials is
                impressive. What stands out most is their lightning-fast
                delivery. Blinkit has become an essential part of my daily
                routine, and I highly recommend it to anyone looking for a
                hassle-free shopping experience. Keep up the great work!</t>
  </si>
  <si>
    <t xml:space="preserve">"Iâ€™ve been using Blinkit for a while now, but lately, the
                service has been a letdown. The app promises a specific delivery
                time, which is great in theory, but it rarely delivers on that
                promise. Orders are often delayed by at least 20-30 minutes or
                even longer, with no clear updates on the app to let you know
                whatâ€™s happening. Itâ€™s especially frustrating when youâ€™re
                relying on a quick delivery, as advertised.</t>
  </si>
  <si>
    <t xml:space="preserve">Overall the experience is great but there is one issue that is
                very annoying. Its to select address manually every time even I
                have one address in case when the GPS is off. Why it can't
                select the last selected address or give an option to make an
                address as the default and every time select that same address.
                Not ask for adress selection every time I open the app. It's
                simple fix, but I haven't seen this fix since very long time.</t>
  </si>
  <si>
    <t xml:space="preserve">The deliveries are on time and the range of products is really
                good. Also I find the prices much cheaper compared to other
                instant grocery apps.</t>
  </si>
  <si>
    <t xml:space="preserve">the fact that I use this app almost on a daily basis or atleast
                two to three times per week there should be a coupon or reward
                point options that can be used on our next order that way the
                interaction on the app will become even better for us consumers.
                there should be a option to cancel the order atleast aconfirm
                option before finalizing the order as I have accidentally placed
                two orders and as there was no option to cancel it I had to take
                it also please create a wishlist option.</t>
  </si>
  <si>
    <t xml:space="preserve">Downgrading review for bad business practices. Offers free
                delivery and reduces the delivery charge to 0 but the adds a
                delivery tipwhich is not removable! It is not my job to tip the
                driver, you guys should pay them well!</t>
  </si>
  <si>
    <t xml:space="preserve">Initially was having a good experience. But the customer service
                of this app is horrible. Not at all customer friendly. If you
                receive a damaged order they just make you go round and about
                not solving the issue then finally just letting it slide....
                just so horrible. Nightmare. Do not do purchase expensive
                products especially of electronic items</t>
  </si>
  <si>
    <t xml:space="preserve">I had been using Big Basket since last five years. Recently,
                there have been issues in every delivery. Either some item will
                be missing or weight is different. I was searching for an
                option. Then I switched over to Blinkit. Certainly it has the
                Fastest delivery in the category and almost all needs are
                available in the catalogue. I am writing this review after at
                least 7-8 orders. Excellent Blinkit. Keep it up.</t>
  </si>
  <si>
    <t xml:space="preserve">App is great. Service is also great. Problem is they don't have
                return option. I ordered some items which I wanted to return but
                they don't have any option they can't even replace with other
                items for same amount.</t>
  </si>
  <si>
    <t xml:space="preserve">What do you all think of your customers? We're a joke? The worst
                app ever!!! You all keep giving advertisements about delivering
                goods 10 minutes but in reality just keep cancelling orders when
                someone is in urgent need, you've got to be kidding us. How dare
                you write grocery in 10 minutes after the name of your app when
                you can't stand by your statement? This is unacceptable and
                believe me, if there was an option of giving 0 stars, I WOULD.
                DISGUISE SERVICE.</t>
  </si>
  <si>
    <t xml:space="preserve">I don't know what to say.. My overall experience with ordering
                and all is very good. But, I received a call from the customer
                care service about picking up the order. Before I could ask like
                is there any issues with calling or anything, why didn't the guy
                delivering didn't call, he was already like yea thank you and
                have a great day... I was stumped. Atleast give some time yaar.
                I know you guys are busy but while you are talking give some
                time for the customer to speak na... That's all</t>
  </si>
  <si>
    <t xml:space="preserve">Very poor experience ordering on Blinkit. They just sent me an
                empty item. I just received an empty box with item missing. It
                seems a big scam. And the customer care didn't solved the
                issue.Please don't download this app.</t>
  </si>
  <si>
    <t xml:space="preserve">You guys are the worst platform. firstly all your products and
                packets are covered in dust...then you have the audacity to
                charge for packing....what for if you can't send clean packets?
                Also,you charge delivery even if we are shopping for 500 plus.
                And your refunds back to UPI are never reflected or done...the
                just disappear in thin air.</t>
  </si>
  <si>
    <t xml:space="preserve">Don't buy any High value product!! I purchased a smartwatch from
                Blinkit, and the product quality was terrible. The color was
                off, and the power button had a black spot on it. Despite
                raising the issue, there is no proper support, and they don't
                even have a ticketing system to track complaints. Customer
                service has been unresponsive, and there's no way to follow up.
                I strongly advise against buying any high-priced products from
                Blinkit. It may be fine for groceries but big no for expensive
                items</t>
  </si>
  <si>
    <t xml:space="preserve">Absolutely terrible experience with Blinkit. My order was not
                only delayed, but when it finally arrived, one of the items I
                paid for was missing. To add to the frustration, the delivery
                was handled by two individuals who showed up without uniforms or
                any proper identification, making the entire experience feel
                unsafe and unprofessional. Reaching out to customer service was
                equally uselessâ€”theyâ€™ve been unresponsive and provided no help
                in resolving my issue.</t>
  </si>
  <si>
    <t xml:space="preserve">Absolute cheating app. Everytime you place order few of the
                items will be missed and they won't provide customer support
                also. Don't want to loose any more money and uninstalled it. I
                sent a mail to support team also but they care about customers.
                There are much better service providers are the with proper
                response please use it don't waste ur time and money with this
                application.</t>
  </si>
  <si>
    <t xml:space="preserve">The only good thing about the app is you get all the items
                required but the delivery experience is absolutely horrible
                every time. I order almost every day and I receive the order by
                atleast 30 mins minimum. I have never seen them delivering
                within 10-15 mins, I mean NEVER EVER be it any weather. The app
                name been called Blinkit is an absolute Irony! Its never a
                Blinkit, its keep blinking.</t>
  </si>
  <si>
    <t xml:space="preserve">You place the order and let them scam you because you pay
                delivery and handling fees which tend to go from free to higher
                the more you buy! Counterintuitive? Absolutely! Not only that,
                they bring your items out to you and just hand them to you
                unlike what they show you in the ad where they deliver your
                items in a bag. Misleading advertising? Of course, it goes
                against their business principles to be principled. And their
                customer service resolution is pathetic!</t>
  </si>
  <si>
    <t xml:space="preserve">"I've been using Blinkit for my grocery needs, and it's been a
                lifesaver! The app is very user-friendly, making it easy to find
                what I need quickly. Delivery times are usually accurate, and
                the quality of products is always fresh. The only area for
                improvement would be expanding the product range a bit more.
                Overall, itâ€™s a convenient, reliable app for quick grocery
                shopping!"</t>
  </si>
  <si>
    <t xml:space="preserve">It's ok for fast delivery but you never get the cashback offer
                they provide you. They would even say that the cashback offer
                you applied on there platform does not concern them and to
                connect with the payment company they have tie-up with for that
                offer. It's the second time I did not recieved my cash back
                which almost amounts 10 percent of my order.</t>
  </si>
  <si>
    <t xml:space="preserve">I've been using Blinkit since a while now and every goddamn time
                I'm surprised by how quick they are with the delivery and how
                the products are always in perfect condition(no dust, creases
                etc), the delivery guys are polite too. The app is nice itself,
                not mind blowing with the UI but it's convenient and smooth.
                Though, I'd love it if they could add a review option for items
                as it would be helpful for brands I'm unfamiliar with, maybe
                make writing those exclusive for verified/regular users?</t>
  </si>
  <si>
    <t xml:space="preserve">Everytime this app sends wrong location to the delivery guy, I
                have updated my address and location numerous times but yet
                again they take the delivery guy to the back side of the
                building where there is no entry. I have also reported this
                issue many times, but nothing has been done so far...fed up of
                guiding the delivery guy for location and sometimes debating
                them for them reaching the wrong location.</t>
  </si>
  <si>
    <t xml:space="preserve">I used to get protein powder from blinkit and I got a
                counterfeit product once, and they were not ready to replace it
                nor were allowing me to return. This was after being their
                regular customer for more than two years, without a single
                return history. I have faced some minor issues before also like
                spoilt eggs, melted icecream, but I let go off these issues,
                considering mostly pleasant experience with Blinkit. But this I
                couldn't do so. Also customer care is garbage. Be careful</t>
  </si>
  <si>
    <t xml:space="preserve">Customer service is incredibly poor. I received a poor quality
                product and just couldn't get a refund. The agents kept on
                asking for more and more images. They automatically just closed
                the chat when they couldn't verify the issue. Beyond a point I
                just gave up. I will just move to Swiggy and Zepto.</t>
  </si>
  <si>
    <t xml:space="preserve">It's been a great experience while using blinkit. I am using it
                from 1 year and it is too much helpful to use it. There are many
                great deals and giftsgiven by blink it. It's new update is also
                so good as we can pack our gift items and print some important
                documents. Here all the documents are printed very safely so
                this helps me to get my work early on timeðŸ˜ŠðŸ˜ŠðŸ˜ŠðŸ˜ŠðŸ˜ŠðŸ˜Š</t>
  </si>
  <si>
    <t xml:space="preserve">Rating: â­â­â­â­â­ (5/5) Blinkit has been a lifesaver! The
                delivery speed is incredibleâ€”most orders arrive in under 10
                minutes, making it perfect for last-minute groceries or
                essentials. The app is easy to use, and they have a wide variety
                of items, so I rarely need to look elsewhere. What really stands
                out is their pricing. Blinkit often has competitive rates,
                sometimes even better.! Thanks for making things easy!!!</t>
  </si>
  <si>
    <t xml:space="preserve">I recently had a disappointing experience with Blinkit. I
                received the wrong item in my order twice. After contacting
                support, I was informed that my desired item was out of stock,
                which should have been shown on the app to avoid confusion.
                After requesting to keep the item and cancel the return, two
                delivery agents still came to collect it and behaved
                aggressively, making me feel uncomfortable. Please improve stock
                updates, communication between teams, and train agents for
                professional behavior</t>
  </si>
  <si>
    <t xml:space="preserve">I am genuinely impressed! The selection is fantastic, especially
                at their print store, where I found everything I needed in a
                flash. The app is user-friendly, making it easy to browse and
                order. Delivery was quick, and the groceries arrived fresh and
                well-packaged. It's a game-changer for busy days! Highly
                recommend giving it a try.</t>
  </si>
  <si>
    <t xml:space="preserve">The app displays estimated delivery times, but often experiences
                significant delays. Additionally, it tends to sell products that
                are close to their expiry dates, which is concerning. This has
                lead to frustration two days in a row as I was relying on the
                accurate delivery estimates and fresh products. It's
                disappointing when an app fails to meet expectations both in
                terms of timely delivery and product quality. Improvements in
                these areas would greatly enhance the user experience.</t>
  </si>
  <si>
    <t xml:space="preserve">Worst App Experience Ever! I can't believe how terrible the
                Blinkit Android app is. It takes over 5 minutes just to load,
                and even then, it often crashes or freezes. This is absolutely
                unacceptable for a platform that claims to provide fast
                services. As a Full stack developer myself, I can assure you
                that these issues can be fixed in a click with the right skills.</t>
  </si>
  <si>
    <t xml:space="preserve">All of a sudden, human support/ customer support has been
                replaced with AI. The AI bot is trained for very specific
                questions with no options to discuss issues that are not listed.
                If you have a blink it virtual AI assistance, it needs to be
                trained to meet your customer needs....very unsatisfied!</t>
  </si>
  <si>
    <t xml:space="preserve">They are doing fraudulent activities so smoothly through the app
                to get people's money. Today I ordered groceries through the app
                amounting to more than 1000 Rs. and availed an offer showing in
                the app in which I was supposed to receive a free product.
                However in spite of adding the free product, I was not delivered
                the same. When I contacted support centre, they said the store
                must have run out of the free gift, hence you did not get it.
                Very poor quality service from such a renowned app.</t>
  </si>
  <si>
    <t xml:space="preserve">Worst app. I added items to cart value 1000 as there is some
                diwali hamper diyas free. But they didn't deliver that and said
                they are not able to see them in my cart. I added two items
                which are free. But didn't expect this from Blinkit. And unlike
                zepto, there customer service support is too bad. Really Zepto
                is good in terms of timely delivery and gifts and in all other
                aspects. I don't even want to give one star. But no option so
                giving.</t>
  </si>
  <si>
    <t xml:space="preserve">bad experience! it's good until the items delivered are okay,
                but if you mistakenly receive a wrong item, there's no one to
                rectify that. you can keep on trying and sending them the pics
                of the wrong item, but they'll never respond. Also, no customer
                support phone numbers are provided, cheap behaviour.</t>
  </si>
  <si>
    <t xml:space="preserve">There should be some return/exchange policy also. Sometimes,
                products gets selected by mistake, so there must be some return
                or exchange policy added. The service is awesome, just that
                sometimes some products are not available and unnecessary rain
                charges are there. However, all in all, it's great service.
                Great work, BLINKIT ðŸ‘</t>
  </si>
  <si>
    <t xml:space="preserve">One item was missing!!! Its second time an item is missing. In
                previous order also one item was missing. This time customer
                representative is denying that the item is missing. According to
                her i am the one who is giving false statement. Customer
                Representative Afsha said she cannot help me out with this
                matter!! Very Very Disappointing!!!!</t>
  </si>
  <si>
    <t xml:space="preserve">"Iâ€™ve been consistently impressed with Blinkitâ€™s excellent
                service! Their delivery speed is amazing â€“ most of my orders
                arrive within minutes, making it super convenient for
                last-minute essentials. The app is user-friendly, with a great
                selection of products that are always fresh and well-packaged.
                Customer service is responsive, and they handle any issues
                quickly and professionally. Blinkit has truly redefined
                convenience and reliability in grocery delivery. Highly
                recommend it for every one."</t>
  </si>
  <si>
    <t xml:space="preserve">For one of my returned items the Blinkit CC team had assured me
                of the coupon of the same amount as refund, but it's been close
                to 6 days now, it's nowhere visible in the app and I've returned
                the defective product also to the Blinkit delivery executive.
                Can't expect this from a brand like Blinkit... The coupon amount
                is of INR 804 as shared by the CC team.. I've been scammed
                here...I've returned the defective product within the TAT and
                I've not got the refund till now.</t>
  </si>
  <si>
    <t xml:space="preserve">The delivery person initially missed one item, a packet of rice.
                When I asked about it, he mentioned it was left on the bike and
                returned shortly after with the packet. Please note, this isn't
                the first time this has happened. Blinkit delivery staff have
                made similar mistakes multiple times before. Most of the time,
                we donâ€™t check the bag immediately, but after these repeated
                incidents, Iâ€™ve started verifying the items. It seems that the
                delivery persons often claim to have forgotten items.</t>
  </si>
  <si>
    <t xml:space="preserve">Very bad service... I had ordered 12 packets of milk and all of
                them were spoilt.. There is no way for contacting the customer
                care... We returned the product but we haven't got the refund
                yet..... It's been months...The app shows that refund is
                completed but I haven't got the money back.... The virtual
                assistant is rubbish!!!! I'm not able to register my complaint
                as no contact details are provided...!!!! DO NOT TRUST THIS
                APP... Uninstalling right away!!!!</t>
  </si>
  <si>
    <t xml:space="preserve">It's really one of the wonderful app..faster delivery,easy
                access to services and other facilities and there is much more!!
                But one thing you can do is @blinkit add a option for adding
                things later on like we've already placed an order and forgot to
                add 1 or 2 things so there must be an option to add a things
                after we have placed an order Else wise it's a very good app</t>
  </si>
  <si>
    <t xml:space="preserve">"Blinkit offers fast and efficient service, making it an
                incredibly helpful app for anyone looking to avoid the hassle of
                running to the store. The convenience of being able to order
                items from home with ease is a huge plus. Whether you're in a
                hurry or just want to relax, Blinkit ensures you get what you
                need quickly, without any stress. Highly recommend for its speed
                and simplicity!"</t>
  </si>
  <si>
    <t xml:space="preserve">I have placed the order on app but riders doesn't know that
                address, and he blaming me I have mentioned wrong adress,
                several times I have placed the order on same address i haven't
                faced any issue, the support person also blaming me , this is
                worst experience and the refund also very slow. Instead of
                refund the amount they're offering coupon. To claim the coupon I
                have to wait for 2 hrs . Simply wasted my time .</t>
  </si>
  <si>
    <t xml:space="preserve">Misleading advertisement for free coke. Ordered items, got items
                delivered after a lot of follow ups. When order arrived no free
                coke. Customer care told we need to search for freebies and then
                add them. Why free coke on 1st order then when it needs to be
                searched and added manually. Bad first experience, ended up
                paying unnecessary money for things I would have got at cheaper
                rates elsewhere. Immediately uninstalling the app.</t>
  </si>
  <si>
    <t xml:space="preserve">I am using Blinkit app since last 6 months &amp; Its services
                are wonderful, delivery speed is literally so fast. Everything
                gets delivered in around 10-15 minutes even in the night times
                &amp; also you can return the product in just 10 minutes if you
                don't like it. The crazy deals in the sales or festive season
                makes the shopping experience like WOW because when you get best
                product at cheapest price with superfast delivery, you feel more
                &amp; more &amp; more Happy ðŸ˜ðŸ˜ðŸ¤©ðŸ˜.</t>
  </si>
  <si>
    <t xml:space="preserve">I ordered sheetmasks from the Blinkit app and prepaid for it.
                But what the hell, the delivery guy didn't even bother to call
                me, and he didn't deliver my order. The app shows it as
                delivered, and the support team's response was terrible. I even
                wrote them an email, but that was disappointing too. Such a
                waste of an app! Swiggy Instamart is way better than this app,
                they just straight-up looted my money.</t>
  </si>
  <si>
    <t xml:space="preserve">Very Bad experience.. Disappointing experience with Blinkit!
                Recent orders have been damaged, broken, or faulty. Service
                quality has declined. I won't be ordering from them again."
                Alternatively, you could also provide constructive feedback:
                "I've been a loyal Blinkit customer, but unfortunately, the
                service has worsened. Recent orders have been damaged or faulty.
                I hope Blinkit addresses these issues to regain customer trust.</t>
  </si>
  <si>
    <t xml:space="preserve">Great app to get things delivered to you and I did not face any
                issue with that. But on my device the blinkit app does not show
                image of product unless I click on it and it's been troublesome
                for me. I had tried to reinstall and check but to no avail, I
                still faces the issue</t>
  </si>
  <si>
    <t xml:space="preserve">Worst app. Faced any issues with it. Once got issue that payment
                deducted from account but blinkit said that amount not received
                and order failed. I had to chase them for refund after. For
                another order, they delivered different lower quality items and
                denied replacement. Free gifts was damaged or missing and
                customer support not able to provide any resolution. Better stay
                away from this and order from swiggy instamart or zepto instead.</t>
  </si>
  <si>
    <t xml:space="preserve">When certain items are not available - they seem to jus drop it
                and send other items which aren't essential. No call tri confirm
                cancellation After the takeover, Blinkit was good. But now
                suddenly the serviceable area have stopped. Idiotic. Wrong
                products sent. Support is virtually nil. No responsibility, no
                ptoactive measures. They really don't bother to find solution to
                problems. Only we know the quantum of issues with ingredients we
                purchase, they really don't bother.</t>
  </si>
  <si>
    <t xml:space="preserve">Very convenient app in this busy schedule life. Blinkit need to
                cut off their delivery charges a little bit according to the
                distance. My Blinkit store is only 0.5 km away but still I have
                to pay the same amount of delivery charges. And I am shockened
                to see some " High surge charges". What was that for? Overall
                services and functions are good. I will suggest to give some
                more offers cashback and some cut off in delivery charges.</t>
  </si>
  <si>
    <t xml:space="preserve">There is no option to cancel the order if you accidentally
                selected a wrong address even if you try to do it within 30
                seconds. Tried to opened a support case seconds after placing
                the order, no predefined options to immediately get in touch
                with a support agent. Just pathetic training jargon when you do
                get a support agent on. As per the staff, the onus is completely
                on the customer to check everything and they will not take any
                responsibility even for any honest mistake. Simply useless.</t>
  </si>
  <si>
    <t xml:space="preserve">I ve been using instamart for a long time. Now tried blinkit for
                first time to order a broom. Couldnt open it on the same day,
                but next day found it totally faulty and awfully smelling. Seems
                like a clearance product. Now I cant return as it is not listed.
                UI wise also I felt instamart is more intuitive and easy.</t>
  </si>
  <si>
    <t xml:space="preserve">Very slow delivery. They need to work on their delivery time.
                Every time I order from Blinkit, first of all, they apply
                delivery charges, whereas zepto and swiggy give free delivery
                above 199 rupees, and apart from this, they are very slow in
                delivering the orders. I know they will just neglect this after
                reading, but if they want to sustain them in the market, they
                need to work on it. And customer support also not resolved the
                issue...... shameful</t>
  </si>
  <si>
    <t xml:space="preserve">Very slow delivery. They need to work on their delivery time.
                Every time I order from Blinkit, first of all, they apply
                delivery charges, whereas zepto and swiggy give free delivery
                above 100 rupees, and apart from this, they are very slow in
                delivering the orders. I know they will just neglect this after
                reading, but if they want to sustain them in the market, they
                need to work on it.</t>
  </si>
  <si>
    <t xml:space="preserve">I personally recommend customers don't go for blinkit because in
                the comparison of other online app it give me a worse
                experience... I just add one item by mistake with other items in
                my cart. Without reviewing it was ordered. When I tried to
                cancel it they refused. Even after delivery when I tried to
                return they refused, saying it's not there policy. Like that
                they are making costumer fool....very unprofessional</t>
  </si>
  <si>
    <t xml:space="preserve">If you need things urgently, this is good. Definitely useful if
                nobody is there to get us things. I recently made an order, and
                it was delivered in a very reasonable period. 8 minutes was
                mentioned but it's ok to receive by extra 10 to 15 minutes.
                Personally I like this app. Comparative to others , I felt the
                charges are reasonable . I don't want to mention other names.,
                because everyone have to live and sustain on their own ways.</t>
  </si>
  <si>
    <t xml:space="preserve">This is very fishy app it doesn't show bill details before
                ordering or cart valve details. No options for contact, review
                and comment. This app is only for money making. I think you
                understood my problem very well so don't ask me to fill the
                useless forms and all, just make the changes in your
                application, you better know that people always prefer the
                reviews before downloading any application.</t>
  </si>
  <si>
    <t xml:space="preserve">Mostly all good. There have been issues with vegetable and fruit
                quality but almost everything else goes smoothly. I do not want
                the riders to rush for delivery though. It doesn't have to be
                very quick. It is great that everything is coming to the
                doorstep so, rider safety first. Thank you.</t>
  </si>
  <si>
    <t xml:space="preserve">I placed the order by mistake on the wrong address and within
                seconds, I tried cancellong the order, in oder to reorder with
                the updated address, but the app did not allow me to do so
                saying that the order is already packed. The Multiple order were
                packed within seconds seem unlikely to me.</t>
  </si>
  <si>
    <t xml:space="preserve">Worst app to use .. Full of fraud people they just delay the
                resolution to a point where you can't connect with them on chat.
                The only option left will be email support on which they never
                reply. Pls be aware before using this app and be extra careful
                while paying. Their delivery agents are fraud and will force you
                to pay extra to get order delivered. I am sure I will get a
                reply on this feedback as it might affect their downloads and
                sales but they never bothered to solve my issue when lodged.</t>
  </si>
  <si>
    <t xml:space="preserve">Not quite happy with the app now. I tried to place order for
                some groceries. I paid online but the order was not placed at
                all. Thankfully they initiated refund but within one week. It
                was super annoying. Why was the order not placed? I don't know.
                Why did it take so long for the refund to get initiated? I don't
                know. Very Satisfactory.</t>
  </si>
  <si>
    <t xml:space="preserve">This app has it all! I received my ordered items in just a span
                of 10-20 minutes. The quality was good and the price was decent.
                I recommend you to use this app. *Update*: These days, there's a
                new thing you guys added, which is, "handling charges". I don't
                understand the point of having two different charges? Just turn
                it into delivery charges or something. Handling charges should
                apply to the items that are delicate, not some packs of
                chips/snacks.</t>
  </si>
  <si>
    <t xml:space="preserve">The delivery is very quick. Everything you could need for your
                day to day use is available on blink it. The only suggestion I
                would like to make is that ther should be reviews available for
                things so that we don't have to go to different apps like Google
                or Amazon for the revives of the product.</t>
  </si>
  <si>
    <t xml:space="preserve">Worst support service, they are keen only on delivering the
                products. Ordered two products and seeing those products , I can
                able to find they are not good with quality. Checked with
                support team, they aren't able to replace or refund. Better
                check for the nearby shops for quality electronic items and buy
                from them. Nearby shops are good to replace the product if
                they're not good. But never think blinkit does the same</t>
  </si>
  <si>
    <t xml:space="preserve">I would recommend everyone to go for other platforms like zepto
                and instamart as blinkit never refunds the amount in case you
                have damaged products. I received a damaged product, then
                requested for a refund, they asked for a return of the product
                which I did, but I never got a refund. On the app it shows
                refund completed but I never got the refund.</t>
  </si>
  <si>
    <t xml:space="preserve">Best service I have tried almost all delivery / grocery apps.
                Bpinkit is best out of all. They deliver it on time and without
                any mistake in the order items (I faced missing items and wrong
                items in almost all others app) &amp; they offer great discount
                as well. I even purchased electronic and electrical devices on
                blIt ( Ear pods, Airfryer, iron etc) that too delivered in
                immaculate condition within 20 mins. I love this app and wish
                they will continue with this level of service in future as well</t>
  </si>
  <si>
    <t xml:space="preserve">nowadays the quality has gone down a lot as compared to before.
                the quality of items to be kept in cold storage when delivered
                is not good. it seems that such items are not handled properly.
                in addition to that i had been delivered some items where the
                expiry date was scrapped. also the carbonated items are also not
                stored properly and when i received the cans they bursted after
                some time. i had also given feedback earlier for veg and non veg
                filter but only a reply came on that but no action.</t>
  </si>
  <si>
    <t xml:space="preserve">Nice app for immediate and emergency purchases, but has very
                limited products. Hope it can increase the diversity of
                available products. All good, except that. Very punctual and
                friendly. Be aware not to buy costly or valuables. You will
                suffer like me. I bought a watch and it worked perfectly for a
                few days but malfunctioned later. And as it was already past the
                returning dates i had suffered losses. Dont make the same
                mistake as me.</t>
  </si>
  <si>
    <t xml:space="preserve">Not good experience... Because regularly ordering since last
                couple of months with cod option... But had to cancel last order
                because by mistake order was placed at other address and was not
                knowing how to cancel it... So I think you have reacted very
                wrongly by not giving cash on delivery option today.. kindly
                always see customers previous history</t>
  </si>
  <si>
    <t xml:space="preserve">This app is absolutely amazing for last minute gift prep. The
                order almost always comes within 20 min. The fact that it has
                stuff other than edibles like soft toys, bangles, plants, gift
                kits, etc makes it amazing for me. I dont use it to order any
                food items tho after seeing the previous reviews regarding the
                same but for ordering other stuff i love it.</t>
  </si>
  <si>
    <t xml:space="preserve">I've been using it for a long time but only one reason to give
                one star, keeping my preference (veg, no egg etc) through filter
                is fine but when clicked on any brand to see their offerings,
                again that filter is removed, can I not have account level
                filter integrated that, like No, I don't want to see any item
                that is egg or other non-veg? Repeating my preference often is
                troublesome, just give me app or account level permanent filter</t>
  </si>
  <si>
    <t xml:space="preserve">Bad service..., their should be a option of order edit if need
                some more items with in a specific time frame then I should have
                the power to add it jn the ongoing order. This time I am still
                facing problem for place a new order for a small item, on other
                hand my ongoing order still in your store. Then it should be
                edit and I should have power to add and less the item in my
                order.</t>
  </si>
  <si>
    <t xml:space="preserve">JUST BECAUSE I GOT DOUBT, SO I DOWNLOADED THE OTHER FAST
                DELIVERY APPS. AND GUESS WHAT, IT'S TRUE! BLINKIT IS CHARGING
                EXTRA ON THE PRODUCTS WHEN COMPARED TO ZEPTO, SWIGGY INSTAMART,
                FLIPKART MINUTES, BIGBASKET INSTANT. AND NEITHER BLINKIT IS
                DOING ANYTHING EXTRA BY DELIVERING FAST, COZ OTHER APPS ARE
                DOING SAME! SO RATHER IF COMPARED, BLINKIT IS NOT HELPING
                CUSTOMERS. SAME PRODUCTS IN OTHER APPS ARE SOLD IN QUITE
                ECONOMICAL PRICE. ALSO NO OPTIONS FOR GENERAL FEEDBACK AND VERY
                INCONVENIENT.</t>
  </si>
  <si>
    <t xml:space="preserve">Very bad experience. I tried to order an object from this app
                wanted to connect with the support team to know more about the
                product. Count find a way to chat. However if they sent me
                something i didn't want they will only give replacement not take
                the product back.. i think this will be my first and last
                experience with them.</t>
  </si>
  <si>
    <t xml:space="preserve">I am a regular user of blinkit and for the 1st time ordered an
                earphone from it. The earphone was not working with my phone so
                I requested for return or replacement so that I could buy
                another brand, but they completely denied any return or
                replacement. Blinkit DOES NOT have any RETURN policies for
                ELECTRONIC ITEMS!</t>
  </si>
  <si>
    <t xml:space="preserve">This app is beyond pathetic, and their so-called "customer
                support" is a complete joke. The moment I placed my order, I
                realized I needed to change the address. Within seconds, I tried
                to cancel, but the app wouldn't allow it. I attempted to update
                my address, but of course, that was impossible too. And when I
                reached out for help, all I got was their useless BOT spitting
                out robotic, canned responses. Not a single person in this
                company cares enough to address customer concerns.</t>
  </si>
  <si>
    <t xml:space="preserve">Late delivery always. If they say the delivery time is 15 mins,
                they take more than half an hour. The experience is becoming bad
                day by day. We couldn't contact any agent to escalate the issue.
                Soon will find other apps and uninstall this app. Today the
                delivery agent is not answering. Couldn't connect to support
                associate. No help</t>
  </si>
  <si>
    <t xml:space="preserve">Review: Excessive Delivery Charges on Blinkit Iâ€™ve been a
                frequent user of Blinkit, but lately, Iâ€™ve noticed the delivery
                charges are becoming excessive. While the app does communicate
                these charges upfront, the amount feels unreasonably high for
                short distances or small orders. Itâ€™s discouraging, especially
                for customers who rely on the service for convenience. Blinkit
                should consider revising their pricing model or offering more
                affordable delivery options. High charges can push loyal users</t>
  </si>
  <si>
    <t xml:space="preserve">I used print option service by Blinkit. They used the lowest
                quality of paper to print in color. Please stay away from using
                print services. I got the following response from your team ðŸ˜„
                Thank you for contacting us. This is an automated response
                confirming the receipt of your ticket. Weâ€™ll get back to you
                within 24 hours. Kindly share the below details if not already
                shared:- Order ID/Registered Mobile Number Issue images/videos
                (if any) Thank you for your patience.</t>
  </si>
  <si>
    <t xml:space="preserve">Extremely disappointing experience! Blinkit has repeatedly
                deducted money from my account during payment, but the amount is
                never refunded. This has happened to me five times now! Despite
                raising concerns, the issue remains unresolved. It feels like a
                complete fraud, and I cannot trust their service anymore. Please
                fix your payment and refund system.</t>
  </si>
  <si>
    <t xml:space="preserve">Worst App developer. It frequently grab user account for payment
                without any login. I had another user account for Amazon pay but
                it always automatically take user account which is been
                permanently removed and even the account is also deleted from
                Amazon. It must have option to select account or login to
                account. So childish design. I stopped ordering from this App
                due to that reason. I am forced to order COD rather than UPI
                from my Amazon account.</t>
  </si>
  <si>
    <t xml:space="preserve">Not at all recommended. I dont have negative rating option, so i
                have to give 1 star. I haven't received my first order, and I
                received a msg that it is delivered. When i raised the ticket
                for the same, i was told that they have checked it with delivery
                agent the item is delivered and the the ticket is closed. Next
                day when I tried to open the complaint in my free time. i was
                told that we can register a complaint in 24 hour of the
                delivery.</t>
  </si>
  <si>
    <t xml:space="preserve">The app is intuitive. The service is superfast. The packaging is
                sturdy and no plastic. The delivery boy looks healthy and happy.
                The apartment app popped up a window to pre-approve Blinkit
                entry. This is a first. The price is nominal. Talk about
                efficiency, sustainability, presentation, use of technology,
                cost, courtesy. Blinkit has blown everything out of the water.</t>
  </si>
  <si>
    <t xml:space="preserve">Just placed my very first order with Blinkit. Arrived in about 6
                minutes; when app showed 8 mins. Thats impressive! But I humbly
                request Blinkit to reconsider prioritizing superfast deliveries
                unless explicitly requested by customers. This is to ensure the
                safety of delivery partners, who may feel pressured to drive
                recklessly to meet tight deadlines.</t>
  </si>
  <si>
    <t xml:space="preserve">I tried contacting support but all it ended with a message
                saying we are handling multiple queries and will not be able to
                assist you. Please reach back later. Atleast you should have a
                ticketing system or atleast acknowledge that we will get back
                instead of asking customers to try again later which I did twice
                but same message flashed making it more irritating. Wish I would
                have an option to give 0 stars to this app.</t>
  </si>
  <si>
    <t xml:space="preserve">Great App. Edit: I take it back. First, they delivered me only 1
                item when it should have been 2, and when I had to go through a
                long process to be able to talk to a customer support executive.
                They told me someone will pick up the item today and I'll get a
                refund but I didn't get a refund and no one came. Now it shows
                my return was cancelled due to my request.</t>
  </si>
  <si>
    <t xml:space="preserve">The app scam people to order more by pretending to provide gifts
                with certain order, mind you they would highlight this free gift
                many time while you are ordering but once you are making the
                payment, it will not remind you to select the gift (which is
                suppos to be added automatically when certain amount is added)
                Zepto is better as it shows the summary of item ordered and add
                the gifts by it self.</t>
  </si>
  <si>
    <t xml:space="preserve">While Blinkit advertises 10-minute delivery, I've found that the
                actual delivery time often exceeds this. Additionally, I've had
                concerns with the delivery representatives. They insist on
                opening each item in front of you and taking photos as proof of
                delivery. This can be inconvenient, especially when receiving
                multiple items. In all the cases, the representatives will left
                items scattered on the floor, requiring you to repack them.
                After that it's your another pain how you manage.</t>
  </si>
  <si>
    <t xml:space="preserve">Service is fast but the product is bad I think some changes
                should be made in the app so that if a defective product is
                received, it can be returned I ordered an ice cream and was
                given a spoon along with it and the ice cream cup was sent to me
                for double the weight which is half the weight of the cup which
                is bought from the shop. UP needs modifications, repeatedly
                getting bad products</t>
  </si>
  <si>
    <t xml:space="preserve">ordered Faces canada matte foundation, instead received Faces
                Canada Concealer which is no use of mine. I reported this issue
                twice to blinkit but they just keep on saying we can't fulfill
                your request as item might be used. Like seriously i just
                received ordered, haven't even use it and reported quickly when
                saw wrong item. I often ordered and received correct delivery,
                but this experience was disappointing , poor help service and
                very disappointing even after reporting !!</t>
  </si>
  <si>
    <t xml:space="preserve">I have ordered an item. Canceled due to wrong purchase. Got
                coupon. For next order I am not getting coupon option while
                paying. I was trying to contact costomer support no option is
                available to contact. Really frustrated with app. I have
                uninstalled app.</t>
  </si>
  <si>
    <t xml:space="preserve">Quality of goods is good, but poor discounts or schemes on
                Blinkit. The time for delivery also gets updated automatically
                to more on the app, so all orders show as on time there. The
                time is conderable more that the initial one displayed. So
                Blinkitit no more !!</t>
  </si>
  <si>
    <t xml:space="preserve">One of the worst online shopping experiences that I have ever
                had. Item descriptions are not complete missing important
                information such as the size of the product, delivering wrong
                product, etc. And to top it all off, no avenues to return the
                delivered item.</t>
  </si>
  <si>
    <t xml:space="preserve">Fastest delivery ðŸšš My experience is good . feedback for Blinkit
                (formerly Grofers) delivery app: 1. "Fantastic service! Orders
                delivered promptly and accurately." 2. "Love Blinkit's speedy
                delivery and diverse product range." 3. "Blinkit's convenience
                and efficiency have made my shopping experience seamless. 4.
                "Impressed with the 10-minute delivery guarantee - it's real!"</t>
  </si>
  <si>
    <t xml:space="preserve">Blinkit Review: Fast Delivery, But Poor Refund and Replacement
                Service Blinkit Review: Fast Delivery, But Poor Refund and
                Replacement Service Blinkit, which has made a name for itself
                with its promise of delivering groceries in just 10 minutes, has
                certainly become a go-to app for quick deliveries of fruits,
                vegetables, and other essentials. However, when it comes to
                purchasing products beyond groceriesâ€”especially electronics or
                non-perishable itemsâ€”many customers, including myself, have face</t>
  </si>
  <si>
    <t xml:space="preserve">Initially I was happy with the service. But after using it for
                more than a year. Their service quality has been decreased. The
                charges such as surcharge and delivery fee, as compared to other
                apps, are too high. Happily started using zepto. They delivers
                earlier than you with 0 delivery charges at all. Even if I want
                to order for Rs. 100 only. I hope you will improve soon in
                future.</t>
  </si>
  <si>
    <t xml:space="preserve">Fabulous! I didn't expect to find a freaking PS5 in here!
                Everything you need, from daily essentials like packaged food
                items, makeup, groceries to more uncommon items like gaming
                mice, laptop stands, bags, chargers and even smartphones, are
                available here! And the best part, everything delivered within
                10 mins! Really love the service this app is giving!</t>
  </si>
  <si>
    <t xml:space="preserve">"Outstanding app with an incredibly user-friendly interface and
                lightning-fast delivery! Even printouts are delivered almost
                instantly, making it a truly reliable service. A huge shoutout
                to the entire team for building such an efficient platform and
                to the dedicated delivery partners for their excellent service.
                Highly recommended!"</t>
  </si>
  <si>
    <t xml:space="preserve">I ordered once from this app and that was it. The app itself is
                fine. But the products that were delivered, the quality was so
                bad I cannot believe this rating is real. Tomatoes has worms in
                it. Cucumber was broken. Bread was expiring in two days,
                everywhere else that I have purchased, expiry is always 5-6 days
                away. Which means it was stale. Cauliflower had spider inside it
                and it's leaves were dead and dry. They supposedly initiated
                refund for the tomatoes which I have not received till now.</t>
  </si>
  <si>
    <t xml:space="preserve">Very awful experience, do not recommend to install this app. I
                had ordered baby formula but the seal of the order was torn with
                one of the three formula packets missing inside it. Customer
                helpline was of no help they did not replace or issue a refund
                for the product. In case of emergency please do not buy from
                this app. It was very unfair to do that with an infant's milk
                formula. In case of emergency better to buy from local store.
                Overall horrible service as you can't replace damaged items.</t>
  </si>
  <si>
    <t xml:space="preserve">1. Wrong items sent in 3/5 past orders. 2. When some item is out
                of stock;customer is told at the time of delivery and the amount
                goes to your blinkit account even when you are opting for cash
                on delivery. (It should be notified beforehand and the amount
                should be deduced from bill rather than greedily adding it to
                the account so that you are forced to use ) 3. The refunded
                amount is given in form of coupon codes which cannot be clubbed.
                It should be added to wallet etc.</t>
  </si>
  <si>
    <t xml:space="preserve">Earlier in the starting, when it was in the name of Grofers,
                they never asked for delivery charges... All the items were
                delivered free to home but now when it became Blinkit, they
                always add delivery charges along with high demand surcharge
                also... Really very bad... &amp; One more problem is that it's
                customer care service is also very bad... Once you order
                anything &amp; if you need any help regarding your order, e.g.
                if you want to add more items to your order, we feel helpless...</t>
  </si>
  <si>
    <t xml:space="preserve">Worst blinkit service. Today I have ordered oil packs, but they
                arrived leaking. I reached out for support, but my issue still
                hasn't been resolved. The lack of response and assistance has
                been disappointing. Blinkit didn't provide replacement or
                refund. I lost 3 packets money. Please don't use blinkit app,
                Items quality is not good some scam is running. Swiggy is really
                providing good servic,very easy customer support services and
                quick resolution, swiggy refund and replace quickly.</t>
  </si>
  <si>
    <t xml:space="preserve">Great experience with the app, delivery and always surprised by
                the new things they launch. The other day i remember seeing
                imported prime bottles and it got me wondering how on earth
                they're sending this within 6 minutes. Great app, great service
                and extremely fast.</t>
  </si>
  <si>
    <t xml:space="preserve">I always get the items delivered in torn paper bags or in hand
                at my doorstep stating the reason that paper bags aren't
                available. Also, all the items will be packed in a single paper
                bag that includes edibles as well. I'm paying Delivery and
                Handling charges (Surge fees when applicable) on every order I
                placed and I don't think the paper bags are so costly that you
                can't pack the items properly. If we don't receive adequate
                services even after paying money it feels like getting cheated.</t>
  </si>
  <si>
    <t xml:space="preserve">Always prompt delivery and well mannered delivery agents Edited
                in 2024 For last few years the quality of items, correctness of
                orders etc has deteriorated. Items come covered in mud and dust.
                Or they are defective and damaged. They never have enough stock
                to replace these items. It is more of a hassle to order with
                Blinkit. Better to plan properly and order from elsewhere even
                if it takes longer to come.</t>
  </si>
  <si>
    <t xml:space="preserve">Can never reach actual customer support. They keep sending
                expired items and then refunding the amount only as coupons WITH
                AN EXPIRY DATE. There is no way to get a refund in your bank
                account. And you cannot reach a customer service agent to talk
                to them. Predatory service.</t>
  </si>
  <si>
    <t xml:space="preserve">31st Oct- I trust Blinkit for their Excellent and Reliable
                service. Product variety for greater selection option could be a
                area of improvement. 1st Nov - Unfortunately I have to change my
                feedback and reduce ratings from 5 to 4 based on last
                experience. In my delivery a product was missed, when called the
                delivery boy informed it was missed from their end and will
                deliver next morning before 10am. But, post 10am when I called
                Blinkit customer care, offer was a refund and not a replacement.
                â˜¹ï¸</t>
  </si>
  <si>
    <t xml:space="preserve">Malpractices selling products with incorrect or unrelated
                titles. I bought a smart led but they sent a different variant
                of it having different screw mechanism. Neither the product
                title nor the photo mentioned it. No returns, refunds or
                replacement either. Breach of trust of customers and helplessly
                pathetic support. I have requested deletion of data. I hope you
                honour it.</t>
  </si>
  <si>
    <t xml:space="preserve">The only problem is they sometimes deliver 1 wrong item among
                the ordered items. Otherwise, I like it. But recently they have
                been giving flawless services. ðŸ¤—ðŸ¤—ðŸ¤—ðŸ¤— that's why I always
                prefer to use 'blinkit' to order anything. I will specially
                mention the excellent quality of the products and their
                packagingðŸ¤—ðŸ¤—ðŸ¤—ðŸ¤—</t>
  </si>
  <si>
    <t xml:space="preserve">App is good. But the quality of vegetables and some packed food
                items have gone down. I ordered 2 packets of Paneer a few days
                back. One packet had already expired. The other, although it was
                not expired, the taste was spoiled. I realized this only after
                cooking. I tried to raise a compliment... but couldn't speak to
                anyone as there is no direct line. And the chat assistant was
                not at all helpful. Really bad experience. ðŸ‘Ž</t>
  </si>
  <si>
    <t xml:space="preserve">generally service is great, but today tried ordering a product
                twice and it gets cancelled. they are showing the product is
                available and accepting money but as soon as the order is being
                placed they are calling to inform that the order is cancelled.
                Money will be refunded. why can't you just show that the product
                is unavailable or not in stock. what nonsense! it's creating a
                huge inconvenience.</t>
  </si>
  <si>
    <t xml:space="preserve">The app and the system is very badly developed. When I am
                ordering something and the location is not deliverable then how
                you allow user to place an order? In my case my order was 12
                minutes away (store dist was 1.9 km) the app allowed me to place
                the order. Then after 2 - 3 minutes an executive called me and
                rudly informed me that my order is not deliverable and they are
                initiating refund. It is very problemetic. If the location is
                not deliverable then inform it first not after placing order.</t>
  </si>
  <si>
    <t xml:space="preserve">Every time app say to add item so that you can free item after
                adding the money also .free item does not add automatically.
                Have some good developer to add free item automatically like
                other apps work. Free item does not add automatically. That's
                the fault. app ask to add item so that you can get item in
                discount or free .</t>
  </si>
  <si>
    <t xml:space="preserve">I ordered some food items but it showed ordered failed but the
                money has been cut from my account and they still didn't refund
                it back so that why I was not able to eat anything at night. It
                is literally mean it is a steal. Blinkit just steal my money.
                Please give it back or if you cannot refund atleast give the
                item which I was ordering. ðŸ¤¬ðŸ˜¡ðŸ˜¡ðŸ˜­.</t>
  </si>
  <si>
    <t xml:space="preserve">I have been using Blinkit for a while now but my recent
                experience were not good, actually disappointing. I placed order
                for multiple food items and i was surprised to find out some of
                are duplicates. Those are not spoiled product just duplicates. I
                contacted Blinkit support they are just reading policy
                statement. No help at all. In my opinion it's dengerous to order
                any food items from this app.</t>
  </si>
  <si>
    <t xml:space="preserve">Absolutely do not order any expensive products especially
                electronics from Blinkit. They have nor provided me with an
                invoice and the customer service has been enjoying troubling me
                since over a week by keeping me hanging. I'm left with an
                expensive 8k product with no invoice and hence can't claim my
                warranty. Be very careful. Don't fall for their reply to this
                review. It's just another scam to make it seem like they're
                helping but they're not.</t>
  </si>
  <si>
    <t xml:space="preserve">I recently installed this app and ordered some groceries and
                blinkit sent me a coupon code. But now I'm trying to order and
                coupon is showing invalid even tho it's expiry is 30th Nov and
                I'm not even ordering the products on which offer is not
                applicable. There should be better way to use coupon instead.</t>
  </si>
  <si>
    <t xml:space="preserve">My experience with the app has been a rollercoaster. In Mumbai,
                it was amazing and definitely deserves a 5-star rating. However,
                in Bangalore, the service has been terrible and I can only give
                it 2 stars. The delivery process is frustrating, as they refuse
                to come to my flat and instead call me to come to them. They
                don't even wait a second, and show a lot of attitude.</t>
  </si>
  <si>
    <t xml:space="preserve">Worst app ever. Customer support is a joker. They didn't
                understand your problem. I accidentally select wrong address
                then I tried to cancel address immediately but there is no
                cancel option after that I tried to call delivery partner to
                cancel order but he didn't receive. After reaching he said I
                called manager he says you can return but there is no return
                option.I contact customer support for this. But they didn't help
                me</t>
  </si>
  <si>
    <t xml:space="preserve">I raised a complaint for a missing item, but no one responded.
                After following up through email, they replied stating that all
                items were delivered and that they are not responsible for this.
                When I received my order, the delivery person informed me that
                one item was out of stock and advised me to raise a missing item
                complaint to get a refund. This is totally fraudulent. Please do
                not buy anything from them. I am planning to raise this
                complaint in consumer court</t>
  </si>
  <si>
    <t xml:space="preserve">This app is really good. Supplies groceries perfectly. Delivery
                partners are good Fresh groceries the price of delivery should
                be less and small cart fee should be less that's why I removed
                one start. Nice like it</t>
  </si>
  <si>
    <t xml:space="preserve">Bad experience Even delivery guy doesn't know how reach or track
                my location, I put my same location that I used to order food
                from Zomato etc I don't know what's wrong with them,Know the
                location first before you accept the order.</t>
  </si>
  <si>
    <t xml:space="preserve">They delivered my products without any sealed box. I ordered
                three or four items, all came individually in a open bag not in
                a sealed box. Anyone can check, see, and touch my order. It is
                not safe and secure. Very ordinary system of delivery. No
                verification was done when delivered my order.</t>
  </si>
  <si>
    <t xml:space="preserve">Very poor customer service...they have spent a defective product
                and are not ready to replace it. Further they don't have any
                customer care phone no where you can explain the issue. The web
                chat is completely robotic. Their motto is customer is always
                wrong and they are always right...never order from this app</t>
  </si>
  <si>
    <t xml:space="preserve">I used this app for the first time to send my ill friend some
                food to cheer them up and gave the delivery order their number
                too, to contact them if any problem arises but instead of
                contacting them, the delivery man is contacting me when i am
                busy and when i told him to contact them, he didnt do it and
                took away my order himself. The order never reached my friend
                and my money went to waste. Never gonna use this app ever again.</t>
  </si>
  <si>
    <t xml:space="preserve">There are huge price discrepancies in the offered
                products....the products are overpriced almost at 40
                percent....recently ordered a hair color from loreal which was
                40 percent expensive as compared to other online portal....and
                now I cant even return it due to the company policy.....feels
                like day robbery....an advice ....before ordering anything
                please double check the prices with other online portal....very
                bad response</t>
  </si>
  <si>
    <t xml:space="preserve">They gave me a wrong product which was mislabelled as the one I
                had ordered. There is no option for return as it has passed the
                24 hour mark. Am I supposed to open every grocery order the day
                itself od delivery? I have appropriate images and everything,
                still there is no help. Terrible experience</t>
  </si>
  <si>
    <t xml:space="preserve">I stopped ordering when it was groffer and the bad experience
                was in 2021. Later I started using this app when known as
                Blinkit. So far the experience with Blinkit is good and would
                love to use the service in time of need. Best wishes Team
                Blinkit.</t>
  </si>
  <si>
    <t xml:space="preserve">Although it's good,, time saving, every time it deliver in exact
                time But the biggest problem is if you get some wrong product
                then there is no option available for return or refund.Atleast
                apply it on all products except on veggies, fruits becoz I know
                you can't do it on them....</t>
  </si>
  <si>
    <t xml:space="preserve">very useful app for daily and monthly need . Almost every
                possible items required for a family are available. Specially
                the availability of organic items are added advantage.Fast
                delivery is key to the choice</t>
  </si>
  <si>
    <t xml:space="preserve">Poor experience. Totally non recomendable in Udaipur. Got
                anonther product on ordering. And when they mentioned
                replacement policy but after complaining they just refused. Very
                bad experience. If you can't replace a wrong product then why
                you mention a wrong information on your page of replacement.
                Many people are facing the same problems with this Blinkit app
                in Udaipur. Then too we didn't got our problem solved. Should I
                give a negative review from other's mobile also who are facing
                the same.</t>
  </si>
  <si>
    <t xml:space="preserve">Pathetic customer care. They are frauds!!.They arrange for a
                return pick up for damaged items delivered and then don't refund
                the money to customer. Since there is no direct number and bot
                chat only allows you to select from limited options to highlight
                concern, there is no way you can catch hold of them. Order at
                your own risk cause you spend the money but if it's spoilt,
                broken parcel delivered you will never get the money back and
                keep chasing them</t>
  </si>
  <si>
    <t xml:space="preserve">I liked this app very much but nowadays their unprofessional
                attitude is too much and intolerable. They always mixed food
                items with the non food items like phenyle, floor cleaner,
                liquid detergent etc. in same package. Sometimes some items are
                missing without information and they have issued a coupon to
                deduct but it is not deducting.</t>
  </si>
  <si>
    <t xml:space="preserve">Amazing experience using this app, it's UI is very user friendly
                and the order is delivered quickly most of the times. The only
                thing which I found should be fixed is that in many towns
                specially smaller ones imported and premium items are always or
                most of the time out of stock</t>
  </si>
  <si>
    <t xml:space="preserve">This is because when it actually goes automatically to cash on
                delivery when I'm looking for pay later option ... And couldn't
                even cancel my order next seconds not even a minute and you
                people also won't cancel the order by the blinkit person and he
                will force us to buy the product it feels like a cheap mentality
                to sale a product which is ordered by mistake</t>
  </si>
  <si>
    <t xml:space="preserve">Very quick delivery, Value for Money,need more payment options
                and discounts. Some payment options not working. Example:-
                Lazypay not showing OTP options in Blinkit App to accept the
                order.</t>
  </si>
  <si>
    <t xml:space="preserve">Terrible customer service. I got an empty unsealed box for which
                I uploaded images. I got a call saying there is no problem on
                their side. That's it! No other explanation! The customer
                service person just asked me to go on to website and complaint
                when I had just complaint on app!</t>
  </si>
  <si>
    <t xml:space="preserve">great overall, have their store nearby so I get quicker
                deliveries. it'd be much better if you had "passes" or
                subscribtion giving certain discounts and free deliveries. need
                much improvement on your delivery partners. some are quite rude
                and lacks basic customer service knowledge, something that
                everyone knows. also improve their map awareness.</t>
  </si>
  <si>
    <t xml:space="preserve">great service. impressive and well sorted . but the only draw
                back is the rate of delivery. i checked twice and the rate keeps
                changing. blink it office is right behind my house they charging
                60 rupees delivery charges which i was surprised. Worst part is
                they losing business as we cannot step out for stores during
                rains they shut their service when we need them the most</t>
  </si>
  <si>
    <t xml:space="preserve">Terrible customer service. Sends products what their sellers
                make rather than what customers order in their apps. I ordered a
                santa dress for my kid and the product does not fit a 3 year
                old( kid is very small), but the product description says 3-4
                year old.</t>
  </si>
  <si>
    <t xml:space="preserve">Pathetic experience. After missing items and gutka stained
                packets, now they have delivery agents who go missing in action
                after picking up the order. Simple order of cheese spreads and a
                locker, placed in the morning after sunrise, not delivered!
                Delivery guy not answering even Blinkit's calls. Shame on
                Blinkit! Doob maro saalo!</t>
  </si>
  <si>
    <t xml:space="preserve">Top tier catalogue and amazingly swift hassle free delivery. To
                boot, frequent free delivery coupons and free basket items as
                well. Definitely a go to grocery app. Also special shout out to
                'Blinkit Lit' *_&lt;</t>
  </si>
  <si>
    <t xml:space="preserve">Your services are undeniably good. I got all my ordered products
                within 15 minutes or sometimes even less. One of the changes I
                would recommend is to increase the cash on delivery limit to
                â‚¹3000 because I wanted to buy a wireless controller from blinkit
                but it shows that we can't purchase things over COD above â‚¹2000.
                Please make this change so that it would be advantageous for
                people like us who use cash over digital transactions.</t>
  </si>
  <si>
    <t xml:space="preserve">Use of AI in customer resolution is very poor. Wrong items
                delivered. They are providing item refund but what about the
                delivery charge customer has paid. Totally bad experience.</t>
  </si>
  <si>
    <t xml:space="preserve">Bloody liars they are first they have canceled my order out of
                nowhere and as per the previous information i should get my
                refund back by today i.e 16th 9f December and now they are
                saying the date is extended better and I'm getting no promt
                answer for ny query they are just passing the situation everyday
                so I want all you to re-check the order that you've placed and
                make sure you should select the payment mode by cash otherwise
                they use to cancel the order and don't refund the money back.</t>
  </si>
  <si>
    <t xml:space="preserve">I kept something in my cart and automatically the app have
                placed the order. The order was placed at 12:10 pm and just then
                I tried to cancel it at 12:11 and they say that now your order
                has been packed so it cannot be cancelled. It is very
                inconvenient</t>
  </si>
  <si>
    <t xml:space="preserve">On point delivery. Most items are good though fruit quality
                needs improvement. Have received oranges with rotting ones
                hidden underneath, but has been quickly returned. Most other
                stuff is good. Appreciate this service.</t>
  </si>
  <si>
    <t xml:space="preserve">There are few problems like even though they deliver very fast
                but not as it should. Th nearest blinkit store is at the same
                place where my coaching is situated, and it took 10 mins if one
                walks fast, but blinkit always deliver in 10 to 15 minutes I
                knew that there some takes for finding product and packaging it
                but still they should reach in less than 5 minutes or max 10
                minutes.One takes less than 2 minutes to cover same distance.
                additionally, they don't deliver doorstep to my hostel</t>
  </si>
  <si>
    <t xml:space="preserve">I am not able to purchase anything. All Payment options are
                showing Disabled due to technical problem. Tried reinstalling
                the app, cleared the cache but no use. Very bad experience.</t>
  </si>
  <si>
    <t xml:space="preserve">All good but today as I was adding some item on Christmas,
                firstly they provided 2 option as free gift 1. 250g cake 2. 70g
                cake I chose 250 g cake , but I don't know how they remove the
                250g cake and by their self they added 70g one. Wow what a
                strategy. Very disappointed</t>
  </si>
  <si>
    <t xml:space="preserve">Pathetic after sales support. Always giving standard replies.
                Statutory warnings are not shown for some products which
                contains allergen information and also some products not
                suitable for some ages and women and children. This kind of
                information is missing on the product page and when raised
                concern on this, they are not ready to take returns or exchange
                it with suitable product.</t>
  </si>
  <si>
    <t xml:space="preserve">Pathetic service, I have ordered a charging cable but it was not
                working after connecting on chat 1st of all they have no option
                to explain your problem just some ai genreted option to choose
                between, And 2ndly they offer replacement with same item Nobody
                was telling me if replaced item also won't work than what</t>
  </si>
  <si>
    <t xml:space="preserve">Worst Experience Ever! I placed an order on Blinkit expecting
                timely delivery, but it NEVER ARRIVED. No updates, no
                communication, nothing! Tried reaching out to customer support,
                and they were absolutely uselessâ€”just generic replies and no
                solution. If you canâ€™t deliver, donâ€™t take orders in the first
                place. Completely unreliable service. Iâ€™ve wasted my time,
                money, and energy on this platform. Will never use Blink</t>
  </si>
  <si>
    <t xml:space="preserve">Address Modification Required... Adding different addresses,
                editing them without mapand saving them woth individual Mobile
                number and Name of specific Recipient is Necessary. Adding
                details each time on payment page is headache. Also after that
                only account holder gets conformation call instead actual
                recipient while both should get it. AND Minimum Value for Free
                Delivery is Too High.</t>
  </si>
  <si>
    <t xml:space="preserve">Never buy any rechargeable items i bought buds which got died
                after 2 days I had to visit service centre then they replaced it
                and after some time i bought a lamp It has the same issue
                battery not working properly wroks only for around 15 minutes .
                The greatest thing is with this app Whenever you want to connect
                with customer care support you'll have to struggle like you are
                giving an interview for upsc . OVERALL I'VE BOUGHT TWO REACHABLE
                ITEMS FROM BLINK IT ANY OF THEM IS NOT WORKING PROPERLY</t>
  </si>
  <si>
    <t xml:space="preserve">Stick to buying low value grocery items on it. Don't buy any
                higher valued electronics or personal hygeine product. They sent
                me a product that looked ueed, and provided no resolution. The
                worst part is that on apps like these you can't even provide a
                product review, so the sellers can sell you any poor quality
                item and get away with it.</t>
  </si>
  <si>
    <t xml:space="preserve">Certain desired items are not available. Minimum quantity items
                should be also listed. Searching few items names in regional
                languages will be very helpful. An option to add Wish List to
                buy few products will be very helpful</t>
  </si>
  <si>
    <t xml:space="preserve">Never use this disgusting app it's totally scam ðŸ˜¡ I just want
                to aware you not to disgrace the app, because when you order
                something some time it would bad quality or defective and the
                customer service is always say to complaint later. Never gave
                proper solution. There is no option available for returning or
                cancellation</t>
  </si>
  <si>
    <t xml:space="preserve">Kost bakwaas app as just going through cart they placed order as
                it seems they d9nt have customers and bagging for business. Tha
                worst ever experience just in 30 second they says your order is
                packed which is impossible for anyone and not allowing me to
                cancel order. Never ever use blink it again Lot more option in
                market.</t>
  </si>
  <si>
    <t xml:space="preserve">I really love this app but if Adding free cash offers on
                platforms like Blinkit, similar to Zepto, can be a strategic
                move to attract and retain customers in the competitive
                quick-commerce market. These offers, such as cashbacks or free
                credits, incentivize users to make purchases and encourage
                repeat usage of the platform. By integrating such promotional
                schemes, Blinkit can enhance customer engagement, foster
                loyalty, and drive higher order volumes. Additionally, free cash
                can act as a market</t>
  </si>
  <si>
    <t xml:space="preserve">Extremely bad coustomer service. There's no product return,
                instead, they keep making you send e-mails asking you for
                different details, and then abruptly stop responding to the
                mails.</t>
  </si>
  <si>
    <t xml:space="preserve">1. Heavy delivery charges started recently (apart from handling
                charges) even for orders above Rs 500/- Big basket, and few
                others deliver free of charge even for orders worth Ts 150/- 2.
                No way one can get in touch with customer care for
                clarifications or complaints other than very few preprepared
                questions. Waste of time and money.</t>
  </si>
  <si>
    <t xml:space="preserve">It was very bad. I will tell you not to get it because the
                delivery comes within 10 minutes, but if you have a problem with
                your order. They have no proper exchange policy or return
                policy. Or whatsoever. I am so disappointed because i bought a
                product with so much of hope. And I thought that they will give
                it a replacement or at least refund the money whatsoever, but
                they didn't do it. They don't even have a Help department Or
                call facility for the customer To reach out</t>
  </si>
  <si>
    <t xml:space="preserve">Blinkit has started cheating it customers. It removes free items
                just before placing the item when we peep on another page..and
                doesn't provide any option to apply offers or codes...I just
                uninstalled it.</t>
  </si>
  <si>
    <t xml:space="preserve">Amazing Model!!! As from tier2 city, I used to buy some great
                products &amp; groceries from Amazon which takes days to diliver
                with higher cost. But Blinkit solved my problem as they r
                available on blinkit &amp; are delivered to me in just few
                minutes....Just bring the Print Store option fast! It will be
                really helpful for students who need big printouts of several
                pages.. I hope it can deliver me print of DPP sheets of 100 or
                200+ pags with binding (if it's not available now then add this
                in future)</t>
  </si>
  <si>
    <t xml:space="preserve">First of all purchasing expensive or high cost product is not
                recommended. Ordered note book worth 250rs. Instead received the
                one worth 68rs. But the delivery guy coordinated with me really
                well. Got the replacement within 15 min. So the three stars only
                for it. But received the wrong graphic on the cover page. It's
                ok ,I just want my writing material. But this is really
                disappointing. I hope blinkit and Zomato will work on this.</t>
  </si>
  <si>
    <t xml:space="preserve">Worst app for quick delivery in Chennai. Zepto and Instamart are
                better than this. Not even once they have delivered the product
                on time and everytime they ask the customer to adjust and says
                it's operational issues. While ordering it says 10 min but my
                order was delivered 30 min( nearly 3 times more). Pathetic
                customer support and poor customer management. Worst ever app</t>
  </si>
  <si>
    <t xml:space="preserve">Very poor advice by the executive.. when I didn't have the
                number to login. He asked me to uninstall and install.. I cannot
                login because of my changed phone number.. I couldn't make any
                changes in the order now . I have placed a return request which
                was cancelled.. website orientation is very poor. Cannot call
                the website with other phone number... Very bad experience</t>
  </si>
  <si>
    <t xml:space="preserve">Very fast delivery, I love it. Whenever I need to buy something
                for an emergency. Blinkit is the hero! When I want snacks really
                fast, Blinkit is the superhero! Plus it has exiting offers that
                I really love! In conclusion, blinkit is one of my favourite
                apps ever! 10/10</t>
  </si>
  <si>
    <t xml:space="preserve">Very user unfriendly. They sell expired products, especially
                eggs. When you want to complain, the automated options are very
                few, Very irritating to start a chat with them as the issues are
                not listed and hence, not resolved. Al on al, a bad app</t>
  </si>
  <si>
    <t xml:space="preserve">I have been loving this app Already very easy to shop and the
                prices were also decent it's not too high. I will definitely
                recommend you guys to use this app and it's delivery is always
                on time. Thank you so much blinkit and it's workers ðŸ’ . This is
                my earlier feedback but now when I paid online 1 to 2 times it's
                will always shows that the COD(CASH ON DELIVERY ) is not
                available. It disappoint me a lot. And many times because of
                this issue i have not ordered from them. Now I am giving 4
                stars.</t>
  </si>
  <si>
    <t xml:space="preserve">No after support, never trust them. Once the order is delivered
                no support or replacement available if the item is spoiled or
                expired. Chat support always shows that it is unavailable and
                doesn't help.</t>
  </si>
  <si>
    <t xml:space="preserve">Very poor service. Even though there's an option to cancel the
                order, it doesn't get canceled. Worst service ever. I was just
                checking the product price, but the order got placed by mistake.
                Even after trying to cancel it, the order didn't get canceled.</t>
  </si>
  <si>
    <t xml:space="preserve">The product recommendations are very good. Delivery quality is
                nice. Chat support is also nice. Product availability is also
                nice. Most important it is not mid like instamart which sucks.
                Blink it is too good, might feel like a paid review but it's
                not. Really this app is really the best. Delivering prints is
                life savior, i need documents i just ask blink it to deliver it
                to me, this thing has saved me a lot of time and embarrassment.</t>
  </si>
  <si>
    <t xml:space="preserve">I had a very bad experience with this application. I paid for
                and ordered a product, but after some time, when I called the
                delivery boy to inquire about the delay, he informed me that the
                product was not available and asked me to cancel the order. I
                spoke to Blinkit's executive, but she was unable to help me. Now
                I have to wait 3-5 days to get my money back.</t>
  </si>
  <si>
    <t xml:space="preserve">Some products are fine, but some are fake or expired product,
                oxidised biscuits, really bad, and the worst thing is that I'm
                unable to get in touch with any company executive, really worst
                experience after ordering 3rd time</t>
  </si>
  <si>
    <t xml:space="preserve">The product quality is very poor. I have order from here 12, 15
                items and return 5 items but it's very hard to follow up with
                customer service no one understand situation. I talked with 7 to
                8 customer executives but last person solve my problem. And the
                quality of product is very poor. When my products delivered
                there is very bad smell from packets and all packets are very
                dirty. Don't buy from these apps go to the market and purchase .
                If emergency than you buy otherwise I Say No.</t>
  </si>
  <si>
    <t xml:space="preserve">1-Delivery personnel to be managed properly with cc no to be
                available locally even after taking tip/delivery charge/handling
                charges they do not want to deliver door step but ask customers
                to pick items from main gate ( Gurgaon). 2 - App having default
                application of ICICI bank payment link appearing every time of
                payment this is to be blank person payment mode. 3 - App ask for
                storing card information and linking wallet this is not correct
                buisness practice to avoid any frauds app to be updat</t>
  </si>
  <si>
    <t xml:space="preserve">Have been a regular user of blinkit since the past 2 years and
                my experience with the app has been quite good, however recently
                they have made a change in delivery system where they deliver
                things from two different stores. It's just such a problematic
                change as when you to wish order things from both the stores
                most of the times one store is just unavailable. Also the high
                surge charges. Really disappointed from blinkit â˜¹ï¸. Pls get
                things back to normal as they were before.</t>
  </si>
  <si>
    <t xml:space="preserve">This is a very good app. The product is delivered at home within
                a few minutes. But some items get out of stock very quickly, so
                blinkit tries to make sure that all items are available. And
                bring more items on blinkit . And try to keep the price somewhat
                correct.</t>
  </si>
  <si>
    <t xml:space="preserve">There delivery person's behaviour was very bad, every time they
                asked for extra money. Even this app also changed, delivery
                charges on every delivery. Zepto always gives free delivery even
                lots of coupons to their customers &amp; big basket also provide
                free delivery even law cost but fresh products to their
                customers, but this app is very costly and specially extra
                delivery charges also their. Very bad services.</t>
  </si>
  <si>
    <t xml:space="preserve">They are delivering wrong items and then updating the cart
                history also with wrong items. This is absolutely not done. What
                should I do with this unnecessary items of no use for me? Their
                customer support is also showing they are unavailable.</t>
  </si>
  <si>
    <t xml:space="preserve">I've been using Blinkit for a while now, and it has become my
                go-to app for grocery shopping. The app is well-designed, easy
                to navigate, and offers a wide range of products. The best part?
                Super quick delivery, often within minutes! Really loved it ðŸ˜
                Really India's Last Minute App ðŸ©µ</t>
  </si>
  <si>
    <t xml:space="preserve">Maybe sometimes it takes 2 or 3 mins extra from the time shows
                but it's absolutely worth it I mean irrespective of the time in
                day or night with a few clicks I get what I want without going
                out anywhere I've been using this long back it was known as
                groffers and till now I haven't faced any issues. So cheers to
                Blinkit.</t>
  </si>
  <si>
    <t xml:space="preserve">Blinkit is super useful for instant grocery shopping but some
                items are not available in this app. I wanted fresh strawberries
                and other fruits which are not available as it is very
                disappointing. Other than that delivery service and packaging is
                too good</t>
  </si>
  <si>
    <t xml:space="preserve">They sell expired food item and when asked for compensation they
                didn't accept, when asked for replacement also they didn't
                provide. I ordered it because I wanted a chocolate and they're
                like the only option we can do it to give a refund. So even if
                you're admit in a hospital for food poisoning nd yet you'll
                receive a refund for the product alone. The product was more
                than 3 months old!</t>
  </si>
  <si>
    <t xml:space="preserve">No bug fixes... Item ordered accidently and there was no option
                taken for cancellation even in 20 seconds...it was updated in
                the app that delivery parter is assingned...however it was a
                fake uodate...it clearly shows user unfriendly act...</t>
  </si>
  <si>
    <t xml:space="preserve">Received order with missing item and support executive says I
                don't have any option except refund. I have paid premium so that
                goods can delivered me at home. If goods are not delivered to
                me. What is the benefit of paying the premium price on blinkit
                app. Bad experience.</t>
  </si>
  <si>
    <t xml:space="preserve">I ordered spinach in two quantities. Received only one. Trying
                to chat and choose the item not delivered. But I am not able to
                select. This I very bad experience. Even the cauliflower that
                comes was full of insects. Not happy at all</t>
  </si>
  <si>
    <t xml:space="preserve">Great to get all sorts of assortment from Blinkit my favorite
                app.Has improved a lot in terms of assortment, quality, short
                response time , refund.. Delivery partners needs training
                specially to handle frozen and chilled items plus keeping heavy
                items below and separating food and non food as much as possible
                Many vegetables and fruits item rates have gone up reducing the
                frequency and qty of orders ..Pl keep it competitive for regular
                items v/s local vendors</t>
  </si>
  <si>
    <t xml:space="preserve">One thing that I would suggest that, so many times I need to buy
                something but not at the moment. Then there should be a wishlist
                or favourite list, where I can save my product to purchase
                later. Currently, I have to use cart for this feature, but there
                should a feature like that</t>
  </si>
  <si>
    <t xml:space="preserve">Works almost like magic!!!!!! We were messing around to check if
                it actually.. Like actually works and tried sports stuff veggies
                etc and yes they do deliver everything in 10mins... Just
                blinkit! Best buddy for me in Bangalore Just adding a comment,
                Customer service is brilliant.And after using for many months I
                repeat,Works like magic!</t>
  </si>
  <si>
    <t xml:space="preserve">There is no option to refund the amount to the original payment
                source; instead of provide E-Coupons. Additionally, delivery
                charges are extremely high. This is a very disappointing
                experience with this app. I have decided to permanently boycott
                this application.</t>
  </si>
  <si>
    <t xml:space="preserve">After returning a product [ WONDER CHEF NUTRI- BLENDER â‚¹1300]
                they offer you with coupon instead of money. And even if it
                expires they aren't going to refund you in any ways. It's a win
                win for them. HORRIBLE CUSTOMER CARE SERVICE. ALWAYS READY TO
                CHAT BUT NO CUSTOMER HANDLING MANAGER. They have clearly
                mentioned that they can't do anything. WORST SERVICES EVER Has
                already mailed you the details related to issue but unable to
                resolve. Pathetic service. Need to file a case in consumer
                forum.</t>
  </si>
  <si>
    <t xml:space="preserve">After placing order it shows order will deliver in 11 min so I
                waited, but there was rain so slight delay also fine. I waited
                20 min then 30. Rain stopped but order not delivered. I tried to
                reach to deliver man but call was not connecting, i waited 45min
                &amp; called again , luckily call got connected and delivery man
                said I will be reaching in 1 min. But after 1 hour there was no
                update. Then I checked my order status it shows delivered but I
                didn't received it. No option to connect with support.</t>
  </si>
  <si>
    <t xml:space="preserve">Guys it's worse. They offer home delivery service but their
                delivery staff don't even know their responsibility or what's
                home delivery service means. Once they reach near the address
                given by the customer, they(delivery staff) will contact the
                customer and order them to approach them(even though they know
                the exact location/address) and collect their order somewhere
                else instead of them home delivering, What a shame. Incase if
                they don't know or struggle to located the address,I'm happy to
                help</t>
  </si>
  <si>
    <t xml:space="preserve">It is most worst app which I use they can cut payment from your
                account but order was not place it's not happening one or two
                time it's doing again and again time. Don't shop anything from
                this app. Their delivery partners can steal the stuff from
                unpacked package.They didn't provide cash on delivery when they
                want to fraud with doesn't buy anything from this app to by
                online payment always choose cash on delivery. They scamed
                millions and billions rupees a lot of people.This app is not
                safe.</t>
  </si>
  <si>
    <t xml:space="preserve">Review Title: Poor Service and Misleading Practices Review
                Content: I had a terrible experience with Blink's service. The
                potatoes shown in the app were not the ones delivered. The
                delivery person in the morning insisted that I open the package,
                claiming the potatoes were good, and assured me that he would
                replace them by evening if needed. However, despite waiting the
                entire day, no one came back, and no resolution was provided.
                This kind of service is unacceptable, and customers deserve hone</t>
  </si>
  <si>
    <t xml:space="preserve">They cheat by sending different products and then don't even
                bother to talk about it. Just keep sending the automated message
                saying that inconvenience is regretted. Without ACTUALLY GIVING
                GIVING ANY SOLUTION. Very very unprofessional and unexpected.</t>
  </si>
  <si>
    <t xml:space="preserve">Overall experience of ordering is good but coming to support it
                is not providing the option to type . I got the only predefined
                issues. And one more thing if you showcase customer that order
                upto this much amount and get something free you should have to
                include it while I am not getting that.</t>
  </si>
  <si>
    <t xml:space="preserve">Worst experience with blint it ! Not once, twice! I ordered a
                gift hamper to gift it to someone, after I gifted they sent me
                an image that it was damaged ! I raised a concern via the chat
                help, they are like we want the product back to replace ! How
                someone can ask the gift back from someone after gifting I
                ordered it for gifting why they delivered the damaged product?
                And then customer care is showing attitude also that they don't
                care if I use different app,So they don't need customers anymore</t>
  </si>
  <si>
    <t xml:space="preserve">Constantly give wrong and incorrect items then waste your time
                with returns, I need to go places but no waste an hour for them
                to come back and take it, should just let people keep the item
                if you constantly make mistakes like that, this is the 14th
                time, horrible service.</t>
  </si>
  <si>
    <t xml:space="preserve">Small products amount is too high... I give order for 500ml milk
                28/- but they bill 83/- ... They are adding too much handling
                charges, delivery charges... It should be less it's too much for
                one small product... They are charging 55 rupees extra .... This
                is very bad ... Even they also charged more extra charges for
                other products too..</t>
  </si>
  <si>
    <t xml:space="preserve">Very bad experience with blinkit. It take more delivery charges
                than other apps. Kindly avoid this type of app and go towards
                other apps for exclusive offers and free dilivery. It also
                charging high demand charges without any reason. Kindly look
                into it.</t>
  </si>
  <si>
    <t xml:space="preserve">Mostly, all good, services are very quick and delivery partners
                are also good. However, I feel the delivery charges are too
                high. It should be exempted after items worth a certain amount
                have been added to the cart. Sometimes quality of vegetables is
                also not good, especially the ones ordered late evening</t>
  </si>
  <si>
    <t xml:space="preserve">I've ordered 2 chocolates along with some other items but I've
                only received one chocolate and I've raised the concern
                immediately. They told me that there was no mistake on their
                side and that they have send the 2 chocolates and can't do
                anything about this . I find it really hard to understand that
                how can they just ignore my concern and ask me to rate their
                experience with customer support when they have not yet offered
                the assistance with my issue I've never used blinkit and this is
                1st ordr</t>
  </si>
  <si>
    <t xml:space="preserve">It is very good but as you order more the charges are more once
                I ordered a package and i accidentally gave more money than
                usual amount and when I called to get it back the driver refused
                to come. ðŸ˜‘ðŸ«¤ And if you ordered something you can't replace or
                return the stuff. ðŸ˜©</t>
  </si>
  <si>
    <t xml:space="preserve">One item got Returned.... And Promo code given me to use. Now
                after 3 hours still it's not showing anywhere anyhow to use.
                Also, there's no Customer care service to assist me as there's
                no active order. Tired all possible ways and not getting any
                help.</t>
  </si>
  <si>
    <t xml:space="preserve">I loved this app but nowadays the items are always missing and
                the customer service is also very bad they don't respond the
                delivery guy took more than the actual amount...I contacted him
                no response... And the team says that no items were missing and
                we didn't found any clarification...very good blink it m gonna
                buy from local stores now and I'll uninstall this app never
                gonna purchase from this... guys uninstall this app it's a fraud
                app</t>
  </si>
  <si>
    <t xml:space="preserve">I have very much disappointed with blinkit regarding items
                received and customer support and even compare the price range
                also other grocery delivery apps are much smoother and customer
                support was very great. And prices are very high. Overall I felt
                it was very worst experience with blinkit.</t>
  </si>
  <si>
    <t xml:space="preserve">Blinkit delivery app is a fantastic solution for quick and easy
                shopping. With fast service and a wide range of essentials, itâ€™s
                a perfect choice for busy schedules. A great way to get what you
                need without the wait!</t>
  </si>
  <si>
    <t xml:space="preserve">Quick deliveries and smooth interface. Support is also good, I
                received a faulty product which they managed to return within
                minutes!!</t>
  </si>
  <si>
    <t xml:space="preserve">Really super-fast service by Blinkit, 10 mints is not over in
                the mean time delivery person came at my door step, app also
                working smooth, all product details updated properly. Thanks
                Blinkit, that's why i give u ***** rating.</t>
  </si>
  <si>
    <t xml:space="preserve">The experience is very good. When I place an order it quickly
                comes to my house. But my only concern is about the bags.
                Sometimes the glue on the one time usable bag is so strong that
                the product gets sticks to it and sometimes it becomes torn. So
                pls provide carry bags. Otherwise everything is very nice.</t>
  </si>
  <si>
    <t xml:space="preserve">The app has lots of variety in products but there is usually no
                discount for cash on delivery but overall things delivered very
                quickly Edit: the cash on delivery feature has been removed. It
                is inconvenient for many people, kindly fix this issue</t>
  </si>
  <si>
    <t xml:space="preserve">Worst app...this is scam....they are looting money from the
                users by delivering wrong size order and not accepting the
                return if there is an option to return by submitting the
                proof.... I ordered the helmet skull cap which doesn't fit to
                me...then I have shared the images and videos as per their
                request...4 times...at the end they reply with the images are
                not clear...this is a totally fraud app. Most of the reviews are
                fake which adds up to 4.3 ratings.</t>
  </si>
  <si>
    <t xml:space="preserve">Poor quality standards. The app has started charging hidden
                charges. At the time of placing order the app shows free
                delivery and post final order it inlcudes delivery and
                surcharges. They are cheating customers and making stupid
                excuses.</t>
  </si>
  <si>
    <t xml:space="preserve">Items are very less and mostly out of stock, they don't even ask
                for confirmation before final step. Shipping is high, customer
                support is worst. Flop app. Either use instamart Or zepto Or big
                basket guys..</t>
  </si>
  <si>
    <t xml:space="preserve">Items in the app are way too expensive . A political map of
                India of Rupees 10 costs me Rupees 50 , after I include the
                delivery charges . My total amount is 100 Rupees . This means I
                have to spend 10 times more on anything on this app to buy
                anything.</t>
  </si>
  <si>
    <t xml:space="preserve">So far, our experience has been very good with products, both
                non/perishables. The delivery is fast and on time. The inventory
                across multiple neighbourhoods is satisfactory too. While the
                rating system helps guage the product's popularity, allowance
                for a detailed review for products will help me shop more
                confidently.</t>
  </si>
  <si>
    <t xml:space="preserve">The customer service is too slow. I ordered an item and they
                delivered less quantity of it. I gave all of the proofs required
                and waited patiently for the customer service as they literally
                took 1 hour to reply. And after all that, they said that it is
                not in their hand. They agree that they took our money, but will
                not do anything about it as it is "not in their hand". Really
                disappointed.</t>
  </si>
  <si>
    <t xml:space="preserve">Simply Awesome. I used to order food from Zomato a lot. Now it's
                become easy to buy groceries from an app that has almost same
                UI. And free delivery for first 10 orders is literally just a
                game changer.</t>
  </si>
  <si>
    <t xml:space="preserve">Worst customer service after delivery they didn't accept return
                ....i asked return an item for many times but they didn't do
                that. I received an another customer support email and i was
                supposed to get resolution but even they didn't give me proper
                resolution ðŸ™ƒ ..... I wish to upload screenshot but i can't</t>
  </si>
  <si>
    <t xml:space="preserve">Excellent ,fast delivery. I would recommend this app to my
                friends and relatives. Thanks a lot.I would order more items in
                future whenever there is a need. Blinkit is a very good app
                available online for our needs.I hope blinkit will continue to
                serve more and more people.All the best. Keep it up.</t>
  </si>
  <si>
    <t xml:space="preserve">Worst experience if you are ordering from them then make sure
                there will be no support all of things are automated answers
                resolution, I have order one red led bulb and they have
                delivered white one I don't have any option to replace it or
                return it and the customer support is saying the product is
                used, you have send me wrong product within 10-15 min i have
                raise this issue to support team but they are just using
                automated answer. So go for other applications blinkit sucks i
                will not order. ðŸ™</t>
  </si>
  <si>
    <t xml:space="preserve">The deliver wrong products and when returned they do not refund
                the amount. They deliver wrong item and expect us to keep it
                &amp; if you return they provide coupons which is valid only for
                30days. It's like either you use your money in 30days or forget
                it. Uninstalling it right away!!</t>
  </si>
  <si>
    <t xml:space="preserve">90% of the products are always overpriced on Blinkit (YOU CAN
                COMPARE THE PROCES FROM OTHER PLATFORMS) and delivery fee and
                handling charges are included too. Either cut down these extra
                charges else please do no price things higher.</t>
  </si>
  <si>
    <t xml:space="preserve">This is the most pathetic customer service, these people
                delivered wrong product to me twice in the last 3 deliveries and
                on top of that did not provide the replacement! I would suggest
                to use instamart instead, they have much better service.</t>
  </si>
  <si>
    <t xml:space="preserve">Very very useful. Today's a extreme cold weather with rain. My
                cat liters on my blanket , i had urgency of blanket to save
                myself from the cold and i ordered blanket from Blinkit and i
                got my blanket within half an hour. Thank you blinkit .And
                please add more items with quality.</t>
  </si>
  <si>
    <t xml:space="preserve">Nice experience with Blinkit in Guntur! Due to busy life
                difficult to go to shop. But getting delivered at the door step
                within minutes is awesome! However I suggest that delivery
                partner should be driving safely to deliver the order. It
                needn't be 8 minutes everytime.</t>
  </si>
  <si>
    <t xml:space="preserve">app doesn't load anymore, what a joke bot reply expected ðŸ˜„
                also, they never deliver on time delivery boy always moves in
                the wrong direction ðŸ¤£ plus they have a closed system whereby no
                reviews can be left for expired items delivered and no callable
                no. within the app either in case you need to say something to
                the store for the most basic customization plus they don't
                support option for carrying change Update: saw signs of
                improvement today</t>
  </si>
  <si>
    <t xml:space="preserve">They do false publicity by saying in 9 mins they deliver. it is
                not possible in Bangalore that they deliver in 9 mins, moreover
                store takes more than 10 mins to do billing. worst app and
                horrible experience as they started their business on a lie of
                promising customers order will be delayed. it's been more than
                40 mins still not delivered. Use zepto or Instamart instead of
                this nonsense.</t>
  </si>
  <si>
    <t xml:space="preserve">The app delivers alternate products of lower value without
                customer consent and does not provide service support post wrong
                delivery. Even chat support is not available mentioning they are
                busy. Fully ai managed? leaving customers to live with what
                blinkit handsover. I was on travels when I ordered this and
                blinkit took me into this experience of not having anyone to
                support at the hour except AI that kept closing the concern.
                Issue resolved in morning after raising issue again for refund
                return</t>
  </si>
  <si>
    <t xml:space="preserve">Blinkit goes by its name of delivering your needs in the blink
                of an eye. Excellent warehouse setup very near to the location
                and safe delivery of goods without any hassle. Anytime and at
                most of the places in the city. It has been a pleasant
                experience so far.</t>
  </si>
  <si>
    <t xml:space="preserve">Very poor in all orders placed by me having issues like poor
                quality products compelling for double payment and not
                fulfilling the promise of refund. Overall, it was a very bad
                experience I had. Not willing to give even a single star, please
                consider it a zero star rating. Worst services, cheting the
                customer.</t>
  </si>
  <si>
    <t xml:space="preserve">This is amazing how I can just order anything I want and it
                comes in minutes... But the problem is that they should get more
                items.. like several times I want some Korean products but they
                are not in and delivery charges are also very high like it
                triples to the original price of the product ðŸ™ƒbut still it is
                good ðŸ‘ðŸ»</t>
  </si>
  <si>
    <t xml:space="preserve">Never ever I repeat never ever by any makeup products from blink
                it. They deliver fake products, opened and products completely
                in dust. When I asked for the refund the executive simply wasted
                my time and say that they can't help me. I have shared all the
                information to them with videos and pictures proof. Wasted my 5k
                on this. Blink it is a scam. Never by from them</t>
  </si>
  <si>
    <t xml:space="preserve">Blinkit is the epitome of convenience. I am lucky to have a
                blinkit store 0.3 Km away from my house. That means I get almost
                everything delivered within 7 minutes of ordering, almost all
                through the night. Nothing beats this. Amazon prime doesn't even
                come close.</t>
  </si>
  <si>
    <t xml:space="preserve">We were frequent users of Blinkit and were very happy with the
                services until today. We ordered milk and vegetables in the
                afternoon. It was a prepaid order and not cash on delivery.
                Order received n used. All good till here. Then in the evening
                one Blinkit person came asking for the items back! Telling us
                that the order was cancelled and refund initiated and the items
                had to be returned!! Not to mention, he was drunk!!! Created a
                big scene at our apartment gate! So unsafe! Forced to uninstall!</t>
  </si>
  <si>
    <t xml:space="preserve">True to its name..Blink it and you get it... My first order as I
                wanted to try it out and I must say... Really impressed...
                Delivered in 15 mins.... Amazing...Hope this stays this way and
                not like so many other apps which deteriorates by the end of the
                day... Great going Blinkit... Congratulations....</t>
  </si>
  <si>
    <t xml:space="preserve">I have been using this app for more than a year but recently I
                got an issue. There was free item on Diwali sale. I places an
                ordered according to it but there was no free item in the
                delivery parcel. I emailed to support also but there is no
                response. I am unable to connect to customer care.</t>
  </si>
  <si>
    <t xml:space="preserve">ordered groceries, while ordering the delivery time was shown as
                35 minutes but till now almost 1 hour has passed and the order
                is still not delivered. The delivery boy bike is facing some
                issue. They have told me that it take 2 hours.Pls cancel my
                order. I never order from blinkit.worst experience.</t>
  </si>
  <si>
    <t xml:space="preserve">Chat support is not helpful. Bot doesn't to connect to CS
                associate even when the issue can't be handled by bot and is not
                listed on the drop down list.</t>
  </si>
  <si>
    <t xml:space="preserve">It's useful app n excellent service They deliver as soon as
                possible. All the products are available easily. Their shop is
                nearby so it is very beneficial. This app is usefull for those
                who are unable to leave the house.</t>
  </si>
  <si>
    <t xml:space="preserve">It does have alot of options for buying products but the time
                taken to deliver them is insane. They take so long to get our
                orders. For example I ordered chips and on the app it said 6mins
                and the delivery took well past 20 to 25 mins</t>
  </si>
  <si>
    <t xml:space="preserve">Don't purchase from them they had sent Fungal infected and
                rotten onion. After complaint and sending the images they are
                telling that there is no issue with the product. No contact no
                to which you can contact. Truly very unprofessional. I am
                requesting don't buy from them it's my advice. This was my first
                and last order.</t>
  </si>
  <si>
    <t xml:space="preserve">Some products make me so happy! ðŸ˜ŠðŸŽ‰ But why do guys add
                electrical and electronics products? ðŸ¤” They're either good or
                damaged... and I mostly receive damaged ones. ðŸ’”ðŸ˜­ Why does this
                always happen to me? Is anyone else facing the same issue?
                #UnluckyWithElectronics #NeedBetterQualityControl</t>
  </si>
  <si>
    <t xml:space="preserve">I ordered electronic items from the app as it was written that
                they give GST invoices. They made the wrong bill and no one from
                the end is taking accountability. They don't have any customer
                care number so all you can do is talk to their automated chat
                box, which is not reaaly useful.</t>
  </si>
  <si>
    <t xml:space="preserve">Blinkit's customer service is extremely poor. There is no way to
                contact them, and they do not resolve any issues. They deliver
                very bad products, and there are no proper facilities for
                returns, replacements, or refunds.</t>
  </si>
  <si>
    <t xml:space="preserve">BlinkIt is easily the best 10-minute grocery app (in Bangalore,
                at least). Prices are slightly higher (sometimes just single
                digit differences) than it's competitors but the service is much
                better, so it justifies the price.</t>
  </si>
  <si>
    <t xml:space="preserve">I do not like this app at all because it is not available in my
                location and it does not show the products in the blinkit either
                that's why I am Uninstall this App. And If you were to show
                products, then you could get the product from Blinkit at another
                location, but you used to show long products as well But if you
                were to show long products as well, then you could get the
                product from Blanket at another location, but you used to show
                long products as well, I did not like it at all.</t>
  </si>
  <si>
    <t xml:space="preserve">Hate the new update. Please change the interface. Its very
                irritating. Can't find what i am actually looking for. Rather
                than showing everything what is searched, you show items
                related. Please change it.</t>
  </si>
  <si>
    <t xml:space="preserve">It was good, only one point for the developer is that there
                should be a final alert before placing the order. There should
                be a pre-confirmation checkbox. Now, at the moment, checkout
                page if we click the submit button just by mistake, the order
                will get placed.</t>
  </si>
  <si>
    <t xml:space="preserve">"5/5 stars! Brr-illiant service! Blinkit has been my winter
                wonderland for all my daily essentials and groceries! The app is
                so user-friendly, even on the chilliest of winter mornings.
                Customer support is also warm and helpful. Highly recommend!"</t>
  </si>
  <si>
    <t xml:space="preserve">I didn't receive my ordered list. They have missed an item. No
                one in support. No phone number. All replies are through bots,
                be it chat Or email. I am receiving email saying... Issue will
                be resolved in 72 hrs, while they committed 12 mins delivery.</t>
  </si>
  <si>
    <t xml:space="preserve">fast and good range. Will get even better when more product keep
                getting added. Veggies are especially fresh and neatly packet.
                Additionally after nearly nearly 6 months since service started
                in Dehradun I can only reaffirm the very efficient service being
                provided. A specific point: in wet season or with moist
                refrigereated items your otherwise gorgeous paper packs are
                disintegrating and falling apart by the time of delivery so
                maybe a suitable solution ????. Best wishes overall.</t>
  </si>
  <si>
    <t xml:space="preserve">Can't deliver clean and hygienic merchandise and food items.
                Refund system is pathetic . They don't arrange replacement
                unlike swiggy.. Swiggy and other apps have better refund system.
                In blinkit ,it takes ages and technical issues for your refunds
                and promo code will take 1 to 2 hours which makes it difficult
                to order necessary items. I ordered henfriit 30 eggs ,and it was
                in pathetic condition ,fungus,broken,how can they operate like
                this when the box was visibly rotten and wet from out side.</t>
  </si>
  <si>
    <t xml:space="preserve">Worst expirence. First time I ordered in blinkit got expired
                product but they didn't assist me. Don't buy products in this
                app. Better use other applications which will support us and
                even at all times. I felt really bad. I could not afford money
                BC of my current situation. The product cost is high and even I
                got expired milk product. Why the customer support team why
                can't they help customers to help in this situation. And simply
                saying we could not do anything at this time. Is this the answe</t>
  </si>
  <si>
    <t xml:space="preserve">Pathetic service .........the product is not getting on
                .,......you should check the product before delivery. This is a
                pathetic app they don't provide you refund if you have paid and
                if they send a non working product . Don't use this app without
                cash on delivery because once you have paid they will not refund
                it to you . Remember. The have worse refund policy .</t>
  </si>
  <si>
    <t xml:space="preserve">Highly expensive! Extra delivery charges, the only &amp; only
                best thing is fast delivery except that everything is extra and
                highest-rated charges.. 25 rs delivery charges, most of the
                times charge 30 rs extra charge surge and 2 rs on top of that
                handling charges.. Too much loot.. I don't understand, this
                blinkit why they keep so expensive products apart from grocery
                if they don't have any return no exchange policy. Recently, I
                purchased one item and want to exchange other same items. They
                are not</t>
  </si>
  <si>
    <t xml:space="preserve">Horrible experience. Imported addresses from my other account. I
                placed an order for Andhra location but instead received in
                Mumbai. Why enable the option of choosing another place if you
                don't deliver? No such question in customer service automation.
                Horrible app.</t>
  </si>
  <si>
    <t xml:space="preserve">Absolutely pathetic customer service. They'll send defective
                pieces and when you try to get in touch with the customer care,
                they'll put so many workarounds that you will have to give up in
                the end. Dreadful experience.</t>
  </si>
  <si>
    <t xml:space="preserve">Started as a very upfront entity but as soon as it was acquired,
                its services has gone down the drain, they have missed the mark
                everytime in the past month or two, be very cautious while
                ordering, the often deliver damaged goods or incorrect items and
                God forbid if you're looking for a refund for your hard earned
                money, I had to wait approx 15 days to get mine</t>
  </si>
  <si>
    <t xml:space="preserve">The items are always poor and delivery agents can't even follow
                instructions on app. Pathetic. I always select option- Do not
                ring the bell, but still the delivery guy will always ring the
                bell. Hire someone who can read and write</t>
  </si>
  <si>
    <t xml:space="preserve">The time you save for us is very appriceable, but the service
                you are providing is lacking the quality day by day .. specially
                when it is about fresh vegetables.. the vegetables are stale or
                even spoiled. Also what I ordered was found missing twice even
                after paying full amount prior the delivery.. and the amount for
                the missing items was never refunded..</t>
  </si>
  <si>
    <t xml:space="preserve">Absolutely poor service and help centre.Zepto is far better in
                all sense.Their primary aim is to cheat you. Had a bad
                experience with items, refund and replacement. Deleting the app
                for good. The arrogance creeps in from zomato to blinkit.</t>
  </si>
  <si>
    <t xml:space="preserve">Very bad experience now days. Orders are coming late and even
                charging more than market rate. No discounts and increasing
                delivery charges range. Also no coupons are available fot small
                orders.</t>
  </si>
  <si>
    <t xml:space="preserve">There are less filters available for eg: I am browsing a store
                item there should b filter available what product I am searching
                a particular store has thousand products, I don't want to browse
                thousand products. Want to buy hair oil and store has face cream
                also I don't want to buy it but still I am browsing them. And
                same product if available with another vendor at a lesser price
                option to switch vendor should be available.</t>
  </si>
  <si>
    <t xml:space="preserve">I am highly satisfied for their prompt delivery,quality of all
                product from groceries to vegetables,chicken. fish, mutton etc,
                fruits. etc practically all the items they deliver to doorstep
                of their customers. Last but not the least the prices of all
                their products are much cheaper than others. So i recommend all
                the peoples please try their services and qualities of all their
                products especially their prices and feel the truth of my
                recommendation. I wish their more successes</t>
  </si>
  <si>
    <t xml:space="preserve">They delivered wrong product and when I complained about it to
                their chat representative, they had over attitude and condemned
                the whole complain and close the chat without any satisfactory
                solution. Swiggy Instamart is better than the most of delivery
                apps. Edited : Now they are delivering order with some missing
                items so kindly check the ordered items properly.</t>
  </si>
  <si>
    <t xml:space="preserve">I do not have so good experience. I got defected product and got
                another product in replacement instead of that same product.
                They show the products available but just after paying they will
                show you item out of stock. Refund will come but everytime they
                take about 30- 50 extra charges. What about that?</t>
  </si>
  <si>
    <t xml:space="preserve">Very Disappointing Experience with Dragon Fruit from Blinkit I
                recently ordered dragon fruit from Blinkit, and my experience
                was extremely disappointing. Out of the three dragon fruits I
                received, two were completely rotten, as you can see in the
                attached image. Moreover, the one that wasnâ€™t spoiled was
                extremely small in size and of very poor quality. Dragon fruit
                is considered a premium product, but what I received was not
                only bad to look at but also inedible. I expected fresh,
                good-quality</t>
  </si>
  <si>
    <t xml:space="preserve">Gradually getting bad , very haphazardly packed , specially
                items that are meant to be frozen or cold , have recived two
                instances of open packets with content half missing , once in
                sealed bag and once otherwise. Gradually ordering more and more
                from bigbasket Go , better alternative.</t>
  </si>
  <si>
    <t xml:space="preserve">Pathetic service , cheating consumers, Applied a coupon to get
                an item worth 170 with my order, got nothing and they said its
                out of stock so no refunds no dekivery, I could have ordered
                from som other appinstead from which I could have got a better
                offer, If the item was out of stock then why was mentioned on
                the app, terrible experience</t>
  </si>
  <si>
    <t xml:space="preserve">Very quick and easy delivery experience. All the items are good
                quality. But was not very happy with buying fresh vegetables and
                especially green leafy vegetables.</t>
  </si>
  <si>
    <t xml:space="preserve">Payment Issues Need Immediate Attention Blinkit needs to
                seriously address its payment system. The Lazypay option has not
                been working for a while now, and itâ€™s frustrating. Itâ€™s
                inconvenient when you rely on a payment method only to find it
                unavailable during checkout. Please resolve this issue quickly
                and ensure all payment options work seamlessly. Such glitches
                harm the user experience and make the service unreliable.</t>
  </si>
  <si>
    <t xml:space="preserve">very fast and perfect, freebies policy best , at time high
                various expenses, regular customer must give priorities I down
                rating cause now they charged very high under the name of
                various charges. For 70 rs item they charged 70 rs , going to
                stop this facility. Guys, if you observe we paying high amount
                just for comfort , quality is issue and whatever prises we have
                to pay</t>
  </si>
  <si>
    <t xml:space="preserve">There should be two things to add in blinkit... 1- No suggestion
                box showing in your app. 2- A feature must be add there if
                someone order few things and missed 1 or two item to add and
                order placed then there should be an option to add things with
                in to 2-3 minutes... From my openion.... Thanks</t>
  </si>
  <si>
    <t xml:space="preserve">Very good service. Price also little less on some products.
                Clean n neat paper bags they send our goods in it. The delivery
                is in within 10 mins time. I like blink it. Thank you. Keep up
                the good work.</t>
  </si>
  <si>
    <t xml:space="preserve">I wanted to rate this platform with very good rating for their
                service but to bring you on this platform initially they will
                even discount free delivery or higher discount and slowly once
                you become their regular customer they start charging with high
                surge charges which is higher than the delivery charges in the
                name of festive or some other. I tried with a new customer and
                he was offered with no surge charges ...wanted to highlight more
                but it's hardly any use to it.</t>
  </si>
  <si>
    <t xml:space="preserve">I am extremely disappointed with my recent experience using
                Blinkit. I ordered ice creams, but they arrived completely
                melted. After providing photos to customer service, I was denied
                a refund and offered a promo code instead. I was also told that
                the return items could not be picked up.This experience clearly
                shows that the standards at Blinkit have gone downhill. As a
                loyal customer, I expect better service and quality products. I
                hope they take immediate action to improve.</t>
  </si>
  <si>
    <t xml:space="preserve">Not up to the mark as wrong items and sub-grade items have been
                delivered. I have been a regular customer, but now the services
                quality of goods has become pathetic.</t>
  </si>
  <si>
    <t xml:space="preserve">Coin purchases from Blinkit is a total scam. Ordered Silver
                coin. Didn't get the authenticity and purity certificate
                mentioned on the application. When contacted customer care they
                did not even acknowledge the issue. Let alone giving a reason
                for the issue or aplogising for inconvenience. Prashant the
                customer care executive just kept repeating the pre-formated
                messages such as, we like putting smile on our customers face.
                But ironically he bluntly told me he can't help me. Bad
                experience.</t>
  </si>
  <si>
    <t xml:space="preserve">Blinkit has been a game-changer for me! The app is super easy to
                use, and I love how I can get groceries delivered in just
                minutes. The products are always fresh, and the delivery is
                reliable. Itâ€™s my go-to service for quick and hassle-free
                shopping!</t>
  </si>
  <si>
    <t xml:space="preserve">Price shown on product and invoice raised is always different. I
                did not order some products but they are part of the invoice.
                There is no option to even reject the product which is not even
                ordered by me.</t>
  </si>
  <si>
    <t xml:space="preserve">Not getting product image while searching foe any items. Also
                it's not visible while opening the app. Still unable to see
                images of the product that I am searching.</t>
  </si>
  <si>
    <t xml:space="preserve">It's really disappointing now a days to use this app . I have
                been using long past from the inception as Grofers app . Now you
                are not at all customer centric. I am not able to use any coupon
                code ,the coupon code section all blank and also while I raised
                this issue to your support team , grivance tema that is not also
                of no help .While I checked with other login id the codes are
                available .</t>
  </si>
  <si>
    <t xml:space="preserve">I selected option for "Donâ€™t ring the bell" and every time valet
                ring the bell worst service experience. Valets are not trained
                for how to use app and deliver</t>
  </si>
  <si>
    <t xml:space="preserve">Earlier it was excellent. Now found cheating. Customer money is
                not safe. If you cancel any order, the amount you will loose due
                to company policy. Company is forcing you to use your money
                otherwise company will grab it. So shame. After canceling my
                order, my money should return to my original payment account but
                blinkit returned money as promo code. That money I need to use
                within month otherwise I will loose it. Amazon, Flipkart all
                returned money in original payment account.</t>
  </si>
  <si>
    <t xml:space="preserve">At this old age, it is difficult to visit market and carry back
                heavy grocery items. Blinkit has made everything simple and that
                too at a discounted price. You dont need to search items with
                english names. If you search Sooji, Maida, Dhania etc, it gives
                correct results.</t>
  </si>
  <si>
    <t xml:space="preserve">Not sure of how authentic skincare and hair care products are,
                also the range of brands are less, products from individual
                brands are partially available and not entire range or
                collection is available about food items again not sure how
                fresh or how recently they are harvested and packed . The
                delivery is good and fast.</t>
  </si>
  <si>
    <t xml:space="preserve">It is very expensive . It is better to lose some breath by
                walking to nearby store. Overall I feel still I will not choose
                it over a grocery store because of the sales and total expenses
                discount . The delivery guys also not give the bag most of the
                time. 1 star deserving app.</t>
  </si>
  <si>
    <t xml:space="preserve">If your money is debited and order not reflecting in order list
                then don't try to reach customer care thinking of resolution and
                consider money is gone, because they'll never resolve your issue
                whatever you try and whatever details you share they'll only
                consider what's reflecting in app and won't put any effort to
                resolve the concern and you'll see only default template mail
                from them. Escalation is of no use too.</t>
  </si>
  <si>
    <t xml:space="preserve">amazing and fast services.. also great help right away if
                product is missing or damaged.. the quality of plants and other
                products on the app are fabulous.. though little over priced
                thats the only feedback.. otherwise all is good</t>
  </si>
  <si>
    <t xml:space="preserve">Sometimes the app is lagging and it doesn't shows image of the
                product to see the image we have click on the product. Please
                fix the issues.</t>
  </si>
  <si>
    <t xml:space="preserve">On 12/10/2024,i purchased some things through blinkit.. Aftrthat
                they showing amount not credited their account. I paid the
                amount again and i sent complaint to customers care.. But they
                told amount not credited... Again i sent complaint to gpay
                customer care.. They sent the details which was showed two times
                amount credited.. What will do.. Is it fraud app?? Shall I go to
                consumer court for getting back money... Three days already
                over... Not yet refund the amount</t>
  </si>
  <si>
    <t xml:space="preserve">Extremely disappointed with the customer service! I received a
                damaged PS5 controller due to poor packaging, and despite
                contacting customer care immediately with proofs, they refused
                to help. No replacement, no refund.even the product is 7days
                Replacement or Refund policy Just a complete disregard for my
                issue. The customer care team was unhelpful and unresponsive,
                leaving me frustrated and disappointed. Beware of purchasing
                from this company, as they clearly don't value their customer's</t>
  </si>
  <si>
    <t xml:space="preserve">Good app but Delivery agents are very stubborn to give balance
                back. They always have to make it difficult for me to give
                payment if I give cash they just say they don't have cash to
                give me the balance back why it is have to be every single time
                ?? Is it possible that none of these people have change to give?
                If someone's online payment is not working then that person is
                not eligible to order on blinkit.</t>
  </si>
  <si>
    <t xml:space="preserve">Worst app! I ordered a smart watch but I received an empty box.
                I contacted multiple times to the costume care service but they
                don't respond. And blinkit not refund or replace the product.
                Very very bad app bad experience.</t>
  </si>
  <si>
    <t xml:space="preserve">Best review for blink it Blinkit, formerly known as Grofers, is
                an Indian instant delivery service that provides groceries and
                other essentials. Customer reviews of Blinkit are mixed. Some
                users have reported receiving items of different make than
                ordered, and faced challenges when seeking replacements. For
                instance, a customer mentioned that when they complained and
                asked for a replacement, the Blinkit delivery partner refused
                and instead blamed the cus</t>
  </si>
  <si>
    <t xml:space="preserve">They shower that order is cancelled due to technical issue so I
                ordered again but after few minutes it showed that order is not
                cancelled and delivered double order. No option to call or chal
                just a bot is speaking. Very bad. Please refund my money</t>
  </si>
  <si>
    <t xml:space="preserve">I was having good experience with blink it until today , I did
                not receive a product and when I asked for a resolution they
                forced me to take refundable amount on wallet ,this was
                absolutely very frustrating So think twice before ordering from
                blink it</t>
  </si>
  <si>
    <t xml:space="preserve">The app is very good, the deliveries are swift and on time. The
                delivery guys are also polite and professional. Their response
                time is also very quick. Really good service overall. Especially
                appreciate the printout delivery feature.</t>
  </si>
  <si>
    <t xml:space="preserve">The app is user friendly, choices are quite a lot. Though this
                time I couldn't get some items . The delivery is very fast.</t>
  </si>
  <si>
    <t xml:space="preserve">It is a very convenient app for students living in hostels but
                one thing it needs to improve is that delivery partner is not
                assigned in some orders after 10 mims and cancel order option is
                also not available on items .</t>
  </si>
  <si>
    <t xml:space="preserve">Very worst app, if you placed order wrongly and then no
                cancellation option. After placed order wrongly with a 5 second
                System showing message that your order has been packed and
                parceled. Can you belive is this possible,after placed any order
                with in a second order has been packed and parceled.., It is
                completely fraud with the customer.</t>
  </si>
  <si>
    <t xml:space="preserve">Pathetic shopping experience with blinkit.. they don't even send
                items packed properly in a shopping bag.. they sent me 20 items
                ( loose items) in a basket which had to be returned.. so much
                unnecessary headache even after paying for premium
                service..better to buy from local shops !!</t>
  </si>
  <si>
    <t xml:space="preserve">App is easy to use and fairly intuitive. As for the product
                availability and inventory, there are issues, especially in
                Nagpur, it's slightly better in Mumbai and Thane. In either case
                the promise of fast delivery is almost always on point. ðŸ‘</t>
  </si>
  <si>
    <t xml:space="preserve">At Bhopal, easily available veg like potato is not available.
                Rest of the products are at high rates compare to Reliance
                Smart. I've also compared other household products, all of them
                costlier than Reliance. Not recommended in Bhopal. Wish they
                improve their assortment at better price and availability.
                Uninstalling the app. Thanks for the very first experience.</t>
  </si>
  <si>
    <t xml:space="preserve">I am not satisfied with this app blinkit is not available to my
                location okay but its not available anywhere in my city ?? Even
                i can't go forward from select my location very bad app poor app
                zepto is far better than this atleast it is available at any
                location and it gives free money like 50rs 100rs 80rs 70rs 125rs
                i got 100rs 3 times and 125rs 4 time in just a month shame on
                blinkit</t>
  </si>
  <si>
    <t xml:space="preserve">Now a days they have less man power and service is becoming very
                poor... Always they miss items and you have to wait for next
                half an hour in dealing with customer care.. and also free item
                they used to show in app but when they will courier,free item is
                not there.</t>
  </si>
  <si>
    <t xml:space="preserve">The app is not at all friendly for people with super low vision
                as it does not adapt a dark mode depending upon the phone dark
                theme settings. I have a lot of trouble using it...request you
                to please make this change urgently in the interest of half
                blind people like me ðŸ™</t>
  </si>
  <si>
    <t xml:space="preserve">Services are good and fast. But some of the delivered items are
                sent old or rejected by other customers. Replacement also done
                by old or rejected item. It is very difficult to contact next
                time for same item. QC needs improvement.</t>
  </si>
  <si>
    <t xml:space="preserve">I order almost daily and it get delivered with right qty and
                quality, &amp; in past 2 years today some issue with last order
                and it got replaced in 15 minutes, rate excellent service,&amp;
                good part is I realise, when thing are good no one gives
                feedback but it's situation giving feedback after testing
                ðŸ˜‚ðŸ˜ŠðŸ˜…ðŸ˜‚ðŸ¤£</t>
  </si>
  <si>
    <t xml:space="preserve">Really good app...it delivers all items within minutes but
                sometimes it messes up a bit and does not deliver all the
                items.That is the only improvement area rest is all good. ðŸ˜„</t>
  </si>
  <si>
    <t xml:space="preserve">It's is good they deliver it in time but their support it sucks
                Honestly I put wrong address then their support didn't help how
                can I change my address they didn't let me cancel the order I
                was so confused ki kya kru because I already paid. In their
                support there are only some questions they provide chose in it
                what's the problem yrr there are many things that can go wrong
                please provide a helpline no. Or put something for wrong address</t>
  </si>
  <si>
    <t xml:space="preserve">Blinkit does not fulfill correct order. If some item ordered is
                not available, either partner should call customer to check if
                some other replacement can be sent or else money can be
                refunded. Sending something else which is not ordered, is hastle
                for blinkit to collect it back and hastle for customer to wait
                for pick up and refund wil also take 3-4 days. This is not
                correct approach or business model</t>
  </si>
  <si>
    <t xml:space="preserve">I've ordered groceries and they have sent the products of worst
                quality and upon replacement they did send similar one and
                finally only replaced my money partially. I've ended up with
                loss by ordering on BlinkIt. Very bad experience &amp; worst
                customer support.</t>
  </si>
  <si>
    <t xml:space="preserve">1. "Super fast delivery! Ordered at 8 pm and got my groceries by
                9 pm. Great service!" 2. "Amazing experience with Blinkit! Fresh
                produce and timely delivery." 3. "Blinkit has made my life so
                easy. No more traffic jams and long queues for groceries." 4.
                "Excellent customer service! Responsive and helpful support
                team." 5. "Love the variety of products available on Blinkit.
                Always find what I need."</t>
  </si>
  <si>
    <t xml:space="preserve">They are playing a scam, In cart just before order they are
                showing diwali gift box free, and after placing the order no
                such gift arrived, nor it was reflected in recent orders. Also 1
                of the item I got has its packaging damaged, but their bot
                responded "We're currently experiencing a high volume of queries
                and, unfortunately, we're unable to assist you at this moment.
                We apologise for the inconvenience and kindly request that you
                reach out to us again in sometime." Local store is far better.</t>
  </si>
  <si>
    <t xml:space="preserve">Despite providing feedback on their bread packaging at least 7-8
                times, the issue persists. The packaging is consistently
                poorâ€”breads are often delivered ripped and damaged. They fail to
                take simple initiatives like placing bread on top of heavier
                items or packing it in separate bags. Occasionally, eggs arrive
                broken, and sometimes the watermelon is pale and unappealing. To
                improve their service, they should focus on proper packaging
                practices For fragile items like bread and eggs, separate</t>
  </si>
  <si>
    <t xml:space="preserve">I absolutely love using Blinkit. The app is smooth and seamless.
                Everytime I order something, I get it within max 8 mins. Right
                from print outs to toys to tender coconut (grocery ofcourse) you
                get everything on Blinkit.</t>
  </si>
  <si>
    <t xml:space="preserve">Pathetic service. I had mistakenly placed an order to a wrong
                address. I tried to cancel it immediately after the payment but
                it was showing an error everytime I tried cancelling it!</t>
  </si>
  <si>
    <t xml:space="preserve">Hey! I have high sensitive eyes, I don't use electronics for
                much longer. But I use blinkit monthly to get something quickly.
                I would like to have a dark theme, like an amoled version
                because the current light theme strain my eyes and makes me feel
                sick. Thanks! Update:- On Zomato they implemented the dark theme
                and it's really comfy for my eyes! And it's clear that both
                Zomato &amp; Blinkit are linked so yeah! I hope I'll see the
                dark theme on Blinkit too! Appreciate it! Deserves 5 stars now.</t>
  </si>
  <si>
    <t xml:space="preserve">I really like this service, almost all the items which i use
                daily is delivered, along with some other products which i can
                get only via amazon also getting delivered in mins . Only
                recommendation is that, allow to choose option in cart so that
                we can save few for next deliveries, kind of forgetting to
                re-add..</t>
  </si>
  <si>
    <t xml:space="preserve">I am giving one star because of the customer service executive
                Khushi, she is more interested in denying the request then
                looking for a alternative solution when I have ordered my
                product I was in a hospital and I want to exchange one of the
                product but unfortunately the same was not available hence I
                requested for a return and for a pickup location change I
                understand that you guys don't allow to change the pickup
                location how ever there is a way to denying the thing</t>
  </si>
  <si>
    <t xml:space="preserve">Blinkit aut adds delivery agent's tip in final bill. You have to
                check and deselect the tip option. It should be always other way
                round as many a times in a hurry you forget to check the details
                and you tip the delivery agent without consent</t>
  </si>
  <si>
    <t xml:space="preserve">I used to trust Henfruit eggs for their consistent quality, but
                my recent experience has been disappointing. The 30-piece carton
                I ordered from Blinkit had several spoiled eggs mixed in. This
                was never an issue before, but it seems their quality control
                has significantly declined. It's frustrating to pay for fresh
                eggs and end up with unusable ones. I hope they address this
                issue soon and return to their previous standards</t>
  </si>
  <si>
    <t xml:space="preserve">Horrible service, they just charge high rates for "convenience
                charges" and "handling charges" but provide no convenience. They
                have delivered rotten products without checking before dispatch.
                What kind of service is this. Aren't they supposed to check the
                products before dispatching ?? Such a time waste to order from
                blinkit.</t>
  </si>
  <si>
    <t xml:space="preserve">No option given to cancel the order which was placed to wrong
                location. Though, it was a paid order and the chat option is
                even not really helpful. Really feeling helpless and
                disappointed.</t>
  </si>
  <si>
    <t xml:space="preserve">Sometimes app crashes and all items in Cart disappears, may be
                during peak hours. Rest all good. Items are always delivered
                honestly as per cart, no item missed or tampered.</t>
  </si>
  <si>
    <t xml:space="preserve">Amazing that it even delivers printables. Wide range of products
                available. But the delivery charge for overall items is a lot.
                Which doesn't come down much even with a Gold membership. The
                minimum cart value is 199, sometimes sounds like a joke because
                Groceries seldom cost that much every day.</t>
  </si>
  <si>
    <t xml:space="preserve">Customer support pathetic. You can only select from set options
                and not write your mind. During a single conversation multiple
                executives switch, so no continuity. After uploading a video,
                they reject the video taken as per their app.</t>
  </si>
  <si>
    <t xml:space="preserve">Never order electronic items from them. I ordered a bluetooth
                speaker today and I didn't like the quality of it. They asked me
                to connect with the speaker brand and they said we can't help.
                Both sides saying we can't help and I lost the money I saved to
                buy a bluetooth speaker. These big brands will earn millions
                from us and refuse to help a person like me who was saving money
                to buy something. Worst experience.. and I'm feeling looted and
                sad. My week ruined.</t>
  </si>
  <si>
    <t xml:space="preserve">It may be the best app it claims to be, but honestly my first
                order experience from it was worst than anything. Everything
                went on smoothly until delivery person tried to act over smart
                and first went onto wrong location then took Rupee 40 for
                changing location not only that but exchanged a torn note of 100
                saying we gave it for a perfect one. And then he even said u
                didn't give me 100 rupee, like the hell? The delivery guy really
                tried to make a fool of us and the potatoes too, not at all
                good.</t>
  </si>
  <si>
    <t xml:space="preserve">It was a very good experience with the blink it...the product
                are cheap than the market...and there delivery man are well
                trained..I got a delivery partner Tadvi ...he didnt even called
                me and without any disturbance delivered it at a right time...I
                was feedup with the other application because every time they
                have to call me twice even after I have mentioned the correct
                address....Thank to blink it team</t>
  </si>
  <si>
    <t xml:space="preserve">The service is delivered very quickly. However, there is a
                significant difference between the price shown during selection
                and the price displayed at checkout. Due to this, many people I
                know are not opting for BlinkIt. Please address this issue.</t>
  </si>
  <si>
    <t xml:space="preserve">Blinkit has a very good selection of products, great discounts
                and timely service. Their print store provides a quick and
                convenient way to get kids assignment and other documents
                printed in a cost effective way!</t>
  </si>
  <si>
    <t xml:space="preserve">Best app for hostel students. Love Blinkit. Hey, Blinkit, What
                is the issue with you? I added some items into my cart, and they
                were available at that time, but when I received my parcel, one
                item was missing. What is this scam? Though I talked to your
                customer care, and they refunded it. But whatever, fix your
                issue.</t>
  </si>
  <si>
    <t xml:space="preserve">It's very convenient for me. Fastest and safest way to get
                almost everything. There are only two problems about this app.
                One is that they sell everything on MRP rates, which pinches a
                bit. Secondly, they definitely need to create a Customer Care
                team.</t>
  </si>
  <si>
    <t xml:space="preserve">We're ordering regularly from Blinkit. But you still take 30/-
                extra for ordering during rain time. What is the point of giving
                free delivery above 299/- if you're going to collect 30/- for
                some other reason, anyway ? Does that money even go to the
                delivery personnel? 30/- is almost 10% of my order amount.
                Atrocious rates. Not willing to use this app further because of
                such high non-sensical charges.</t>
  </si>
  <si>
    <t xml:space="preserve">Very worst app ever. I tried ordering in my locality but it kept
                on showing that "location not available". Please check it out
                and make sure that people from all places can order.</t>
  </si>
  <si>
    <t xml:space="preserve">Its really nice app. Only one suggestion please consider if you
                can, can please took old paper bags for recycling and get some
                points for that , so that we don't have to throw it in garbage.</t>
  </si>
  <si>
    <t xml:space="preserve">Respected Blinkit team, I encountered an issue where my order
                defaulted to an old address due to high demand, despite multiple
                attempts to correct it. Unfortunately, Blinkit currently doesnâ€™t
                offer an option to redirect orders to a different address in
                such situations. A feature allowing customers to reroute orders
                could make a big difference, especially in cases of minor
                address errors. Due to this limitation and my experience, Iâ€™ll
                no longer be able to use Blinkit. Thank you</t>
  </si>
  <si>
    <t xml:space="preserve">The wrong address was selected so just as the order was placed
                it tried to cancel the order and it's not letting cancel the
                order saying order is packed. The order got packed in 2 second
                are you kidding me. And for support chat is even worse just
                redirects me to order details page.</t>
  </si>
  <si>
    <t xml:space="preserve">Delivery is superfast. It is very useful to procure something
                immediately which often happens with us. Packaging is not so
                good. Twice the bread ordered was damaged die to insertion of
                some pointed item. All items are packed together. The non veg
                items should be separated.</t>
  </si>
  <si>
    <t xml:space="preserve">The delivery would be good but when I tried to talk to a support
                executive there was no option given. In fact there's no way you
                can talk to a support executive. The chat bot is ridiculous and
                can't provide proper help. I had an issue with my order which I
                listed the same day I ordered but the customer support is so
                poor that there were no support executive at that moment and
                when I listed the same issue later the return window is closed</t>
  </si>
  <si>
    <t xml:space="preserve">I do not recommend this at all The free delivery fees is too
                high....Like I wanna order something of eg. 200 nooo I need to
                make it 300 or just pay 300 without Ordering items worth
                300...... Also the printer The pictures i uploaded were HD
                LITERALLY HD I couldn't read a single word on what the sent me
                It also doesn't have Cash on Delivery Also like All the good
                reviews at the top yea don't look at them and be like oh it's a
                good app and all click on see more reviews and see how bad it
                is.......</t>
  </si>
  <si>
    <t xml:space="preserve">They don't cancel the order. So if bought something by mistake
                and want to cancel the order they will show that the order is
                packed and can't be cancelled, also they add other charges as
                well like handling charge, delivery charge etc. Bakwaas!</t>
  </si>
  <si>
    <t xml:space="preserve">Nothing comes in 10 min.... In app advertisement it shows
                delivery in 10 min.... While ordering it shows delivery in 8
                min.... Once order placed, I receive my order in 24 min...22
                min... These are the actual time... Unfortunately there is no
                option to post screenshots in play store, else would have posted
                the order details of two months where nothing comes in less than
                20 min</t>
  </si>
  <si>
    <t xml:space="preserve">They are doing scam.. I ordered an earphone of ambrane of 199 on
                13-10-2024 which didn't support in my mobile for which I
                requested for replacement and return within 10 min of purchase
                and they made the return.. their support executive told me that
                I will get my money have a special coupon in my wallet but I
                didn't get that after that whatever I want to order I don't get
                the cash on delivery option in my application.. they took the
                product and didn't give my money.. they are not responding</t>
  </si>
  <si>
    <t xml:space="preserve">Life has become easy. Food items and other household
                requirements at the door steps. Without hassle! Amazing! The
                stuff if of standard brands and fresh. Eggs I am not comfortable
                with. I buy from outside.</t>
  </si>
  <si>
    <t xml:space="preserve">Best app for all pooja needs and other grocery and household
                items. Prompt delivery in 10 mins! However bad customer service
                if you want to report an issue. It only goes on AI chat and the
                options on topics are few and unusable. So the issues dont get
                resolved easily</t>
  </si>
  <si>
    <t xml:space="preserve">They are the worst instant delivery app. They have the worst
                policies for return and replacement. They don't take ownership
                for their mistakes and then make the customer bare the
                inconvenience. They have the highest handling fees compared to
                instamart and big basket but the worst service compared to them.
                They should be sued and banned for harrassing customers and
                making them pay for it too. Disgusting service! Choose instamart
                or bigbasket instead for a peaceful shopping experience.</t>
  </si>
  <si>
    <t xml:space="preserve">You are charging unnecessary expenses I have order for Rs. 450
                and on this order you took around 50 Rs. Extra in the name of
                surcharge , dlivery ,handling very unfortunate that initially
                you were delivering free and now this much amount so I realized
                my mistake I shouldn't order from your site. One can go for 400
                miter for small things and can save this extra cost of 50 Rs.
                Very dissatisfied and disappointing.</t>
  </si>
  <si>
    <t xml:space="preserve">Love to order every time. It's very easy any adorable for all
                users, fast delivery and most of all products are available, so
                I think some time letter the local shop will be closed for this
                app but it was good. Keep get available everywhere, we love you.
                (Btw I am an video editor if I get any to help team i will do)</t>
  </si>
  <si>
    <t xml:space="preserve">Day by day, you are increasing the charges excessively. You
                often claim that delivery is free, but in reality, you impose
                various charges in different ways, such as handling fees. What
                is the purpose of a handling charge when you are already
                charging for delivery? Moreover, you are charging both delivery
                and handling fees, and now you are adding a rush hour charge as
                well. If there is just a 2-minute delay, why are these extra
                charges applied?</t>
  </si>
  <si>
    <t xml:space="preserve">Everything is fine but please try to revise the delivery
                time.... It shows delivery in 10min but it takes 15-20 minutes
                or more.. we expect something to be delivered in 10 mins as
                shown in the app but it takes more time than the mentioned time.
                So please try to show the required time so we can order
                accordingly.</t>
  </si>
  <si>
    <t xml:space="preserve">This was my just go to app till yesterday but with my last order
                yesterday I doubt it will remain the same. We ordered some
                grocery and got an item which is expiring in next 5 days so we
                replaced that but got the same date item again. Now we can't
                even replace or return it and we can not chat or get any
                assistance on call as every time we go to support option it
                suggests us with same computerized options again and again and
                not allowing us to direct connect with support team or other
                option..</t>
  </si>
  <si>
    <t xml:space="preserve">Time of delivery is given as 9 minutes. Delivery comes after 20
                minutes. Yesterday shamelessly 2 Support Executives lied to me
                with regards delivery of a gift as I had spent sufficient money
                for an order. Till date gift not delivered despite your
                commitment via Chat/Call. Fraud Service. Last year a gift sent
                (edible) was expired. Shame on you. I paid for 2 items. You sent
                1. Coupon given at 9pm is valid till 0945pm. To redeem the
                coupon I again have to pay 16Rs delivery. Again Shame on you.</t>
  </si>
  <si>
    <t xml:space="preserve">Although I love the services, one fine day my order was
                cancelled on the excuse that your area is not serviceable
                although the app never highlighted it. I placed the order and
                the deliver agent along with delivery team called me up to
                cancel it and I had ordered something really important. ðŸ˜‘</t>
  </si>
  <si>
    <t xml:space="preserve">Wonderful App. Just one suggestion everytime the order is
                delivered I get items in a good quality paper bag which is very
                environment friendly approach. but over a period of time I have
                large number of clean, not damaged ,not soiled such paper bags
                which can be reused by blinkit.if they feel correct. How about
                some method to reuse such bags atleast for non food
                items...making blinkit more environment friendly and of course
                reducing little bit of delivery cost considering the volume it
                has....</t>
  </si>
  <si>
    <t xml:space="preserve">Wrost app ever never gonna use it again.. no customer service,
                you guys have already decided what problems of Customer you
                wanna deal with and other problems are none of your business.
                You don't even wanna listen to them... Congratulations on your
                increased average order value but with service it's gonna
                decrease soonnn... I would rather prefer insta mart or I would
                myself walk to the stores that to order from this pathetic app</t>
  </si>
  <si>
    <t xml:space="preserve">Blinkit's UI is amazing and can compete with what Swiggy offers.
                Also they have a wide range of products which is not available
                in instamart. This app also provides cheaper alternatives of
                certain products which I liked very much.</t>
  </si>
  <si>
    <t xml:space="preserve">Poor.. they say that the items will be delivered in 10mins but
                it was delivered in 50mins and that to I have received wrong
                products. Their customer care service is so poor that they don't
                understand the issue and took another 40mins to call, refund and
                return the product. Customer care executive was so dumb that I
                have informed the issue in chat 6-7 times and on phone also I
                have informed the same, but then also she did the mistake and
                gave misinformation to delivery partner. Poor!!!!</t>
  </si>
  <si>
    <t xml:space="preserve">"I've tried numerous grocery apps, but this one stands out! -
                Extremely user-friendly interface - Lightning-fast delivery
                options (same-day/next-day) - Wide selection of products (fresh
                produce, meats, dairy, household essentials) - Competitive
                pricing and regular discounts - Seamless checkout process -
                Real-time order tracking - Excellent customer support -
                Personalized recommendations - Digital coupons and rewards This
                is the reason I have gave 5 out of five â­
                starðŸ˜˜ðŸ™‚ðŸ™‚ðŸ™‚ðŸ˜ŠðŸ˜ŠðŸ˜ŠðŸ˜ŠðŸ˜ŠðŸ˜ŠðŸ˜ŠðŸ˜ŠðŸ˜Š</t>
  </si>
  <si>
    <t xml:space="preserve">Very bad experience with this app As I do use this app but
                recently I made a order and then it got cancelled because they
                were out stock while ordering the item it was showing in stock
                and then after i ordered it was out of stock i didn't get my
                refund and the customer service didn't even give me compensation
                for it overall it was a bad experience with this app</t>
  </si>
  <si>
    <t xml:space="preserve">I have both reviews about this app(good and bad) Good Review â€¢It
                has alot of things â€¢Service is fast â€¢They don't ring or call
                (which is option in the delivery) that's the most impressive
                thing I find â€¢Coldrinks and Icecreams are cold (fr that's most
                important) Bad Review â€¢While paying in cash the delivery guys
                refuse to give change and says they don't have change. â€¢delivery
                charges are high, 1st day when I first installed the app it has
                low charges then next day it increased â€¢</t>
  </si>
  <si>
    <t xml:space="preserve">So disappointed with the service, the product I had received was
                damaged and I even tried to connect with the support they were
                also try to do scam with me regarding the amount how uh guys
                just do the things very easily I means it's a cyber crime. would
                never going to use it if it isn't going to refund me back.</t>
  </si>
  <si>
    <t xml:space="preserve">Don't use this app ..I am facing very bad issues due to this
                app...28th nov I paid and ordered something after 15 min they
                called me and told me that my order they can't delivered...my
                money they return through my original source... I forget this
                matter ...then i placed order 9th December I notice they make a
                coupon,they don't transfer my money into my main source...that
                day I also ordered and pay online again they cancelled,I talked
                to them they said can't return money into my source,total scam</t>
  </si>
  <si>
    <t xml:space="preserve">Shopping on Blinkit has been a wonderful experience... The
                interface is easy to navigate, the delivery is prompt and the
                quality n price are equally good. Keep up the good work! ðŸ‘</t>
  </si>
  <si>
    <t xml:space="preserve">Item was missing and they did not bother to tell. Then after
                calling i tild them to transfer amount to source account but
                they provided the promo code instead. After calling again they
                say we cant do anything. They dont have proper storage also to
                handle different items</t>
  </si>
  <si>
    <t xml:space="preserve">You people offered a free gift but when i placed an order for
                the same, thats showing product is not availabe. This is very
                annoying and unfortunate for a regular customer .. Secondly
                having sufficient balance in ny Lazypay account but still you
                people are showing insufficient balance in Lazypay... Definitely
                this is very much embarrassing and insulting for a regular
                customer. After this i want to say blinkit doesn't deserve a
                single star due to there nuisance services</t>
  </si>
  <si>
    <t xml:space="preserve">Absurd return policy. Worst app when it comes to replace your
                product even if you don't satisfied, they directly say No they
                don't replace. I have bought 2 product Trimmer and Inner both
                are absurd. I haven't asked you trimmer replacement but their
                inner was very bad fitting. When I asked for replacement with
                bigger size they denied it. I wish I can get more options
                against blink it in future. Thankyou</t>
  </si>
  <si>
    <t xml:space="preserve">The app is worse in providing customer service. I ordered few
                items and one went missing after recieving the delivery. Now
                they are not providing proper support. If this is the delivery
                person's mistake, it should be taken care of by their team.</t>
  </si>
  <si>
    <t xml:space="preserve">It is really convenient when you need something immediately.
                It's really life saver sometimes. But every now and then some
                items go out of stock. Over all good experience.</t>
  </si>
  <si>
    <t xml:space="preserve">1.Blinkit should not ask customers to tip the delivery person
                because they are already taking a delivery charge. 2. The app is
                very poorly planned. There is no way to see the feedbacks of
                customers. 3.There is no mention of manufacturing dates in the
                product description or product info. 4.Very few discounts are
                offered. Please improve these things</t>
  </si>
  <si>
    <t xml:space="preserve">very bad experiance on blinkit..it's totally waste of money. I
                had booked item by mistake and realised that I had selected the
                wrong item and tried to cancel the order..but they are saying
                that order cannot be cancelled and cannot be refunded..one of
                the worst service apps I have seen...amazon and Flipkart are
                much better compared to blinkit..worst service and they are
                looting the customer money... don't go for blinkit..very bad at
                return or cancell policy..they are looting the public money...</t>
  </si>
  <si>
    <t xml:space="preserve">Great app. Useful to order items quickly within few minutes.
                They also keep adding new services which is good. Could be
                competitive in terms of pricing. There is large opportunity to
                give more discount to customers. Thank you team working behind
                this application</t>
  </si>
  <si>
    <t xml:space="preserve">Got be one of the most convenient apps to order stuff when you
                need it quickly, deliveries are quick and most of the things you
                want but always forget about are here. Definitely a time saver
                and a life saver.</t>
  </si>
  <si>
    <t xml:space="preserve">Blinkit attracts customers by saying gift item will be delivered
                if you order this much but gift item never delivered. On raising
                it to customer support, it seems blinkit has very rigid policies
                which doesn't consider customer good. This app is not going to
                last forever. Answer to every customer request is no, this shows
                the credibility of blinkit towards its customers. This is not
                going to work Goyal sahab. You need to make policies customer
                oriented because customer is the priority.</t>
  </si>
  <si>
    <t xml:space="preserve">Update: Now they are delivering super fast. Even they delivered
                upto mid night. Happy with the service. It shows 15 minutes
                delivery time but always deliver after passing 30 minutes. Some
                time upto 40 minutes and the best thing is blinkit Store is only
                3.1 km away from my society which is on main road with low
                traffic.</t>
  </si>
  <si>
    <t xml:space="preserve">Exceptionally good service! Quick delivery hardly ever delays,
                fresh products never faced any kind of issues, I have used this
                app for last minute needs and it really provides super fast
                delivery!</t>
  </si>
  <si>
    <t xml:space="preserve">Bad experience This is the story of my first order itself Where
                I have orderered eggs, curd and along with some other items I
                received the expired eggs and curd, quickly reached out to help,
                support team was active enough to quickly accept and place a
                replacement order But to my surprise, the replaced product was
                also expired!! Support team was active enough but working of
                order packers, I really doubt</t>
  </si>
  <si>
    <t xml:space="preserve">More than a year I'm using this app. It's really excellent for
                the services and products that are delivered within 10 to 15 min
                and it's available round the clock. Thanks to all the delivery
                persons and the Blinkit team.</t>
  </si>
  <si>
    <t xml:space="preserve">Awesome app. Solution to multitude of requirements within 10
                mins. Very convenient with a large range of product categories.
                At times, it does restrict product quantities, but that's all.
                Overall a good experience.</t>
  </si>
  <si>
    <t xml:space="preserve">Lack of customer support. I have been using blinkit, but today
                had to connect with chat support for an issue related to my
                order . I was surprised to see they don't provide any option to
                connect with customer support.. I mean this is pathetic not sure
                how blinkit was able to grow this big without such basic thing..
                I am not going to use blinkit ever if they don't introduce chat
                support on the app..</t>
  </si>
  <si>
    <t xml:space="preserve">Never order from them they are big time fraud . I placed an
                order they sent me incomplete order replacing two items from my
                cart and sent me two different items of their choice. When I
                complained for it they said we can t accept it as the items sent
                to u are sealed . That means u don't value your customers word
                ,I have sent them so many mails but they have a set pattern of
                reply which I think they paste on all queries. So please order
                cautiously if u have lots of time to break your head with the</t>
  </si>
  <si>
    <t xml:space="preserve">I was placing an cat litter sand which cost me 279rs and even
                the final payment price was the same, when I placed the order my
                card deducted 315rs and when I checked the order summary the
                deduction was due to surge charge. It is very disappointing to
                keep the hidden charges from customers, I would request you to
                stop applying such kind of hidden charges and if you really want
                to, please inform the customer before checking out.</t>
  </si>
  <si>
    <t xml:space="preserve">Customer support is not responding with resolution. I am very
                disappointed by support team. My issue couldn't solve by team. I
                get low quality of vegetables and I complained about that but
                couldn't get proper response from them. So i gave 3 star for not
                resolving the issue on time.</t>
  </si>
  <si>
    <t xml:space="preserve">Didn't deliver free item, fraud app. On my first order I was
                promised free coke. But it was not delivered. Instead of
                accepting their mistake they blamed me saying that they will not
                give free item automatically. I have to add in the cart manually
                then only they will deliver it free. Beware of these dishonest
                people.</t>
  </si>
  <si>
    <t xml:space="preserve">Absolutely loved it. Great application, very easy to use. Best
                for people staying in as paying guests in Bachelors or people
                who are doing jobs and want to order groceries for parents back
                at home.</t>
  </si>
  <si>
    <t xml:space="preserve">Good timely delivery. But following are my concerns: 1) false
                freebee promises, freebees not delivered with orders as promise.
                2) It is frequent that items ordered placed not delivered as
                stock finished, however money refund s creates irritation . 3)
                High value orders are not delivered and message displays no
                delivery person available. 4) product range to be improved. Good
                expectations from company in future as having good business
                model. However regular impovements required.</t>
  </si>
  <si>
    <t xml:space="preserve">I love love love blinkit... Best app for all time.. This is very
                much user friendly. My first order came at only 4 minutes,my
                whole family was shocked but the delivery guy said "sorry mam,ur
                address was a bit confusing so i got late"ðŸ˜… despite all this
                blinkit's flirting skill is on top. Those flirty notifications
                froce me to reopen the app everytime ðŸ˜­.</t>
  </si>
  <si>
    <t xml:space="preserve">Pictures of items are not appearing in the app screens, only
                text/descriptions are coming. I have reinstalled multiple times
                but same problem existing . I am not able to use this app.</t>
  </si>
  <si>
    <t xml:space="preserve">Most of the time, I noticed that they delivered that kind of
                product, those expiry date is too near. &amp; According to other
                10 miniutes delivery application, this application takes extra
                costs/money in too may products. Example is ghee, I noticed too
                many times</t>
  </si>
  <si>
    <t xml:space="preserve">A great grocery delivery app... It has everything from basic to
                luxurious items ( mostly )... And instant delivery is nice as
                well... Nice delivery partners and everything... Basically I
                never really faces any problem...</t>
  </si>
  <si>
    <t xml:space="preserve">If they deliver a bad item, consider the money is lost. I have
                faced situations, and the support team is useless. On top of
                that, there is no direct customer support number to call
                immediately. Pathetic!!!</t>
  </si>
  <si>
    <t xml:space="preserve">I guess they should add more options. Also Delivery charges can
                be a let down sometimes. Overall it's good, You can get anything
                you want under 5-10 minutes.</t>
  </si>
  <si>
    <t xml:space="preserve">Excellent I can rely on blinkit to have any last minute shopping
                done when I have no time to go shop myself and having the fruits
                that I like and are not available outside. It's a great app
                having the delivery time max 10 minutes so you get your products
                delivered just in 10 minutes whenever you want no matter the
                time.</t>
  </si>
  <si>
    <t xml:space="preserve">I used it to order groundnut oil. That's excellent but the
                printout order sucks as the printout distorted the format and
                messed up the fonts used. Some symbol characters were completely
                missing. Warning: don't ever send Word files, maybe it may be ok
                from pdf but not tried yet. Actually, I deserve a refund on the
                messed up printouts!</t>
  </si>
  <si>
    <t xml:space="preserve">Wonderful user interface and has a variety of products. Another
                amazing thing is speed in delivery. Yet to see how customer
                service is, if good, this could be the best app.</t>
  </si>
  <si>
    <t xml:space="preserve">One of the best innovative service application. The concept of
                Blinkit it mind-blowing in today's context of fast paced world.
                A working professional who has limited time as well as elderly
                memebers of our society are empowered. Also there's a quality
                which is now degrading in the open market. This app provides
                convience, quality and saves time.</t>
  </si>
  <si>
    <t xml:space="preserve">I ordered a baby safety socket from Blinkit but I did not get it
                exactly as shown in the picture. There was no packing and there
                was no Bumtum branding on it and I raised a complaint I tried it
                5 times in the application but every time it closed the chat by
                declaring the photo/video as invalid.. My only request to
                everyone is to stay away from these fraudulent applications and
                avoid them as much as you can.</t>
  </si>
  <si>
    <t xml:space="preserve">Always adds unnecessary delivery charges even if you shop for
                more than 1000 rupees. At checkout atleast 20-25 rupees are
                unnecessarily added! Even if they charging MRP prices for all
                goods and even more for vegies as compared to the market rates.
                And also no support by the team is provided just a useless AI
                bot which only have 2-4 predefined prompts, no any way to type
                your problem only can click on predefined prompts it's very bad</t>
  </si>
  <si>
    <t xml:space="preserve">This is the best app for 10 minute delivery. Location tracking
                of the delivery partner can be improved. There is need to
                organize the app for better user friendliness. Please add Dark
                Mode in the app.</t>
  </si>
  <si>
    <t xml:space="preserve">Poorest customer support i have ever seen.. The live chat system
                isnt live.. They don't even reply for days.! additional they
                charge high delivery fee with whatsoever so called names, lastly
                i suggest you people to use swiggy Instamark for more discounts
                and negligible delivery fee!</t>
  </si>
  <si>
    <t xml:space="preserve">They are scammers , for promotions tehy show you a free gift if
                your cart value is this and when you order at the time of
                delivery they will say item is out of stock and we cannot do
                anything... Customer support sucks they only have one senentce
                we cannot help you only take feedback ..</t>
  </si>
  <si>
    <t xml:space="preserve">I was delivered a stale product which had gone past it's expiry
                date. I did not get the refund when I returned the product
                despite speaking to the customer support. If you are really
                interested to know more then please call. Blinkit should focus
                on holistic customer experience and not just fast delivery.</t>
  </si>
  <si>
    <t xml:space="preserve">I don't understand how this app got the rating of 4.3. first
                time trying blinkit and totally feeling like suing it. I ordered
                a small gift box of kaju katli with diya set. Payment was made,
                everything was done. The app showed order on the way. It was a
                gift for my sister on diwali. I filled my sister's contact
                details as alternate number and after an hour or so the order
                was shown as delivered but my sister said she didn't get
                anything. The app is not giving any solution</t>
  </si>
  <si>
    <t xml:space="preserve">â­ï¸â­ï¸â­ï¸â­ï¸â­ï¸ Absolutely love this app! The delivery is always
                on time, the product quality is excellent, and the app interface
                is so user-friendly. It has made grocery shopping super
                convenient for me. Highly recommend it to anyone looking for a
                hassle-free experience!</t>
  </si>
  <si>
    <t xml:space="preserve">Customer service sucks. If you have an issue there is no way to
                reach out to them for resolution. They would keep bringing you
                back to a useless support page on the application which is of no
                use as half the time your issue is not listed there and they
                won't give you a human intervention to explain the issue</t>
  </si>
  <si>
    <t xml:space="preserve">Easy to order and the categorisation saves time. But many items
                aren't available, do increase the catalogue of purchasable
                goods. Everything else is great</t>
  </si>
  <si>
    <t xml:space="preserve">Even I am daily customer, they have deducted my amount for
                failed order and not refunded yet. Also they don't have customer
                care number. And they have not listed such option to get refund
                for two failed order on their app... And now there are denying
                may refund on the basis of window closed. I am gonna file case
                in consumer forum for my payment deduction ....and will submit
                all proofs Thanks for your reply but this link is not working.
                Could you send me the other link .no reply yet</t>
  </si>
  <si>
    <t xml:space="preserve">Service is not a problem with blinkit but THE problem is their
                opportunistic mindset. For delivering even across the road,
                firstly order has to be more that 199/- and then also they are
                charging 21/- rs on each order for delivery (16/-) &amp;
                handling (5/-) charges. HOWEVER, My immediate neighbour is NOT
                Being Charged this amount (I was Shocked to his Order History)
                because he said that HE WILL NOT ORDER ANYTHING FROM THEM, IF
                THEY TAKE ANY CHARGES ON ORDER VALUE OF 199/- &amp; ABOVE. I AM
                UNINSTALLING.</t>
  </si>
  <si>
    <t xml:space="preserve">On my mobile app is not working properly. App is not able to
                display images, which creates problem while selecting items and
                in search. Kindly do the needful. App is installed with updated
                version. My mobile is samsung galaxy m11</t>
  </si>
  <si>
    <t xml:space="preserve">Convenient, reliable, and super fast. Prices are comparative
                much lower than other delivery apps, and so are the handling
                charges.</t>
  </si>
  <si>
    <t xml:space="preserve">I had never seen any app like this...it was not working...I had
                tried many times to make order..but it was clearly about
                publicity not for all...Im fully upseted...why it's not working
                to me...And it wasn't takes my location...as soon as possible
                find out any solution</t>
  </si>
  <si>
    <t xml:space="preserve">For returning/replacing any item. In chat they are assigning
                someone but they are not even listening. Without listening to
                customer they are taking the decision whether item can be
                returned/replaced</t>
  </si>
  <si>
    <t xml:space="preserve">I love this app...it's so good that it is available 24/7 and no
                time delay is there and we can get in a short period of time and
                it delivers like everything which is necessary for human
                survival..it is very good that it can help us at times when
                there is no hope of getting out and bringing the thing..</t>
  </si>
  <si>
    <t xml:space="preserve">Your service is very good but not a single delivery boy of yours
                has change. They say that the binkit system itself does not give
                change. Once their parcel is delivered, they consider the
                collected change as worthless.</t>
  </si>
  <si>
    <t xml:space="preserve">Extremely prompt service. Very impressive. Appreciate the
                delivery partners and their unwavering and untiring efforts.
                Great Work Team!</t>
  </si>
  <si>
    <t xml:space="preserve">Love the app! It makes work so much easier. As a minor when I am
                not able to go and get things on my own this makes it so easy to
                get stuff!</t>
  </si>
  <si>
    <t xml:space="preserve">They deliver either the wrong product or miss the product, and
                on your multiple requests, they ask you to take the promocode to
                retrieve that amount u have paid you spend again the delivery
                charges. Understand their gimmick before buying again.</t>
  </si>
  <si>
    <t xml:space="preserve">It's mind-blowing app ..service was great and all the product
                like vegetables, fruits, bakery item absolutely fresh and
                healthy...nice and go for it with blinkit grocery in 10 minutes
                app</t>
  </si>
  <si>
    <t xml:space="preserve">superb service. Very satisfied, thnx. I have been using this App
                for more than a year. Now it has become a part of my life and
                family ðŸ¥° I am very very satisfied with their service. Thank you
                Blinkit â¤ï¸</t>
  </si>
  <si>
    <t xml:space="preserve">My order was not delivered though it was marked as delivered by
                the delivery person. Very bad experience. No idea what to do in
                such situation. No help.</t>
  </si>
  <si>
    <t xml:space="preserve">Worst app ever only delivers the grocery or products to their
                chosen place if we are not nearby by palaces will not be
                available BIG BASKET is the best aapppp. I don't even want to
                give any satar but couldn't post it without giving star.</t>
  </si>
  <si>
    <t xml:space="preserve">When you order 2 same item mistakenly blinkit not return the
                product. They replace the item and collect old item again same
                new item arrives which I already have. No return policy is
                worst..</t>
  </si>
  <si>
    <t xml:space="preserve">It is very convenient and very helpful delivery app which
                delivers almost everything in just 8mins. Wow... love it.</t>
  </si>
  <si>
    <t xml:space="preserve">I have ordered as cash on delivery but the partner had no
                change. It is difficult to pay the exact amount in cash. If you
                can't coordinate then disable the COD order</t>
  </si>
  <si>
    <t xml:space="preserve">The app is very good .. and its quick delivery is also very good
                ... but their customer care is very bad, they never call, I
                still don't know anything about the refund of my order</t>
  </si>
  <si>
    <t xml:space="preserve">Sirf naam ka aap, most of the time items are out of stock and
                ordering above 199 to avoid free delivery is jus for namesake
                while actually they usually have a surge of 500-whc they jus
                increased to 700 rs Not possible to order items worth 700 and
                above... Blinkitt keeps getting greedy... THIRD CLASS APP FOR
                ONLINE SHOPPING... unnecessary delivery charges etc.... DON'T
                BUY VEGETABLES,ALL STALE STUFF,MAYBE CHARGING LESS COZ THEIR
                STUFF IS STALE ESPECIALLY ONIONS, POTATO... CUST CARE NO USE</t>
  </si>
  <si>
    <t xml:space="preserve">Worst experience with customer service. There is no one to
                respond and they ask to mail like a 3rd world app. Got defective
                charger and didn't helped me to return it. Never gonna use this
                app</t>
  </si>
  <si>
    <t xml:space="preserve">Quick delivery with constant offers that allow you too enjoy
                shopping for daily utilities on a budget!! Great app!!</t>
  </si>
  <si>
    <t xml:space="preserve">This app has come a long way and I think now it is much more
                than a last minute grocery delivery app. It tends to be a bit
                expensive compared to other similar app, but that's fine. Great
                job!</t>
  </si>
  <si>
    <t xml:space="preserve">Order is stuck on payment confirmation, app hung up, now no
                option to reach support on chatbot, just 5 fixed options. Very
                bad service model.</t>
  </si>
  <si>
    <t xml:space="preserve">Excellent service and lightening speed delivery. Truly blinkit,
                delivery on a blink of eye speed. Keep it up blinkit.</t>
  </si>
  <si>
    <t xml:space="preserve">Worst application I never seen ..... I ordered one gift pack
                Blinkit customer cancel my order and almost one month completed
                I didn't receive my refund ..... it's same for application
                developer ...... Waste app guy's Please ðŸ™ don't use this
                application</t>
  </si>
  <si>
    <t xml:space="preserve">I do enjoy the fast delivery but would more enjoy if my product
                comes intact. Now it's been twice that I got damaged product.</t>
  </si>
  <si>
    <t xml:space="preserve">They just took my money and not delivered the goods. I will file
                complaint in consumer court. Deliveryman was very rude and
                haven't delivered the goods. Though I have paid in advance</t>
  </si>
  <si>
    <t xml:space="preserve">This app is very useful and services are very fast, less calling
                and even i used it in early morning hours and impressed with
                fast and fresh grossery.</t>
  </si>
  <si>
    <t xml:space="preserve">The service is good.... but it is good if you deliver at minimum
                product also the quantity of the product has to be increased or
                else delivery becomes unavailable... provide a little better
                service in Panipat</t>
  </si>
  <si>
    <t xml:space="preserve">App is not working, facing location error even after confirming
                and allowing, the app is not working. Updated and reinstalled,
                but still not working</t>
  </si>
  <si>
    <t xml:space="preserve">Amazing Experience. Very fast delivery and veggie was very
                fresh. Blinkit saved my time to go out.</t>
  </si>
  <si>
    <t xml:space="preserve">I ordered multiple Items but after dispatch they cancelled items
                and mentioned in app that item is not available. What kind of
                service is this if you don't have that product remove from your
                app. Spoiled by morning ðŸŒž</t>
  </si>
  <si>
    <t xml:space="preserve">Though it's not raining in our area, they levy "rain surcharge
                amount" unnecessarily. In the app support section, can't
                communicate with the customer support(no option for typing our
                problem) at all. Pre framed questions are displayed which are
                not suitable.</t>
  </si>
  <si>
    <t xml:space="preserve">Love it! It is very simple to use and delivers all my needs in
                few minutes. It's the last minute delivery app . However once a
                item goes out of stock it takes a lot of days to be back in
                stock.</t>
  </si>
  <si>
    <t xml:space="preserve">Very bad. I ordered sefti pins and in the image on app it was
                showing sefti pins of different sizes that is small medium and
                large in that pack but when I received all the sefti pins are of
                large size only I raised complaint many times and none of the
                agents helped me they said that I have received correct order
                and disconnected the chat and I again and again explained and
                shared images as well but no help and there is no option to call
                customer care, employee people who have good eyesight</t>
  </si>
  <si>
    <t xml:space="preserve">It automatically submits the order without asking for validation
                Today I have had very bad experience with Blinkit. I selected
                Haldirams Kaju Katli as it was free on orders above 999. When I
                received order, it was missing. When I enquired from customer
                support, they first said that it was not available in the store
                and within few mins they said you have not selected in the
                order, hence nor delivered. It's pure mismanagement and giving
                false information</t>
  </si>
  <si>
    <t xml:space="preserve">Total worst experience I have even not think this types scam
                will on blinkit, delivery boy delivered the wrong item,even cash
                on delivery not available for high value item, I think big
                basket is best for. this sucks i think I have chosen wrong
                platform. He's also not opening themself item during the
                delivered. 0% security in high value item. I think You should
                change your tag line as well- "Blink it, Scam in 10 minutes"</t>
  </si>
  <si>
    <t xml:space="preserve">Good for urban people and their lifestyles as many are busy and
                may not be available to go out and buy and might be tired after
                work and would prefer odering something that will take less than
                10 minutes to arrive so it's a sustainable options to choose and
                may be further helpful to many who are working keep up special
                thanks from my side thankyou Goodluck with future salesâ˜ºï¸</t>
  </si>
  <si>
    <t xml:space="preserve">It's lovely. Just that sometimes, their staff gets confused with
                finding addresses and sometimes, they're out of stock with some
                items.</t>
  </si>
  <si>
    <t xml:space="preserve">Each time the paper bag (carry bag) comes torn, what's the point
                of applying the handling/packaging charges? Also there's no way
                provided to raise concern via the app's 'Need help' section,
                kindly improve.</t>
  </si>
  <si>
    <t xml:space="preserve">"I recently had a disappointing experience with Blinkit. I
                ordered a 10kg pack of Ashirwad aata, but instead, I received a
                package that was already opened before delivery. Despite
                requesting a replacement, the issue was not addressed in a
                satisfactory manner. This lack of care and attention to detail
                is concerning, and Iâ€™m left frustrated with the overall service.
                I hope Blinkit takes steps to improve their quality customer
                service</t>
  </si>
  <si>
    <t xml:space="preserve">Very pathetic app. They will deliver a stale product. You
                complain on app, but they will not respond. There is no phone
                number where you can complain. They don't respond to email
                either. U are then stuck with that stale product. Zepto is far
                better app. Don't use blinkit</t>
  </si>
  <si>
    <t xml:space="preserve">Saves me so much time. I live alone and with work I rarely find
                the time other than once a week to handle buying grocery and
                stuff. Always also over buy which occurs in spoilage or wastage.
                Now it's simple and effective, no more hoarding for the whole
                week and when a new recipe needs to be handled, it takes 20
                mins. Game changer.</t>
  </si>
  <si>
    <t xml:space="preserve">The kettle was used already and dirty. I requested for a
                replacement or refund. They agreed for refund but even after 10
                days of pickup my refund hasn't arrived. I want my parents'
                money back, I am a student who spends his parents' hard earned
                money very carefully. It was my first and pathetic experience
                with blinkit.</t>
  </si>
  <si>
    <t xml:space="preserve">App is too good for everyone! It does not only help with the
                groceries but also with other essentials and at any point of
                time ! Also if the things are if are spoilt or defective it does
                provide refund immediately!</t>
  </si>
  <si>
    <t xml:space="preserve">This app is better compared to others but not happy with Blinkit
                offers, you have to select and add them manually, Blinkit does
                not add them automatically or even ask or remind customer to
                select it. indirectly they save their money.</t>
  </si>
  <si>
    <t xml:space="preserve">I have ordered many times from different locations.. but blinkit
                isn't delivering to point at a specific location. Please make it
                more helpful as the delivery is not applicable to the location
                provided by me in the app</t>
  </si>
  <si>
    <t xml:space="preserve">Blinkit keeps few of your items in the history and ordered it by
                themselves even when you don't need it. The bot system support
                is such pathetic . Instamart is far better than this.</t>
  </si>
  <si>
    <t xml:space="preserve">I am very happy with blinkit services. They are always on time
                and I have never faced any issues regarding faulty product or
                something, it's just that if you choose cash on delivery and you
                don't have the exact money so they won't provide you any change
                at all and if your online payment app is not working then
                there's only one option left which is to give all the extra
                money to the delivery guy. So I request blinkit to atleast
                provide some handy cash to delivery guys.So that we don't have
                to arg</t>
  </si>
  <si>
    <t xml:space="preserve">I had a worst experience with Blinkit. I have ordered some
                products of amount Rs. 3,942 and another amount of Rs. 538 which
                is showing correct in order summary but in invoice the amounts
                are showing Rs. 3,765 and Rs. 534. Also, while placing the order
                it showed me one free chocolate (0 amount), later it priced Rs.
                17.38, now it's mentioned in invoice, and I am unable to process
                the sampling claim in my company, as it's only allows ITC
                products to get reimbursed. After seeking for help via mail</t>
  </si>
  <si>
    <t xml:space="preserve">I'd like to suggest adding a feature where drivers can indicate
                their health status or any physical limitations. This could help
                inform customers if a driver is unable to carry deliveries above
                a certain floor due to health issues like an injured leg. Often,
                customers are not made aware until delivery time, which can lead
                to inconvenience. This transparency would help improve the
                overall experience for both drivers and customers.</t>
  </si>
  <si>
    <t xml:space="preserve">Generally the service is good. But I have one concern, pls don't
                send old people for delivery. My home is on 2nd floor. They are
                asking me to come down and collect. If I have to climb down
                every time, what is the point in using an app for door step
                delivery !?</t>
  </si>
  <si>
    <t xml:space="preserve">Really, this is very wrong, the money has been deducted and then
                customer care calls you and says there is no store at your
                location, the delivery boy is refusing to come to your location
                nd They said that you will not get payment, you will get
                promocode and if you want payment then you will get it in 3 to 5
                days, this is very wrong, and moreover they are not even
                accepting this mistake, it is our mistake because we placed the
                order.</t>
  </si>
  <si>
    <t xml:space="preserve">Very disappointed. Every one think before using. Delivered wrong
                product to me still customer care arguing that this cannot be
                exchanged or returned. It's written in there T&amp;C. If wrong
                product delivered it can be returned. And customer support just
                shared the link that go through our T&amp;C we cannot do it. No
                help from last minute app.</t>
  </si>
  <si>
    <t xml:space="preserve">the price for all products are already high from market
                including fruits and vegetables... still they charge you extra
                for delivery and service charges. incase of any emergency need
                you can use this app else if planned well I suggest to buy form
                market and save around 300+ if u purchase weekly stuff in one go</t>
  </si>
  <si>
    <t xml:space="preserve">I ordered a Lifelong Toaster from Blinkit twice, and both times,
                I received a damaged product. After getting a replacement the
                first time, the second product I received was in even worse
                condition. I asked for a refund, but customer support would only
                offer a voucher valid until November â€“ which isnâ€™t helpful to me
                at all. Itâ€™s not just about the refund; itâ€™s about how customers
                are treated. If a product is damaged once, the replacement
                should be in perfect condition, not worseVery disappointin</t>
  </si>
  <si>
    <t xml:space="preserve">I had ordered items and had got the diwali gift box for free but
                after I check in the delivery bag, The box wasn't there and even
                if I call they wont pick up the call.After this incident, I feel
                zepto does a way better job than this blink it app so, I gave a
                one star review and I also started using zepto more.</t>
  </si>
  <si>
    <t xml:space="preserve">Its very bad I'm very disappointed right now ðŸ˜¡ðŸ˜¡ I just ordered
                some stuff and it got cancelled after 1 hour .. Please if your
                don't have any product in your stock than don't waste our time
                and yours..ðŸ˜¡ And this not first time . Blinkit have cancelled
                my order so many times after showing delay for 1 hour . Very
                disappointing right now ðŸ˜¡</t>
  </si>
  <si>
    <t xml:space="preserve">Disappointed with Blinkit - Received an Empty Box! Today, I
                ordered a Tata 1mg wrist support from Blinkit, but to my shock,
                only the box was deliveredâ€”there was no wrist support bandage
                inside! This is completely unacceptable and feels like fraud.
                Customers trust Blinkit for quality and reliable service, but
                this experience has left me extremely disappointed. I request
                Blinkit to address this issue immediately, provide a proper
                replacement, and ensure this does not happen to others. Such
                neglig</t>
  </si>
  <si>
    <t xml:space="preserve">Blinkit knows how to ruin people's mood in Diwali. I just
                ordered items where blinkit gift box was supposed to be
                delivered. It wasn't. When I contacted customer care, they say
                it's gotten out of stock. But in app, it still gets added in
                next order. Either they don't want to deliver or their app is a
                fraud to show offers which they never fulfil. Fraud.</t>
  </si>
  <si>
    <t xml:space="preserve">If you don't have flowers available or other things then why
                keep on showing them in the list? It's so frustrating. Whenever
                I want to send someone flowers or other stuffs, after adding in
                the cart it shows not available (every time) seriously. ðŸ˜¡</t>
  </si>
  <si>
    <t xml:space="preserve">It is not able to deliver at Devi Ahilyabai Holkar International
                Airport, Indore. Kindly provide the services at least near
                international airport. Not necessarily in whole country but
                places like international airport, your service may worth a lot
                coz I need a charger but not able to find a decent and cheap
                shop for reliable product.</t>
  </si>
  <si>
    <t xml:space="preserve">Customer support is hard to get this time. These new age
                companies place virtual assistant with limited options in the
                name of support. In the end customer give up seeking support.
                They also do unfair practice in the name of handling charge and
                surge fees. No justifiable reason behind it.</t>
  </si>
  <si>
    <t xml:space="preserve">I had ordered two 5litre bisleri packaged water bottles but
                delivered bottles had no label and no date of expiry was
                mentioned. The return was initially scheduled by an executive at
                10.30 pm but I requested the pick up to be arranged in the
                morning instead. However, this request was not fulfilled and the
                return was eventually cancelled leaving me with bottles of
                refilled water</t>
  </si>
  <si>
    <t xml:space="preserve">Quality of vegetables has been sharply deteriorated. I would not
                recommend to buy vegetables except onions and potatoes.
                Complaint management is third class. If you opt refund, it is
                still better but in case, you are in need of the product you
                ordered and received damaged one, they will lure you with
                replacement within 1-2 hours. Just after half an hour or so,
                cancel the pickup without assigning any reason and close the
                chat. One sided resolution. Money gone, product is not usable.
                Shame on you.</t>
  </si>
  <si>
    <t xml:space="preserve">Product was missing. And when trying to complain regarding it,
                they couldn't provide me with any assistance for the whole day.
                Raised ticket and waited for reply, and after passing 24 hours
                (where they said they will reach out within 24 hours), and I had
                to ask for reply they say they did their investigation and found
                no problem from their side. I lost the product, I lost money,
                and they just said not their problem.</t>
  </si>
  <si>
    <t xml:space="preserve">Blinkit has consistently impressed me with its efficient and
                reliable services. The platform offers a seamless user
                experience, quick delivery times, and a wide range of products
                that cater to everyday needs. The delivery personnel are
                courteous, and the quality of goods is always top-notch. Blinkit
                truly redefines convenience, making it my go-to service for
                on-demand groceries and essentials. Highly recommended!</t>
  </si>
  <si>
    <t xml:space="preserve">Great app.. very useful... But already have had two bad
                experiences one time one of my ordered items was not delivered
                and the other time wrong product was delivered but in both the
                cases the resolution was made so I am happy</t>
  </si>
  <si>
    <t xml:space="preserve">Almost every time I order and they miss sending one or two
                products. It's getting a serious issue with me now. I never give
                such negative feedback to any such delivery app. But I have to
                do this because of their repeated mismanagement.</t>
  </si>
  <si>
    <t xml:space="preserve">On time delivery is superb. There is not much offers as compared
                and range of products to swiggy or dmart. The only reason I
                order from the app is for urgent delivery.</t>
  </si>
  <si>
    <t xml:space="preserve">Worst customer service in the history of customer care. It's
                like a robot due to systems limitations. Items are missing lost,
                it's not there concern. They just keep talking about system
                limitations. Need to change your tag line: 5 minute delivery and
                3 hour unsatisfactory customer service.</t>
  </si>
  <si>
    <t xml:space="preserve">Great and smooth. Some items run out of stock too quickly. A
                faster system of stock replenishment is desirable than the
                current one, then I'd consider a 5- star rating .</t>
  </si>
  <si>
    <t xml:space="preserve">Very bad experience, order an item with gift packaging. Product
                is delivered without gift packaging when I reach out with
                customer care they are refuse to provide me packaging paper or
                replacing the item . They just giving refund of rs 30. What will
                I do with refund when I need simple packaging. Worst behavior</t>
  </si>
  <si>
    <t xml:space="preserve">Now service has become worst, there is no bag available,
                delivered goods in bucket, location issue every time. à¤²à¤—à¤¤à¤¾ à¤¹à¥ˆ
                à¤¦à¥à¤•à¤¾à¤¨à¤¦à¤¾à¤°à¥€ à¤œà¥à¤¯à¤¾à¤¦à¤¾ à¤šà¤² à¤¨à¤¿à¤•à¤²à¥€ à¤¹à¥ˆà¥¤ Seems we have to shift to other
                App.</t>
  </si>
  <si>
    <t xml:space="preserve">Worst service. Delay in response and wasting customer time with
                unnecessary chat. Experts in apologising for delay. They collect
                all types of charges and don't deliver the item on time.
                Sometimes after amount is deducted, they fail to send the item
                and later in refund. Meanwhile delivery charges are levied</t>
  </si>
  <si>
    <t xml:space="preserve">First of all they cancel the order many times without any
                reason, sending stale milk every other day, and when you
                complaint about that they simply send you refund for the milk or
                other item value, but the delivery charges have to beared by
                you. They are looting customers making them C. And when you
                cancel your order for any amount they give you a coupon of that
                amount that too be used in a single time. They are bastards</t>
  </si>
  <si>
    <t xml:space="preserve">Quick delivery!!! I love it for the fact that it delivers the
                order in about 5-8 minutes. No hassle at all. However, once I
                ordered eggplant for bharta and tomato. I received yellow tomato
                and tiny eggplant. I was returned a little part of my money.
                Ideally, they should have delivered good vegetable.</t>
  </si>
  <si>
    <t xml:space="preserve">Freebees if exhausted should be immediately removed from your
                pop ups .. it's a bad marketing strategy. As when we make bills
                of high amounts and you don't get your rightful free bees as
                committed by Blink it then it's not a good gesture . There are
                trust issues . Not a very good experience .</t>
  </si>
  <si>
    <t xml:space="preserve">I dont know why the pictures of any products are not at all
                showing in this app Its bit slow thn any other app. I tried to
                uninstall and install it again. Still the problem is not solved
                ? What to do? The problem is with only blinkit app</t>
  </si>
  <si>
    <t xml:space="preserve">Unfortunately, this is enough. How can you deliver items without
                taking care in packing them the first time? Iâ€™m losing faith in
                Blinkit. However, I appreciate the timely delivery and good
                products the second time. I hope I wonâ€™t face this issue again
                if I place another order.</t>
  </si>
  <si>
    <t xml:space="preserve">Best ! Products are delivered within minutes . Extremely Good
                Quality . The only drawback is that they don't have everything
                like books , etc . Rest overall is awesome ðŸŒŸðŸŒŸâœ¨</t>
  </si>
  <si>
    <t xml:space="preserve">I am decreasing the rating after today's order. On 27-10-2024
                blinkit it is showing a offer of some gift item on order above
                Rs.999. My order was more than 1100 and I also got a msg of free
                gift but not physically. I talked to the support person, he told
                me that the gift items are unavailable at their store. It's a
                new strategy to make gift items unavailable and pop-up
                attractive messages on app for free gifts and when person will
                claim then just say that the policy is till availability of
                gift.</t>
  </si>
  <si>
    <t xml:space="preserve">Overall experience has been pretty good. UX and product design
                is on another level. But my order was damaged a couple of times
                (refund process was smooth).</t>
  </si>
  <si>
    <t xml:space="preserve">Zepto thinks about such customers, it gives them benefits, they
                should also give all the Blinkits, I opened the Blinkit but I
                did not get any benefit from the offer, the same price as in
                Zepto, they also give the uparse Zepto promotion cash, which is
                useful if anyone. You will not get any benefit from your
                customers but you will also move to Zepto.</t>
  </si>
  <si>
    <t xml:space="preserve">Worst app got damaged products, refund not given product taken
                back. Please don't use this app. It's a mental stress app. Too
                many person calls us and asks for return product. No proper
                communication among them. Really first time I am thinking why I
                have ordered through online. Product taken back but refund
                amount didn't receive. Humble request not to order</t>
  </si>
  <si>
    <t xml:space="preserve">We get only expired products .. 2 times I ordered.... just to
                give a benefit of doubt stating that they might deliver wrongly
                expired product by mistake .. again I order .. again the same
                mistake .. not sure why we get expired product .. why this
                quality blinkit .. why expired product u serve .</t>
  </si>
  <si>
    <t xml:space="preserve">Today, my order was placed and I put in the number of receiver
                but no one called and it's showing delivered when I am trying to
                reach for help, they are not helping. They stop taking chats
                suddenly. During weekends, new year. I remember my friend
                telling me. ZEPTO is far better Plz don't order from them. They
                are thieves.</t>
  </si>
  <si>
    <t xml:space="preserve">It's great blinkit have multiple products now. But there are few
                items which need options for selecting size. Like for example I
                was purchasing football gloves but have no option for selecting
                the size. Tell me how and what to order now?</t>
  </si>
  <si>
    <t xml:space="preserve">Third class service. You wasted my 90 min time for four time
                replacement and pickup but still yet my issue is not solved.
                Your mobile app and customer care executive both showing my
                ordered item is 2 unit. But 4 times of my replacement i get 1
                unit. After 90min 4 replacement and pickup was completed
                customer care executive says our app showing 2 unit but in a
                store that is showing 1 unit so they delivered 1 unit. And said
                sorry, and also said blinkit is not having compensation policy.</t>
  </si>
  <si>
    <t xml:space="preserve">Delivery on time... Within few minutes... Nd delivery is done at
                doorstep everytime... Even if it's cash pn delivery.. best
                shopping app I ever used.. Thank you whole Blinkit team</t>
  </si>
  <si>
    <t xml:space="preserve">I found an amazing facility while using your app ,I can record
                my delivery instruction through my voice ,but unfortunately, I
                could record only 28 sec which I found not enough kindly
                increase the time .</t>
  </si>
  <si>
    <t xml:space="preserve">Blinkit, why even claim a 10-minute delivery if you canâ€™t stick
                to it? On what basis are you making this promise? I placed an
                order expecting a fast delivery, only to wait for over 40
                minutes, and thenâ€”just like thatâ€”it was canceled on your end
                with a ridiculous excuse. It feels like youâ€™re more focused on
                setting records than actually serving your customers. *( Want to
                tell mor but unable to due to word limit)* better to improve
                current service then better to go further....</t>
  </si>
  <si>
    <t xml:space="preserve">Very bad experience with their customer support! Ordered items
                were not delivered and the app showed them to be delivered. When
                I launched a complaint for the same, there was absolutely zero
                response from them. Will not recommend it to anyone.</t>
  </si>
  <si>
    <t xml:space="preserve">Pathetic experience. If was showing that add an item of Rs. 46
                and get a free coke. I did add the item and paid Rs. 46.
                However, did not receive the free coke. Customer Support is only
                giving the same copy paste answers. This is a scam. Why the
                offer was not removed? Why the app has asked to add more items?
                Definitely not recommending this app to others. In reply to this
                comment, support team will ask me write an email as if it is my
                fault! Going to escalate this on X and other social media also</t>
  </si>
  <si>
    <t xml:space="preserve">Started using this recently. So far what i like is no additional
                delivery charges, and no need to buy things more than 600rs just
                to "unlock" swift delivery. You can easily buy stuff around
                200rupees and get a 15min delivery. Thats how it should be.</t>
  </si>
  <si>
    <t xml:space="preserve">They either Dont pay enough to there delivery partner and staff
                and that's clearly affecting the customers once I tried to order
                a pen and the order got delayed because the store couldn't find
                the item and delivery partner has left the order at wrong
                appartment even though clearly mentioning the address and tells
                us to go and collect at that appartment as if it my mistake</t>
  </si>
  <si>
    <t xml:space="preserve">It is a good way to buy like the Japanese correction tape it is
                very long lasting even though the offers are awesome now there a
                voucher which gives a 200 rupees straight discount on the movie
                ticket it is good that they are giving these offers and the
                discounts are gone tooooo far like 50% or even 80% the thing is
                we can order it at our home so this makes a easy work i like
                blinkit too much try this out of I say try it out then try it
                out</t>
  </si>
  <si>
    <t xml:space="preserve">The Worst app ever in quick commerce, they deliver u the
                defective and used items and there is no proper customer service
                also. If u try complaining them, they would blame u for their
                mistakes and they won't reply at all. If there is 7 days
                replacement policy, they would reply on the 7th day so that they
                escape from providing a replacement and for not facing any
                problem. Every product listed would be sold by some Sunday bazar
                shops. Please don't buy any sort of electronics and gadgets.</t>
  </si>
  <si>
    <t xml:space="preserve">It was good when it was grofers now blinkit is pathetic, the
                display time before ordering would be defferent and after
                ordering it becomes different, customer service is pathetic,
                some products are still out of stock, i click on notify me still
                don't get notification, i am so tired of this I'm going to find
                other way or another application which delivers as soon as
                possible. I am going to uninstall soon, cause when we really
                need something urgent, we need some one should deliver our
                products asa</t>
  </si>
  <si>
    <t xml:space="preserve">Too much hidden charges like delivery charges surge charges,
                handling charges. If you are charging these types of charges
                then don't offer discount as by doing these activities you make
                customer confused. First when you find something interesting
                with discounts and then the total bill goes high then what is
                the use of buying them from you.</t>
  </si>
  <si>
    <t xml:space="preserve">Very satisfactory and convenient for all the busy people and
                instant delivery of the necessities is very much need of the
                hour. Will suggest to keep it functional for 24 hours for the
                convenience. Otherwise, you all are doing good ðŸ‘</t>
  </si>
  <si>
    <t xml:space="preserve">I ordered some glass jars but I only received two glass jars
                instead of six in one set and one less than five in another set.
                After that I sent request for call back four times to customer
                care and spoke to them. They told me that it will be picked up
                in 24 hours and you will be refunded but still nothing. And now
                no one is calling me back for that order Just got call from
                blinkit. On 8 nov 2024 at 9. 20 pm. But frustrated with your
                delay I broke the item i.e. the glass jar and threw it</t>
  </si>
  <si>
    <t xml:space="preserve">I previously rated you 3 due to delivery inefficiency, poor
                product quality, slow response time, and hidden charges that
                cancel out any savings shown on your app. I'm now lowering it to
                1, considering the rude behavior of your delivery personnel.
                Despite reporting this, most of them still ring the bell
                excessively, showing no respect for customers' comfort. Pathetic
                service.</t>
  </si>
  <si>
    <t xml:space="preserve">The delivery service and the quality of goods is excellent. But
                the prices of products are almost double compared to other
                retailers who also provide equally good quality products.
                Delivery charges for every order ( small or big)is a lot. There
                can be some concessions introduced for frequent customers. Also
                please increase the vegetables ,greens and fruits inventory(
                locally grown and seasonal ones as well)</t>
  </si>
  <si>
    <t xml:space="preserve">Good to have at competative price &amp; with immediate delivery.
                Except minimum order value is rs. 399/ can be compared with
                another online seller &amp; unlike can be reduced minimum order
                value with nominal delivery charges. Good that Blinkit has
                changed their delivery charges policy now only one more point
                which also may be taken for change i.e. price of items are
                almost 5 to 10% heigher than another online seller.</t>
  </si>
  <si>
    <t xml:space="preserve">Seriouslyyy you guys are making everything very
                accessible....love the printing option especially because it is
                very tough to find printing shops in holidays and late nights
                but with you guys we are relieved...thank you so much and please
                continue updating new useful features like these,wishing all the
                best and you guys are gonna make all of us lazy ðŸ˜‚ jokes apart
                once again thank you for whoever who came up with this brilliant
                idea...kudoss</t>
  </si>
  <si>
    <t xml:space="preserve">Fraudulent app! If you raise complaints about quality of items
                or wrong items delivered to you, they will disable customer
                support chat option for you and after that if you want to raise
                a complaint, they will ask you to write an email about the issue
                everytime. They will disregard your complaint giving invalid
                excuses/ responses and not help you at all! Blinkit is doing
                unethical business this way. They force you and leave you with
                no option except to use wrong or poor quality items.</t>
  </si>
  <si>
    <t xml:space="preserve">Never order high value items from Blinkit. If you receive a
                wrong order or if you get a faulty product they do not help out.
                Pathetic response, and almost not way to connect with customer
                care, got a wrong item delivered and waiting endlessly for a
                resolution. Never order high value item from Blinkit</t>
  </si>
  <si>
    <t xml:space="preserve">Just now I ordered something just because they don't know the
                address they forced me to cancel the order and I said no I will
                not cancel it.... later I got a call again and they ask me to
                cancel it again and the lady talking was extremely rude I don't
                know how you guys keep such people......I am extremely
                disappointed and will never trust your app during
                emergency......... after they cancelled my order they mentioned
                that I'll get my money after 5 working day..... I need to know
                the lady</t>
  </si>
  <si>
    <t xml:space="preserve">What a pathetic customer support these guys have. You have no
                chat support on Blinkit, so you have to email them about the
                issue. They want the customers to buy a weighing scale &amp;
                take pictures &amp; send those to them in case of a shortfall in
                quantity of the product. That is in line with the customer last
                or who gives two hoots about the customer attitude of big
                companies in India. While one has to use the app cos you don't
                have an option, expect their customer support to be the worse.</t>
  </si>
  <si>
    <t xml:space="preserve">Fraud happens at blinkit. They delivered a different product
                than listed in the app and when contacting the chat support they
                are closing the conversation without resolving actual issue.</t>
  </si>
  <si>
    <t xml:space="preserve">Disappointing Experience with Blinkit I mistakenly ordered
                non-veg items due to UNCLESR LABELING on the APP. Despite the
                products being seal-packed, Blinkit refused a refund or
                replacement, hiding behind rigid policies. Even small shops are
                more understanding! Their robotic responses ignored my genuine
                concern, showing zero accountability. Poor customer service and
                unreliable app experience. I donâ€™t recommend Blinkit if you
                value proper support and clear labeling.</t>
  </si>
  <si>
    <t xml:space="preserve">When we ask for refund the provide promo code. Which doesn't
                work. Customer support sucks, they cut the call on face with out
                listing to customer. There was no 0 rating are else I would have
                given. Don't buy the product from here. Location selection
                sucks. Very disappointed.</t>
  </si>
  <si>
    <t xml:space="preserve">No item from this app has been upto date , either product is not
                pacaged properly or has some or the other issue . Recently
                recived a fully oily bottled covered in greased of detox tablets
                . Sticker was removed and even the manufacturing date was
                scrubbed to a point . No response from their support team either
                . Instead of people only vhatbots are available. Wish I could
                just share the images of the condition in which I recieved the
                bottle. There are better apps for sure deleting this</t>
  </si>
  <si>
    <t xml:space="preserve">Worst service ever. First and last experience. They ask to
                update additional address inspite of updating the correct
                address they deliver goods to old address. I am having screen
                shot of the same . Worst service most 3rd class. I will never
                recommend this app to any one. Poor management.</t>
  </si>
  <si>
    <t xml:space="preserve">Yup it is a last minute app. Its perfect for ordering anything,
                it delivers orders according to your location, for me it is 8
                mins. But there is something wrong in cash on delivery at
                midnight I know it is also available at midnight so very much
                thanku but why is there no cash on delivery at midnight this
                thing annoys me alot. Suppose someone is in a hurry at midnight
                he/she forgots something to bring from market and doesn't have
                upi or net banking access then what should he she do.</t>
  </si>
  <si>
    <t xml:space="preserve">I returned one item which I recieved in detoriorted state but
                didn't give me any refund or new item. When I query for the same
                customer support told they didn't receive any item. It may be
                fault of this delivery agent who didn't returned the item.
                Pathetic after sale support service</t>
  </si>
  <si>
    <t xml:space="preserve">Once i was looking for permanent marker and the search came up
                with white board marker. I selected white board marker
                inadvertently. I requested for replacement &amp; it was refused.
                The whiteboard marker was also old stock. All pens were dry.
                Hence not rating higher</t>
  </si>
  <si>
    <t xml:space="preserve">App has virus. After an order is placed. It keeps redirecting me
                to onelink.me which opens google pay and spammy websites, all at
                once. Impossible to use the app after ordering.</t>
  </si>
  <si>
    <t xml:space="preserve">I am using this app for the experience of getting my urgent
                essentials delivered and so far the experience has been amazing.
                But I feel there should be more products available. The app UI
                is clean and easy to navigate.</t>
  </si>
  <si>
    <t xml:space="preserve">This app is incredibly convenient! The deliveries are always on
                time, and I love that they occasionally surprise me with free
                gifts. It's reliable and has become my go-to for quick and
                hassle-free service. Highly recommend!"</t>
  </si>
  <si>
    <t xml:space="preserve">Even after placing order of Rs: 1029, I did not receive their
                offer of kaju katli.... when chatting with customer care, the
                lady first mentioned it's only applicable when single item is
                above 999. Later on sharing the screenshot of the offer , she
                said you need to add explicitly...which app asks people to add
                free gifts explicitly...it's just by fooling people... some one
                has to be really alter while using such apps</t>
  </si>
  <si>
    <t xml:space="preserve">I had ordered earphones last night. I took them from the
                delivery man without checking them and later I noticed that they
                weren't working. I tried to return them but every time app bot
                rejected my request saying lots of requests. Whrost service,
                don't buy anything</t>
  </si>
  <si>
    <t xml:space="preserve">Very good. Awesome service. Very happy with this.it helps a lot
                when needed somthing urgently and very quick also. The goods are
                also of very good quality and they handle goods very well.
                Really appreciate the service and we should also recommend this
                for others.</t>
  </si>
  <si>
    <t xml:space="preserve">For return they asked multiple images and finally ignored to
                return or refund. They dont callback also. Don't buy anything.
                Got worst experience with customer service. They deliver the
                products that are almost expired.</t>
  </si>
  <si>
    <t xml:space="preserve">1st experience is very nice, easy, clear, fast, genuine, overall
                best. Only the problem i couldn't find the coupon to use as 1st
                time user.</t>
  </si>
  <si>
    <t xml:space="preserve">Blinkit has delivered the damaged product and after giving the
                video evidence these guys are just playing email game. Blinkit
                has worst customer support, instead we should look for alternate
                way They don't have proper return or replacement policy Blinkit
                just play with you. They says Blinkit delivery in 10 mins but
                return or replacement will take weeks and months</t>
  </si>
  <si>
    <t xml:space="preserve">I am extremely dissatisfied with your Customer support regarding
                the defective Portronics iKonnect C Pro Type C Aux Cable. After
                30 minutes of unhelpful exchanges, your insistence on video
                validation without genuine assistance is unacceptable,
                especially compared to the responsive support from Zepto and
                Swiggy Instamart. I urge you to empower your staff to resolve
                issues effectively and improve customer satisfaction
                immediately. Front-end service is commendable; backend
                operations are DISASTER.</t>
  </si>
  <si>
    <t xml:space="preserve">I got scammed. Ordered because of 1 item and added something
                extra to remove surcharge. After placing order they say that
                item is unavailable and deliver only the extra items. Didn't
                even allow to cancel.</t>
  </si>
  <si>
    <t xml:space="preserve">It's lightening fast delivery sometimes creates a doubt if the
                guys are just standing out of my house and waiting for my order.
                It is simply unbelievable. Kodoos to the management</t>
  </si>
  <si>
    <t xml:space="preserve">2 days ago I ordered decorative led teardrop lights from my
                roommates account I have been very satisfied with blinkit but
                that time I wanted to return it as it did not match my
                expectations , as I tried to return it immediately but there was
                a technical issue from your side I tried so many times that day
                but your customer support is very bad people don't know how to
                contact as a software developer I know there should be a proper
                customer support option but you guys doing it with automation, n</t>
  </si>
  <si>
    <t xml:space="preserve">You are sending wrong items. It's not a good thing for me. If
                you have shortage of orderered item you can refuse at the time
                of placing order. Return pick up have done so fast. But rs 68 of
                organic tattva sugar has not been refunded.</t>
  </si>
  <si>
    <t xml:space="preserve">Switch to Zepto â€“ Blinkitâ€™s customer service is non-existent. I
                ordered an item, it arrived damaged, and despite reaching out, I
                got no response. Itâ€™s been over 48 hours, and still no action
                has been taken. It's unacceptable to deliver poor-quality
                products at a premium price without accountability. This is not
                just a one-off inconvenience; it's a failure in basic customer
                care. Zepto, on the other hand, understands quality and values
                its customers with responsive support and reliable delivery</t>
  </si>
  <si>
    <t xml:space="preserve">It made my grocery shopping so so easy and simple. I'm so glad
                that Zomato Came up with this idea of Blinkit . I hope they keep
                the same experience for shopping in future also . Not to
                forget,the delivery person was so good and polite. In our busy
                going life where we hardly get time Blinkit is our go to option.</t>
  </si>
  <si>
    <t xml:space="preserve">It makes shopping v v v convenient. The variety of products is v
                high and it is available most of the times. The delivery is
                actually in a Blink.</t>
  </si>
  <si>
    <t xml:space="preserve">You peoples are not satisfied with order issues, when we order
                wrongly order, because you are not spacify regarding, which
                picture you post on your product list. When we get the order
                then i see the products, product are not up to mark.</t>
  </si>
  <si>
    <t xml:space="preserve">Pathetic. It's my humble request to everyone not to order
                perishable items from them. Most of the time, they deliver milk
                with same day expiry and other items nearing expiry.</t>
  </si>
  <si>
    <t xml:space="preserve">Overall experience is good . But just at times if the product is
                not available they change it themselves in the final cart. Also
                once a product was missing and that's the mistake of vendor not
                the company and on compalaining they quickly took the action and
                made the refund .</t>
  </si>
  <si>
    <t xml:space="preserve">Never close the customer issue. Blinkit support system is total
                corrupted. Images not uploaded. No any person call for support.
                Very bad experience with blinkit customer care.</t>
  </si>
  <si>
    <t xml:space="preserve">Pro: Things that are not available commonly in local market.
                They have it good. Con: They sell hookah, rolling paper and ads
                for tobacco products on blinkit lit. I don't know why these
                products are a last minute things. I don't like the facts kids
                can download this with these products listed</t>
  </si>
  <si>
    <t xml:space="preserve">Everything that you can need last minute, from any category, you
                can find it here. Easy payment gateway. Easy order system. And
                fastest delivery. Enjoying it.</t>
  </si>
  <si>
    <t xml:space="preserve">Everything is good specially delivery time and comfort if you
                receive any damaged product you can change easily in minutes I
                think that's the fabulous thing.</t>
  </si>
  <si>
    <t xml:space="preserve">Their delivery partner delivery our order to another customer
                without seeing our location (Paid order), it's not about money
                refund but wastage of time, and without confirming name, I
                guess, that's why education is mandatory , for everyone</t>
  </si>
  <si>
    <t xml:space="preserve">Excellent Service. Been using it since the monsoons. It has
                changed the quality of my life totally. Only point I would ask
                Blinkit to consider is changing the 10 mins delivery time put as
                it says on the app. Would be apt to say Within 30 mins like
                Dominoes.</t>
  </si>
  <si>
    <t xml:space="preserve">Seriously guy's this is worst application I ordered some items
                from this application, and firstly my item is not received
                because delay after sometime i cancelled the order and it was
                cancelled but my amount still not refund to my bank account i
                sent the mail to Blinkit customer care and there's no Good
                response and i sent the mail again and again and still not any
                resolution Poor services seriously ðŸ‘Ž</t>
  </si>
  <si>
    <t xml:space="preserve">Good app but not able to upload documents for printout. Every
                time I try to upload document app got crash. Need to fix it.</t>
  </si>
  <si>
    <t xml:space="preserve">Very easy app UI. Very convenient as the delivery is prompt
                delivery. Overall, good experience.</t>
  </si>
  <si>
    <t xml:space="preserve">Recently, the delivery agents sent to my area are behaving rude
                /unprofessional and have a general lack of awareness regarding
                the locality. I have now discontinued using this app , and only
                use it during emergency cases</t>
  </si>
  <si>
    <t xml:space="preserve">Been a great experience using Blinkit so far, no complaints.
                Lots of products available and quickly supplied as well.</t>
  </si>
  <si>
    <t xml:space="preserve">These days many delivery boys are rude. They can't even come
                inside the compound to deliver. They keep honking on the road.
                What is the point of door delivery when we are busy with some
                work at home. Very inconvenient.</t>
  </si>
  <si>
    <t xml:space="preserve">This is a very useful app but I just have an issue that it only
                allows 5 products in an order, so it will be a help if blinkit
                allows the consumer to order more then 5 products in an order..</t>
  </si>
  <si>
    <t xml:space="preserve">I had couple of orders with Blinkit. Their service is amazing.
                Really good network and smart management of such orders that are
                to be delivered within minutes. I tried Zepto too. But its
                useless and with poor network.</t>
  </si>
  <si>
    <t xml:space="preserve">Day by day getting worst experience they are doing wrong
                practice missing items in delivery. And also delivery agents not
                telling about missing items and we have to raise complain every
                time for missing items.</t>
  </si>
  <si>
    <t xml:space="preserve">I ordered 2packs of gully hully which were high priced by them
                and then when I returned them for a bigger pack they came with
                the same , given by them before. it is literally very bad
                service didnt like it at all. Bad experience</t>
  </si>
  <si>
    <t xml:space="preserve">Very limited product available in my area. Please make storage
                capacity increase. Also add more versatile products. Also
                introduce some discounts in certain amount of purchase. I
                appreciate on delivery charges restricted in â‚¹199.</t>
  </si>
  <si>
    <t xml:space="preserve">Very very bad experience with ur customer service I returned
                something and was promised refund maximum by 12 dec now it's
                18th and I raised several complaints but no one is ready to call
                back very very bad experience with the whole team ..and I shall
                try my level best to spread this information every wr on social
                media that blinkit does not refund even after taking back stuff
                dilivered ...too bad</t>
  </si>
  <si>
    <t xml:space="preserve">Amazing experience but I think they should look into how their
                staff is behaving. Once a staff was very rude to my daughter. I
                also think they should enable us to order print outs along with
                other stuff</t>
  </si>
  <si>
    <t xml:space="preserve">My first impression of this app is a plane no, the customer
                service is the worst... They don't respond to customers, if you
                try changing your antiques with the customers I think your
                ratings will improve...</t>
  </si>
  <si>
    <t xml:space="preserve">We mistakenly ordered the wrong item and customer support is
                awful or robotic, we are not getting valid reason or answers.
                Kindly change the item, as I have mentioned that we are in the
                hospital.</t>
  </si>
  <si>
    <t xml:space="preserve">Wonderful experience using this app and the service. Quick
                delivery with lots of options at regular prices. Hope they do
                well.</t>
  </si>
  <si>
    <t xml:space="preserve">False marketing since by app. They have written in bold letters
                in advertisement that free delivery on all orders however I've
                never gotten a free delivery despite my regular orders being
                around 500-900 rupees</t>
  </si>
  <si>
    <t xml:space="preserve">This app doesn't support cancel order feature. Even if you try
                to cancel order within 1 seconds. And what they are claiming is
                that order was packed up. Such a INDIAs worst app.</t>
  </si>
  <si>
    <t xml:space="preserve">All the payment method shows unavailable always whenever I am to
                order and there is no specific support for that. Very bad
                experience.</t>
  </si>
  <si>
    <t xml:space="preserve">App use to be nice but they have some weird bad polocy of refund
                which comes into wallet and expires in a month, they took my Rs
                215 and when raised complaint against the issue, they told me
                that i will receive a call from senior but havenot received any.
                Very Poor service.</t>
  </si>
  <si>
    <t xml:space="preserve">Please stop asking for location everytime the app is opened,
                it's annoying. Location is already entered with full address.
                Please let the customer himself select his location when the
                location changes.</t>
  </si>
  <si>
    <t xml:space="preserve">Best Delivery app so far. Has made things easier for us in daily
                to daily life. Love it. It works like an assistant/helper.</t>
  </si>
  <si>
    <t xml:space="preserve">I have very good experience with blinkit but I am giving three
                star because one I have order a classmate notebook and they
                delivered me different notebook. I will switch my rating to 5
                star when they start giving the exact product that I order as
                over all really good experience with blinkit. Thank You</t>
  </si>
  <si>
    <t xml:space="preserve">This app is a very useful app ðŸ‘Œ for everyone and we get more
                offers here any time the delivery partners try their best to
                deliver as fast as they can this app takes every safety measures
                and the delivery is on time . THANK YOU BLINK IT ðŸ˜Š</t>
  </si>
  <si>
    <t xml:space="preserve">Please all blinkit customer please check everytime the bill
                receipt before payment because blinkit can't do calculation
                correctly 45 +50+28=123 but this app calculated it 128 and after
                chat with the customer care they are unable to change it cause
                it is automated bill generated which can make mistakes they told
                me that they can't do anything for this and i have to bare loss
                of 5 rs the amount was less so i am bearing it but what about
                you You may face more loss of money due to faulty calculation</t>
  </si>
  <si>
    <t xml:space="preserve">Experienced very bad service recently prices are extremely high
                and I never get the thing I want. They only keep bulk products
                making it very unconvinient.</t>
  </si>
  <si>
    <t xml:space="preserve">Not delivering in my area even selected multiple locations still
                not available then what's the use of app when you can't even
                browse it also . Time wasted successfully</t>
  </si>
  <si>
    <t xml:space="preserve">Delievery Speed is exceptional. Almost all products are new and
                latest manufactured dates. I hope delivery persons would be
                getting proper safety and support from Blinkit. I hope also that
                they would be getting paid enough for there exceptional service
                .</t>
  </si>
  <si>
    <t xml:space="preserve">My grocery items arrived in 10 minutes, the quality of the
                veggies was good. Using this app for first time and I found it
                useful ðŸ˜„</t>
  </si>
  <si>
    <t xml:space="preserve">Not recommended to use this app as customer service is not
                working properly. Please be noted and careful buying any
                electronic items from blinkit. Once you bought item it should
                have to be keept with you even if item condition is poor</t>
  </si>
  <si>
    <t xml:space="preserve">Probably the most consistent on delivery and quality thus far,
                ðŸ‘Œ I generally don't rate and the service of Blinkit is worth a
                repeat review, you folks continue to amaze me, Keep up the good
                work!</t>
  </si>
  <si>
    <t xml:space="preserve">The service is awesome and most of the delivery partners are
                extremely hardworking and polite. In a recent visit, I
                discovered that Blinkit is faster than Hotel Room Service. I
                just wish one thing that the delivery partners are treated
                considering the principle of Equity, Trust and Justice instead
                of waiting for the Government to step in.</t>
  </si>
  <si>
    <t xml:space="preserve">The app is good but I have issues with delivery partners,most of
                the times they want to keep things in the lift for us to pick up
                and run away,and we have to wait infront of lift to pick things
                up,pls tell ur delivary partners to deliver at door step
                properly.</t>
  </si>
  <si>
    <t xml:space="preserve">When we order more than 500 you say that there is no delivery
                charge but very intelligently you put surcharge whatever may be
                the name you are going to grab some amount from us to remove
                that surcharge I should again buy another rs 50 more even though
                I require it or not another kind of robbery kindly change your
                ways otherwise people may not opt already the number decreased</t>
  </si>
  <si>
    <t xml:space="preserve">Great app . Showes less amount on the app but its MRP is high
                and adds some taxes. Just doesn't have few things which we all
                want for emergency.</t>
  </si>
  <si>
    <t xml:space="preserve">Service is good &amp; products also fresh , but one thing simply
                they are charging convenience , its un need it , we are
                purchasing many products worth 300rs to 800rs they can give free
                bag fo this items. If they did this I will be happy</t>
  </si>
  <si>
    <t xml:space="preserve">Quick service and good quality of groceries. Although some
                grocery are slightly pricey than regular market.</t>
  </si>
  <si>
    <t xml:space="preserve">This app adds handling charg... is it not a joke... just think
                how can you deliver any product without handling....there is no
                return or exchange option if product is not good in quality or
                it is not working</t>
  </si>
  <si>
    <t xml:space="preserve">Cancellation and refund policy is worst.. They do not deliver in
                given time. They charged 30 rs for delivery because of their
                said time of delivery but actually they don't deliver within
                given time for which we pay extra.</t>
  </si>
  <si>
    <t xml:space="preserve">Very unprofessional, I have a issue regarding my order and still
                waiting for the executive payment. I always ordered from blink
                it but today very disappointed.</t>
  </si>
  <si>
    <t xml:space="preserve">This is a very useless app. There was an error at the time of
                payment and the payment was deducted from my bank account but
                that payment did not come for 7 days.</t>
  </si>
  <si>
    <t xml:space="preserve">It was good and fast before but from 2 months it is not as fast
                as before it shows 5mins in app but that 5mins will be 10 to 15
                mins but still they make it seems it is just 5 mins on the app,
                and the blinkit store is not even 1km away</t>
  </si>
  <si>
    <t xml:space="preserve">It's really pathetic sevices provided by bilinkit some time they
                are providing expiry item and some time wrong item. I am
                recommending kindly do not believe on bilinkit service.</t>
  </si>
  <si>
    <t xml:space="preserve">Received expired products multiple times. Dissatisfied with
                Support all time. Makes us hassle for exchange/return for the
                expired products they sent. Frustrating.</t>
  </si>
  <si>
    <t xml:space="preserve">Really impressed with the wide varieties of products available
                in Blinkit. On 2 occassions I urgently needed a teat and a mini
                UPS and it available in Blinkit for quick delivery.</t>
  </si>
  <si>
    <t xml:space="preserve">I love the help service they provide. I need help with returning
                item and they instantly called me after the bot chat ended and
                initiated my return. I haven't seen this quick service for any
                brand.</t>
  </si>
  <si>
    <t xml:space="preserve">They just always get out of stock and they take too much time to
                get those stufs available again still I'm waiting to for those
                stufsss to be available it's been 4 days ðŸ™‚. though I love their
                service but pls do something with my issue.</t>
  </si>
  <si>
    <t xml:space="preserve">Bad experience. Cash on Delivery not available to me even when
                all the previous orders were successful. Absolutely
                unprofessional.</t>
  </si>
  <si>
    <t xml:space="preserve">It Is a good app, but it is irritating to see a expired items
                delivered frequently and we need to raise for replacement .
                Can't we filter out before delivery itself ?</t>
  </si>
  <si>
    <t xml:space="preserve">Very useful app for daily usage. It provides top notch service
                with on time delivery and genuine price. Will recommend blinkit
                for sure.</t>
  </si>
  <si>
    <t xml:space="preserve">It's is good app and very useful.. They will give the order on
                time. Product was very good quality.. They are delivering in
                24/7.. Thank you blinkit..</t>
  </si>
  <si>
    <t xml:space="preserve">They are worst. They will give misleading offer of Free gift but
                in return They will never give. I have faced this issue many
                times. I want to raise complain but there is no proper channel
                will say sorry for inconvinience, same issue today
                I.e.24.12.2024</t>
  </si>
  <si>
    <t xml:space="preserve">Worst app, please don't order from this app, even they deliver
                the damaged product they will never resolve the issue,never
                refund the amount and how could they resolve when I lost the
                trust on the app</t>
  </si>
  <si>
    <t xml:space="preserve">very bad experince with blink it on the 1 st order product is
                not seal packed and already used by someone and in refund they
                provided the coupon not the actual money (i don't want to use
                this app anymore and don't suggest anyone to use this blink it )
                worst application</t>
  </si>
  <si>
    <t xml:space="preserve">Simply awesome. Absolutely no issues with the App. Amazing
                service that is very much helpful during urgency.</t>
  </si>
  <si>
    <t xml:space="preserve">Extremely bad. Once you place the order you cannot edit your
                order even immediately. Even if the company does not have the
                right product, they will still not cancel your order.</t>
  </si>
  <si>
    <t xml:space="preserve">It is a good aap but last to last night an incident happen I
                ordered something late night and 3 boys came to deliver the
                order and they looked like they were drunk because they were a
                bit away from my door and i could here them they were screamimg
                my name loudly on road and were screaming my house no so i got
                scared and did not received that order . So that was a horrible
                experience.</t>
  </si>
  <si>
    <t xml:space="preserve">I had ordered 3W Duracell torch twice.everytime I received 1W
                torch. Even when replaced same 1W torch was received. If you
                don't have the product then please don't display it on site and
                fool the customer by supplying wrong product twice. This is not
                a mistake but pure cheating on your part.</t>
  </si>
  <si>
    <t xml:space="preserve">A very convenient app. Placing orders and receiving the orders
                within the blink of an eye, makes it the preferred mobile store.
                Appreciate COD facility</t>
  </si>
  <si>
    <t xml:space="preserve">Blinkit has made life easier for everyone! So easy to order
                essentials at the last minute and get them within a few minutes</t>
  </si>
  <si>
    <t xml:space="preserve">They take much more than 10 min and some times cancel the order
                out of the blue. In total they are not reliable.</t>
  </si>
  <si>
    <t xml:space="preserve">They are doing a fraud, please manually add your item cost at
                the time of checkout, also then are provoking that if I order
                more than 500 then they will give you gift on occasion basis but
                actually you will not receive that</t>
  </si>
  <si>
    <t xml:space="preserve">First experience bad experience...I ordered in another address
                that show in delivery address and order delivered to my live
                location...and then my Order get cancelled and they said that
                refund in 2-3 days..</t>
  </si>
  <si>
    <t xml:space="preserve">"Great app! Easy to use, timely deliveries, fresh products, and
                good deals. Makes grocery shopping super convenient!"</t>
  </si>
  <si>
    <t xml:space="preserve">It's A very User friendly app But only issue I am facing
                nowadays is it is not showing COD option and as I am a student I
                don't have UPI So it made very Difficult to order my Grocery
                That I need on regular Basis So plz Fix it asap..</t>
  </si>
  <si>
    <t xml:space="preserve">Very quick service. Very customer friendly. Very quick. Very
                prompt. I confirm my earlier review.</t>
  </si>
  <si>
    <t xml:space="preserve">Rocket speed delivery app. Generally the app has better menu
                options compared with competitors. Blinkit is my first choice
                ALWAYS</t>
  </si>
  <si>
    <t xml:space="preserve">no customer care support. I had an issue with my order, wrong
                product was delivered and ice creams were melted. chat support
                claimed that I have used the product. dont use this app</t>
  </si>
  <si>
    <t xml:space="preserve">This app is soo good.... whenever I order any food items, toys
                for my daughter it literally come in 9-10 min but foods and toys
                are out of stock soo that's why I gave 4 stars....... Thank you
                ðŸ‘ðŸ»</t>
  </si>
  <si>
    <t xml:space="preserve">Blinkit is One of the worst online shopping app and they have
                sent used item of my all orders. They are not Refund amount
                directly to my gpay account which I have already paid from. So
                please don't go with blinkit it app</t>
  </si>
  <si>
    <t xml:space="preserve">AI help chat was very bad and the app have so much of errors and
                the delivery partners was not responsive or very slow the app
                don't have time to time update about he's good's</t>
  </si>
  <si>
    <t xml:space="preserve">Free coupon is displayed for first order above Rs. 300. But,
                there is no option to add it. It is charging full amount for
                payment. So, uninstalled the app</t>
  </si>
  <si>
    <t xml:space="preserve">I was very much disappointed with the gift rapping option, I
                thought it will be pack well with what I have ordered but it was
                just kept on a huge fancy bag which doesn't fit well and looked
                very bad.</t>
  </si>
  <si>
    <t xml:space="preserve">Why there is no cash on delivery ðŸ˜• it shows cash on delivery
                but when I open the app it says this payment method is not
                available at the moment blinkit please fix this bug it can help
                to those who can't pay digitally</t>
  </si>
  <si>
    <t xml:space="preserve">Customer Support is poor. My order was not placed even after
                money was deducted from my upi app. My problem is not listed in
                the support section. I can't compose our own report. No way to
                connect with any human from blinkit.</t>
  </si>
  <si>
    <t xml:space="preserve">App is good and products are also top notch but the delevery
                charges are so high,if we want any thing below â‚¹200 then
                delevery charge is â‚¹30+â‚¹5 for handling charge so this is the
                only reason why I give 4 star.</t>
  </si>
  <si>
    <t xml:space="preserve">I ordered rice .. I got very poor quality rice .. trying to
                request for replacement but very poor response .. ordering,
                getting things is easy but if any issue getting items replaced
                is biggest problem</t>
  </si>
  <si>
    <t xml:space="preserve">Comparing to other Blinkit is less expensive, delivery of the
                product also fast. I really liked the delivery timings</t>
  </si>
  <si>
    <t xml:space="preserve">Blinkit is a very good place helps us save our time and is not
                only helping us but is also giving jobs to a lot of people time
                saving and takes less charges compared to other applications</t>
  </si>
  <si>
    <t xml:space="preserve">There are something which annoyed me a lot 1st - whenever I open
                the app it's ask me to select address change that I don't change
                my house regularly 2nd - why I can't view user reviews?
                Something's fishy here</t>
  </si>
  <si>
    <t xml:space="preserve">Good app, Super Fast Delivery. Very happy with Blinkit App ðŸ’–ðŸ’–
                but high demand surge charge this is very bad, delivery 30+ high
                demand surge charge 30 very bad experience, please stop this
                blinkit app</t>
  </si>
  <si>
    <t xml:space="preserve">it's great. it's super fast and the delivery boy was also nice
                and respectful. just they don't have change which they should
                have.</t>
  </si>
  <si>
    <t xml:space="preserve">Came from overseas for a month and been using this app every
                day. So reliable. Door 2 door service has been so quick and
                punctual.</t>
  </si>
  <si>
    <t xml:space="preserve">I used it in Punjab. Great app. Please add Jammu too in the
                delivery locations. It is not currently available here. Edit -
                Keeps saying, unavailable all the time even in Punjab now!</t>
  </si>
  <si>
    <t xml:space="preserve">They are quick enough in delivery time however the products
                people need to be careful of expiry dates as they failed to
                deliver the quality product and delivering the expired
                product..I have lost the trust in them.</t>
  </si>
  <si>
    <t xml:space="preserve">I can't get the cash on delivery option no matter how much I try
                I have deleted it so many times and logged again but it still
                don't work I think so it is a bug which needs to be fixed as
                soon as possible</t>
  </si>
  <si>
    <t xml:space="preserve">Delivery of items is lightening speed. Very surprised with the
                seamless delivery. Thank you Blinkit. You made us in comfort
                zones.</t>
  </si>
  <si>
    <t xml:space="preserve">I love this delivery app but only one disappoint is once i
                ordered but delivery guy refused to deliver because of rain so
                asked me to cancel but it's been 2 months i didn't get refund if
                i raise ticket they say check with the bankðŸ˜”</t>
  </si>
  <si>
    <t xml:space="preserve">Just unbelievable. Done a great job on UX and UI. For sure great
                for customer retention</t>
  </si>
  <si>
    <t xml:space="preserve">I love the blinkit its services are amazing nd too fast .. i
                like very much to purchase from here . But only a thing which
                bother me its highly delivery charges .</t>
  </si>
  <si>
    <t xml:space="preserve">I highly recommend this business.â€ â€œTheir customer service was
                soo gorgeous ðŸ¥°.â€ â€œThe product quality is consistently
                outstanding, exceeding my expectations every time.â€ â€œI was
                completely impressed with their professionalism and customer
                service.â€</t>
  </si>
  <si>
    <t xml:space="preserve">Wrong items delivered. Blocked from talking to customer service.
                Sent email, no response to that also. Basically stealing
                customer money and harassing them.</t>
  </si>
  <si>
    <t xml:space="preserve">Extremely grateful for the wholesome delivery experience
                provided by blinkit. All my last minute plans can now be easily
                executed. Thank you so much. Also, at great prices.</t>
  </si>
  <si>
    <t xml:space="preserve">Hi, All d the the things were good,but once i received rotten
                tomatos..i raised a complaint n number of times,115 rs..am
                pinging their customer care but looking like they damn care.
                Zepto is better in refund policies rather then blink it. After a
                year blinkit has improved drastically...now their app is so fast
                .... policies are more customer friendly â˜ºï¸</t>
  </si>
  <si>
    <t xml:space="preserve">Oh God its better you buy from the street, the customer service
                is horrible they instantly reject our concern after sending poor
                quality or wrong items, its better buy from Swiggy Instamart
                atleast tyey sell us quality items and better customer support</t>
  </si>
  <si>
    <t xml:space="preserve">Very good and smooth interface.. easy to use and order groceries
                and other household products.</t>
  </si>
  <si>
    <t xml:space="preserve">Fastest delivery in the world. And what a range of products!
                From electronics to toys to luggage to grocery! Unbelievable!
                Super!!</t>
  </si>
  <si>
    <t xml:space="preserve">Cheaters Disappointed support They publish offers on buying of
                certain amount they provide you gift but on delivery they will
                not send anything and when you try to approach customer care
                they just say sorry and nothing else Not compensate anything.
                Don't buy products</t>
  </si>
  <si>
    <t xml:space="preserve">IF COD facility is available then u have to keep the change na
                otherwise don't keep the cod option in blinkit. Bigbasket is
                better service than u. None of the delivery boy have change and
                refused to give change.I never buy any anything from blinkit.</t>
  </si>
  <si>
    <t xml:space="preserve">No accountability. No proper customer support system in place.
                They send the wrong items and don't event refund the money.
                There is no contact point to escalate grievances</t>
  </si>
  <si>
    <t xml:space="preserve">Extremely disappointed with the service. Received the package
                with all the eggs broken. I had to clean up the mess and throw
                away the entire batch. This is unacceptable, and I wonâ€™t be
                ordering again if this continues.</t>
  </si>
  <si>
    <t xml:space="preserve">This app is very useful and better than swiggy. It doesn't
                charge and delivery is very fast.</t>
  </si>
  <si>
    <t xml:space="preserve">There is something wrong with this app. I tried placing order of
                one club soda worth rs. 20 and Appy fizz worth Rs. 60. App cart
                shows 2 items. Place order shows 135..how come 60+20 is 135. And
                mind it delivery is free..</t>
  </si>
  <si>
    <t xml:space="preserve">Amazing experience with blinkit, easy to use, quick delivery,
                good offers too.</t>
  </si>
  <si>
    <t xml:space="preserve">Started using Blinkit since Swiggy Instamart isn't working
                anymore for a lot of people. I'd like to point out that Blinkit
                is definitely faster than Instamart ðŸ‘</t>
  </si>
  <si>
    <t xml:space="preserve">My first experience is bad experience and now I discontinue to
                use blinkit. Because as per refund policy they didn't return the
                product which quality is not good.</t>
  </si>
  <si>
    <t xml:space="preserve">Totally last minute instant gratification. Although they do
                humanly message up at times. Yet worth it all. If it has Robins
                Cuffsn collars and Mawana sugar ....has to be great</t>
  </si>
  <si>
    <t xml:space="preserve">Best and quickest service. It helped me do my last minute
                shopping in just few minutes. I am super happy for such helpful
                service at our doorsteps.</t>
  </si>
  <si>
    <t xml:space="preserve">Customer Support is very bad. If the product delivered is faulty
                or incorrect, Blinkit takes zero responsibility and will do
                nothing to resolve the issue.</t>
  </si>
  <si>
    <t xml:space="preserve">Really amazing service. Blinkit is very convenient whenever
                there is an urgent need for any grocery.</t>
  </si>
  <si>
    <t xml:space="preserve">It says India's last minute app, but it isn't even available in
                my location.. please make the app available at all the areas and
                then publicize it..</t>
  </si>
  <si>
    <t xml:space="preserve">It's wonderful, full of options and perfect delivery all the
                time. Best app in the Instant delivery sector</t>
  </si>
  <si>
    <t xml:space="preserve">It's an awesome app and delivers any item on time. The time is
                accurate. You'll love this app once it is setup in your area.</t>
  </si>
  <si>
    <t xml:space="preserve">Always in time, Excellent delivery services,never had problem
                with quality, refund replacement was done wherever necessary,
                Thanks blinking for making life easier</t>
  </si>
  <si>
    <t xml:space="preserve">Belong to a Tier-2 city, recently started the services in our
                town, used it multiple times it's super Quick and unbelievable.
                Thank you</t>
  </si>
  <si>
    <t xml:space="preserve">Worse app It show delivered your parcel when not arrived to you
                I order 4 item and its shows 8 min delivery but after 40 min not
                delivered yet.... And executive call me that some item is
                missing so i can't do the proper delivery....</t>
  </si>
  <si>
    <t xml:space="preserve">So many times I got rotten fruits/veggies and expired products.
                Like it's 2/10 items are not good.</t>
  </si>
  <si>
    <t xml:space="preserve">The app is very convenient and fast. The dilivery is also mostly
                fine. A lot of charges thought</t>
  </si>
  <si>
    <t xml:space="preserve">Excellent service....the product was at its best
                quality...totally worth it...I guess blinkit is on that stage
                that no other platform can complete with him.... not a chance..
                ..love it</t>
  </si>
  <si>
    <t xml:space="preserve">Everything thing is good but 3 mo nths ago I placed an order
                payment around 2500 was done. Later on order was canceled but
                the payment is not refunded after repeated mails.</t>
  </si>
  <si>
    <t xml:space="preserve">Wost app ever came accross the delivery guys are so arrogant I
                am a regular buyer still will never use service again they never
                keep change to pay to customer I am so frustrated I have to
                return the order because of your executive and there is no
                number to call customer service</t>
  </si>
  <si>
    <t xml:space="preserve">Product delivered on time....good quality vegetables.....milk
                etc. App experience also good just like Zomato...we can track
                the delivery partner.</t>
  </si>
  <si>
    <t xml:space="preserve">They deliver very fast. Also they have started delivering by
                cycle in our area so its eco friendly too. Great Initiative!</t>
  </si>
  <si>
    <t xml:space="preserve">The app is good, but if they make the delivery time 10 mins
                instead of 16 mins it would be great.</t>
  </si>
  <si>
    <t xml:space="preserve">Too many annoying notifications. This also happens with most
                apps these days They call it "marketing" I call it "annoying"</t>
  </si>
  <si>
    <t xml:space="preserve">I actually dont do this review stuff but The delivery was really
                quick i had to open app and do it right away. I hope u guys keep
                this impressive work long ahead too</t>
  </si>
  <si>
    <t xml:space="preserve">Nice app, nice items available, fast delivery and consumer
                supporting staff for any complaint. So recommended for you if
                you want anything at your door step.</t>
  </si>
  <si>
    <t xml:space="preserve">The first time I ordered I had a very bad experience and the
                delivery boy was very rude, he didn't want to talk to the
                customer. Very bad experience, will not order anything from here
                again.</t>
  </si>
  <si>
    <t xml:space="preserve">Blink it app is pathetic app they flash free delivery at Rs 200
                and when u proceed for payment they take Rs 35 surge charge.
                They also want 500 amount delivery then only they will give u
                free delivery. Fooling us by showing fastest delivery. It's
                shows 7 min delivery. And it arrives after 20 to 30 mins. Don't
                order anything from BLINK IT.</t>
  </si>
  <si>
    <t xml:space="preserve">Quick deliveries! Great service. Consider this - I want to
                deliver a printout to my friend or boss or colleague. If Blinkit
                can do it for me ill utilize the service like mad. Blinkit can
                partner with bike/cab service apps and deploy a larger delivery
                network for this sort of service</t>
  </si>
  <si>
    <t xml:space="preserve">Pathetic support given by executive Roshni wherein the initiated
                chat window was left hanging without any word exchange and after
                10 mins it was informed that the subject item is non returnable.
                The matter is not about the no return item, it's about the
                unwanted delay the executive showed by just vanishing from the
                chat window.</t>
  </si>
  <si>
    <t xml:space="preserve">â¤ï¸ ðŸ˜ Thank you so much for fast delivery on time delivery to my
                doorstep. Thanks to the delivery guy team. 5 star to the
                delivery team. Very much happy for the service. Please come with
                more offers, combo offers, cash back offers. Please also add all
                vegetables and fruits. Please give us always the best lowest
                price. I always buy from Buynsave which is near bigbazaar
                malleswaram. Your price and Buynsave price is nearly matching.</t>
  </si>
  <si>
    <t xml:space="preserve">This app is good but not show any images of the items. It is
                very problematic for me to choose the product. I emailed many
                times but my problems not solved by the team</t>
  </si>
  <si>
    <t xml:space="preserve">Very froud blinkit application .Like if you order something,
                sooner or later one or two items will be missing and if Blinkit
                cancels any order from its side, then it does not even give a
                refund for that. I want anyone to buy from Blinkit I would
                appreciate not buying it and I would appreciate not downloading
                the application, it is a fraud application blinkit ......</t>
  </si>
  <si>
    <t xml:space="preserve">My order is accepted and online payment also done. Despite the
                fact that there was shortage of one product in the order. Now
                I'll have to wait for 4-5 days for refund, this inconvenience
                should be avoided in future. There must be proper provision for
                checking the products out of stock.</t>
  </si>
  <si>
    <t xml:space="preserve">Poorest customer support, Everytime I have some issue with my
                order , I am not able to connect to agent , it always say - "we
                are currently facing lot of queries so please try after some
                time" Literally no customer support is given to customer, once
                delivered the order, customer is of no use to blinkit.</t>
  </si>
  <si>
    <t xml:space="preserve">It's good... Getting ur groceries at ur doorstep is so stress
                free..and the quality of the products is also good.. I have
                regularly been ordering n the best part is they actually deliver
                in 8 to 10 mins.. Thankyou blinkit...</t>
  </si>
  <si>
    <t xml:space="preserve">One of the best online delivery app. The rates are low compared
                to others. Polite staff and on time delivery. Good job ðŸ‘</t>
  </si>
  <si>
    <t xml:space="preserve">Worst Service. They excel in delivering incorrect items and
                expired items. Edit 1 : I sent a mail just as you suggested no
                response since past 2 days . So much for customer service.</t>
  </si>
  <si>
    <t xml:space="preserve">"Frustrated with Blinkitâ€™s poor return policy! Purchased a table
                globe yesterday, and it arrived damaged. Theyâ€™re not offering a
                return or replacement. I urge everyone to avoid Blinkit and
                consider alternatives like Amazon or Swiggy for a better
                experience." "Extremely disappointed with Blinkit's pathetic
                customer service. Spent 20-30 minutes trying to resolve an issue
                for a damaged item worth â‚¹400, only to be denied a return or
                replacement. Avoid Blinkit and opt for reliable alternatives
                like</t>
  </si>
  <si>
    <t xml:space="preserve">In The app photos of the product can not be see it,only front
                sheet of the app can be see clearly after we go in the category
                nothing of any product pics then how to buy it friend can you do
                anything about it. is about 4g network speed I don't no.</t>
  </si>
  <si>
    <t xml:space="preserve">Request authority to please deliver only fresh authentic (not
                expired or about to be expired) items as it affects health of
                children. Please reject ordered items rather than compromising
                on quality. I have been placing my family essentials quite
                often. But I am finding sometimes food items, vegetables,
                groceries are not in desired quality .. partially rotten.</t>
  </si>
  <si>
    <t xml:space="preserve">Guys do not use this app it's a scam they ordered me a wrong
                item and then created a replacement and cancelled the
                replacement and did not even bother to inform about it and they
                are not even ready for a refund... The customer support sucks
                and they sent me cheap price item and denied my refund</t>
  </si>
  <si>
    <t xml:space="preserve">Greatest minus point is the customer service. Very very hard to
                replace the damaged item or spoiled or bad quality products.
                They are very very rude .I Uninstalled swiggy for the same
                reason (providing idly without chutney ) and being stubborn for
                their mistake. No problem. There will be always better choices
                because this Is a competitive world .You never hesitate to
                accept your mistakes and get ready to loose customers eventually</t>
  </si>
  <si>
    <t xml:space="preserve">Best app for groceries, also the price is very reasonable,
                almost every single thing that we need is available, the
                delivery is also just on time, really thankful to blinkit and
                it's team for making our life easier and much more better.!!</t>
  </si>
  <si>
    <t xml:space="preserve">They show offer ..but when I ordered. They just told me that
                order mistakenly placed in a far warehouse. So they can't place
                the order..so they refund the money. But I didn't get the sell
                product.. a Havells hair dryer showing 69% off. So I placed the
                order..</t>
  </si>
  <si>
    <t xml:space="preserve">Very swift delivery. Some fantastic deals too. Overall a
                satisfactory experience. Highly recommended. They have increased
                their range of products in the last few months.</t>
  </si>
  <si>
    <t xml:space="preserve">Search results throws up unwanted results and can be confusing.
                Plus the title is not clear, unless u click on it. Not much
                variety of choice either.</t>
  </si>
  <si>
    <t xml:space="preserve">I love to blinkit. Fast delivery and quality products. It's
                saved our precious time. Recommended to all.</t>
  </si>
  <si>
    <t xml:space="preserve">Ashamedd!!! I am extremely disappointed with the recent order I
                received, which included expired or nearly expired ghee. This is
                completely unacceptable, and I expect much better from your
                service. Providing products that are unsafe for consumption is a
                serious issue. This needs to be addressed urgently</t>
  </si>
  <si>
    <t xml:space="preserve">Worst service! I ordered some things at 11:30 Pm 24 dec and they
                accept the order but doesn't deliver it at that time or next day
                25 dec i have not received any thing from them yet! And i
                already pay for it</t>
  </si>
  <si>
    <t xml:space="preserve">Please don't buy any electronics, very poor customer support,
                app itself doesn't allow you to talk with executives, you have
                to initiate the chat from beginning even talk about your
                previous grievance, and every time new executive will speak ,
                the system itself will make sure that your issues are not
                resolved. I utterly disappointed. I am not gonna order anything
                from this app again.</t>
  </si>
  <si>
    <t xml:space="preserve">Running late but they are telling me that cancelling charges
                will apply. My order is running late . I got call from blinkit
                that their delivery partner is saying that I want to cancel
                order. And they are going to charge cancellation charges. Should
                be delivering everything free actually.</t>
  </si>
  <si>
    <t xml:space="preserve">Good in terms of discount, delivery time, brands of grocery
                sold. I am rating 3/5 because the delivery executive never wait
                till we can check the products delivered delivered and on a
                particular occasion there was a product less and the process of
                making them deliver the missed process is very tedious.</t>
  </si>
  <si>
    <t xml:space="preserve">This is an awful place to buy anything, they will send you
                damaged and poor quality product and you can't return it. They
                will not take it through the delivery person, then you have to
                contact them. They see the photos and confirm the product is
                alright. I just wonder, if there is anything called customer's
                right in their opinion. Dont ever buy anything from them because
                if it is by any chance damaged or or of poor quality, you don't
                have any option to return. Customer service is awful.</t>
  </si>
  <si>
    <t xml:space="preserve">I have always ordered from blinking ever since it was available
                in my area. One order which I did tody was not delivered, I
                contacted the Support team they swiftly resolved the case,
                arranged redelivery. Thank you blinking keep blinking...</t>
  </si>
  <si>
    <t xml:space="preserve">Wrost experience, I placed an order and my order was placed. My
                payment was also deducted and after 10 minutes my order was
                cancelled.</t>
  </si>
  <si>
    <t xml:space="preserve">Their delivery agents are literally harrassing girls in hostel
                areas where signal is not good. They are cancelling the items by
                themselves and going even after opting for no contact delivery
                because of no network issue. These delivery people are not even
                seeing the delivery instructions and taking the items back by
                themselves if network is not there for customers. They have
                become the worst by harrassing the girls for network not
                available in some areas.</t>
  </si>
  <si>
    <t xml:space="preserve">Worst app i ever seen in my life I ordered pond's face wash
                instead of getting it i received "fix my clurs Shamo" when
                reached with customer support they told to send the picture of
                the product I sent after sometime they sent an email that item
                will nt replace or refund and they don't take any responsibility
                for the item if they don't take any responsibility why they 25rs
                as handling charges this is an worst app Instant buying from
                This app we can buy physically</t>
  </si>
  <si>
    <t xml:space="preserve">The app help section doesn't give one any chance of raising
                issues that are outside the list you have made. I had an issue
                today that can't be raised with you because there's no provision
                of doing so.</t>
  </si>
  <si>
    <t xml:space="preserve">I want Blinkit support to check the order ORD486195983 No
                support, no exchange or refund. No way to get any help for
                disgusting products that are delivered. The immediate need of
                most families is good fruits and vegetables. That is the main
                reason we turn to Blinkit and other delivery services. Bedsheets
                don't get spoilt. They are not eaten either. As long as good
                fruit and vegetable is available, many people will be happy to
                eat home cooked food</t>
  </si>
  <si>
    <t xml:space="preserve">I have been getting all my groceries from Groffers (now Blinkit)
                right from when it started its services in Kanpur. You get
                everything at one place and delivery is quick (10mts - 20mts).
                Customer care is helpful and prompt in resolving buyers issue.
                Hope Blinkit management will promote more varieties of products
                and carry on with same yardstick. Recently one more noted
                quick-commerce service outlet has become functional in Kanpur.</t>
  </si>
  <si>
    <t xml:space="preserve">Terrible service, for any support you need to keep calling back
                and now three is no way even to chat with customer support.
                Ridiculous.</t>
  </si>
  <si>
    <t xml:space="preserve">Service used to be rather good, but now they are no longer
                accepting international credit cards. They gonna lose many
                international customers like myself who live in India but don't
                qualify yet for an Indian Bank account. (Also if the customer
                service responds on this with a standard "share order ID"
                remark, it shows bad service as the whole point is I'm no longer
                able to order due to this ridiculous policy.)</t>
  </si>
  <si>
    <t xml:space="preserve">They are selling online expired ðŸ˜•ðŸ˜ž producta, be careful and
                check all item carefully. Also you will get refund after many
                days, very poor. Better to buy from local market.</t>
  </si>
  <si>
    <t xml:space="preserve">Its very fast and accurate delivery with all variety of products
                grociries to party items. Like it. Delivery with paper cover
                also very good thing.</t>
  </si>
  <si>
    <t xml:space="preserve">Beware of app based business,if app donot show direct customer
                care no.It means the there is quality issue if any item missing
                or wrong advertising discount.Still you want to order do cash on
                delivery or pay digital way after checking all items.</t>
  </si>
  <si>
    <t xml:space="preserve">Free delivery was Rs. 99. It was helpful mainly morning time.
                Breakfast products falls near about Rs. 99 or slightly more.
                Since now increased to Rs 199 exceeds, therefore I am trying
                other options. Zepto is punctual and delivery time accurate,
                that quick they are. Blinkit delivery always exceeds reaching 20
                to 30 mins. So must make sure time is honoured as shown during
                booking. A suggestion Minimum order during morning upto 8am,
                allow minimum upto Rs. 99. Rest of day Rs. 199 is acceptable</t>
  </si>
  <si>
    <t xml:space="preserve">What is the point of having this app when customers can't
                contact your customer service? I received a defective product
                and when tried chatting, it's showing no one available..! If you
                can't handle, either invest more in after sales or limit or
                sales..! Pathetic!</t>
  </si>
  <si>
    <t xml:space="preserve">Previously I had rated just one star for their limited operating
                area but now they have expanded their business and reach more
                locations. They are now delivering their products in an average
                of 10 minutes or so which is very nice. Keep it up!</t>
  </si>
  <si>
    <t xml:space="preserve">Worst app ever... delivery experience is good however products
                which u order isn't upto the mark .. their support team is
                pathetic..non responsive..they will revert back to you after
                30-35 minutes if u contact them on chat support stating issue to
                BOT options..i am just uninstalling this app.. never ever advise
                anyone to get this app</t>
  </si>
  <si>
    <t xml:space="preserve">I ordered something that got charged but later on they refund
                saying it's not available. This is a flaw as I am left with
                ordering one item next day or whenever it is in stock and they
                will charge delivery fee etc. Plus my refund takes 3-4 days to
                come! Why can't the app immediately update the stock!</t>
  </si>
  <si>
    <t xml:space="preserve">It has been an amazing experience really .the only issue i have
                is with refunds kindly make the blinkit wallet available so
                refund can be added there and can be redeemed at time of
                checkout instead of giving promo codes that hardly works.But
                otherwise ðŸ‘</t>
  </si>
  <si>
    <t xml:space="preserve">I'm frequent user of Zomato and Zomato delivered my address
                frequently there has been not a single problem there. But this
                app shows 'blinkit is not available at your location now'. So I
                request you to look at this as serious problem and please give
                service to all peth areas of Pune ðŸ™ðŸ»</t>
  </si>
  <si>
    <t xml:space="preserve">"I have noticed that every time I place an order on Blinkit, it
                gets delayed and doesn't arrive on time. This has been a
                consistent issue, and itâ€™s quite frustrating as it affects my
                overall experience with the service."</t>
  </si>
  <si>
    <t xml:space="preserve">Good services but cash on delivery is not available on my app;
                it is available on other phones in my house. I don't understand
                the issue, I have tried redownloading many times but COD is
                never available. Please fix this.</t>
  </si>
  <si>
    <t xml:space="preserve">Groceries are delivered promptly. Even during harsh weather
                conditions they deliver on time. The app interface is also very
                friendly.</t>
  </si>
  <si>
    <t xml:space="preserve">They are thieves Ist my order didn't came and it was sowing
                delivered and the customer support said delivery partner no.
                Switched off and store manager didn't pick up the phone and he
                said I will reorder and when the items came two items were
                missing and without my permission the convert the money to some
                code where I have to order again and I won't get free delivery
                they even didn't ask me when I asked the customer support to
                refund my money back to my account they were denying it</t>
  </si>
  <si>
    <t xml:space="preserve">sometimes vegetables are not fresh, thats the major issue. Once
                we have ordered seven , eight items and they forgot to bring one
                item, staff said that he has received packed packet and went
                back, we did not receive green onions ordered on that day. Well
                we hope that we were given clean , non expired items. Hope we
                can trust Blinkit on that area, as we get to see lots of reels ,
                video on the internet showing staff deleting expiry date of the
                product and putting new date(doing fraud), please see</t>
  </si>
  <si>
    <t xml:space="preserve">They give offers to the customers of freebies while placing
                order, they give option to add more item and get the free item,
                but do not deliver you any free item with you order. And after
                complaining about this they give you a sorry by saying that this
                item was free so we can't help..</t>
  </si>
  <si>
    <t xml:space="preserve">I had the best experience with blinkit whether it's late night
                cravings or urgent need of grocery and munchies. It's so
                convenient and the prices are so affordable. It quickly delivers
                your order in barely 10 mins or even less.</t>
  </si>
  <si>
    <t xml:space="preserve">This app offers terrible service. Thereâ€™s no value for money,
                and the product (carrot) I ordered arrived completely damaged.
                Customer support is unhelpful and claims there's no refund or
                replacement for the item. If you want fresh, healthy produce,
                itâ€™s better to go to the market.</t>
  </si>
  <si>
    <t xml:space="preserve">Very poor service. I have ordered multiple items, I have to
                raise an issue 2 times. I have wasted my 40-45 mins to just
                order from blinkit. Very bad experience</t>
  </si>
  <si>
    <t xml:space="preserve">It's the worst app for vegetables, fruits and dairy products...
                What they say if you complaint that the product is good you have
                paid,,, we are not giving your money back l. Use the product or
                throw it but we will not provide any replacement</t>
  </si>
  <si>
    <t xml:space="preserve">I have given 3 star and not 5 because the delivery person
                doesn't have change of small amount, if u run out of online pay
                , it cause hazardious experience for the buyers ,and the
                location after selecting it shows wrong ,afterall it's good but
                needs to be improved ....</t>
  </si>
  <si>
    <t xml:space="preserve">"I had a very bad experience with Blinkit. I ordered items
                twice, and both times some items were missing and others were
                delivered damaged. When I tried to contact them, they replied
                saying they could only assist once the shop was open."</t>
  </si>
  <si>
    <t xml:space="preserve">From the perspective of a customer, Blinkit is really good. It
                has saved me many times when I needed to order something and
                needed that product immediately.</t>
  </si>
  <si>
    <t xml:space="preserve">Blinkit is a great choice for quick and reliable delivery of
                daily essentials! It's convenient for groceries, household
                items, and emergency needs, making life much easier with its
                fast delivery service.</t>
  </si>
  <si>
    <t xml:space="preserve">Best service, my favourite app among all other instant delivery
                apps. Very fast and on time delivery Excellent customer service.
                So far the best service i have seen Sometime they send gifts
                which is really a sweet gesture.</t>
  </si>
  <si>
    <t xml:space="preserve">One of the ordered item was missing repoanse on chat We're
                currently experiencing a high volume of queries and,
                unfortunately, we're unable to assist you at this moment. We
                apologise for the inconvenience and kindly request that you
                reach out to us again in sometime. No refund.. fraud</t>
  </si>
  <si>
    <t xml:space="preserve">Super Awesome! Easy to navigate, this app has the maximum
                products to offer in any category vis-a-vis other apps, the
                delivery services are super awesome too ! Thank you blink it!
                ðŸ˜ŠðŸ« </t>
  </si>
  <si>
    <t xml:space="preserve">Don't trust this appa i have ordered 3 items in this app but
                delivery person delivered only 2things when i asked for the
                remaining one he replied that item is not available and my
                amount is debited and if i raise complaint no one is responding.
                They are cheating customers and delivery partners they hire are
                very rude and they reply nonsense.</t>
  </si>
  <si>
    <t xml:space="preserve">Wrong item delivered ,1 item not processed as to order again and
                to be charged again, totally discusted on delivery tactics. This
                has happened twice. If wrong items just sent them back is my
                advise. Done</t>
  </si>
  <si>
    <t xml:space="preserve">Missses items ordered Don't even bother to update If you don't
                check delivered items, money will be gone.... This is 3 rd time
                it happened... Worst service Delivery person continously calls
                till phone is ordered They even bother to atleast wait for few
                seconds, or ring the calling bell.... Worst than swigg instamart</t>
  </si>
  <si>
    <t xml:space="preserve">Mostly receive rotten meat. And also the date expiry products.
                Sometimes, a few items may be missing in the order. Need to
                spend at least one hour with customer care executive regarding
                the missed item.</t>
  </si>
  <si>
    <t xml:space="preserve">Nowadays they don't care about your health. They will pack all
                chemicals with food items,eatable things,reported many times
                ,same thing happened again and again Paneer with alla fabric
                bleach, that bleach bottle doesn't come with inside seal or
                sticker, so it always got leaked a bit. Can't post photo here
                otherwise can display the items . No words left ...:(</t>
  </si>
  <si>
    <t xml:space="preserve">It is delivering wrong items first and then there's no
                assistance available on chat or call ....most of the time one
                uses it on urgent basis and they are giving a timeline of 72
                hours to just acknowledge and address the complaint of the
                customer...what do to do with the wo called short delivery it
                claims...too disappointing</t>
  </si>
  <si>
    <t xml:space="preserve">I am using this app last 5 year but after grofer to blinkit I
                don't want use more many reasons 1. dilivery charge not in
                grofer. 2. Damage charge not in grofer. 3. Dilivery not as per
                time. 4. Every product price is high to grofer. 5. App bugs
                everytime. Same review Now Option available for 10 minutes fast
                grossery buy best app for customer is ZEPTO ZEPTO ZEPTO IS BEST
                ðŸ‘ DON'T BUY FROM BLINKIT BUY FROM ZEPTO IS GOOD FOR CUSTOMER</t>
  </si>
  <si>
    <t xml:space="preserve">Thank you for sending me a fungus full product. Amul motichur
                ladoo. When I asked for refund the only option was replacement.
                Replacement was another story all together. This time I was
                given a product which got expired in March 24, only 7 months
                back. The story gets better, this blinkit store opened only 3
                months back. Amazing. I hope Albinder Dhindsa and Saurabh Kumar
                are reading this.</t>
  </si>
  <si>
    <t xml:space="preserve">I had the worst experience with Blink it yesterday with Delivery
                executive who took more money than the delivery price. I have
                been harassed by the said executive and also by Blink it , the
                issue is yet to be resolved. I ended up paying 295 rupees extra
                for an order which Blink it sent in two installments,the first
                of which was delivered by an absolutely rude person. Blinkit is
                yet to resolve my issue, they are only making me chat with bots
                now.</t>
  </si>
  <si>
    <t xml:space="preserve">Everything is great from options to delivery on time. Delivery
                agents are polite ,humble and professional . The help section
                when something is missed and needs to be asked for or needs
                replacement is quite quick and professional. Not much hassle
                except the price of dhaniya ( coriander) which is quite
                expensive ðŸ¤£ðŸ¤£ðŸ˜…</t>
  </si>
  <si>
    <t xml:space="preserve">Very convenient and easy to get last minute or any preferred
                items, very quick as well, hardly i have seen out of stock
                issues n late night memory on missing items are no fear now.
                Just to add not only late night but early morning snacks for
                kids to school also is no fear now. Blink it hain na tho fikr
                kyun ðŸ¤—</t>
  </si>
  <si>
    <t xml:space="preserve">Blinkit is very good. Provided movie ticket coupons for order..
                wow man. that was really great. but there's no discounts or
                coupons to apply during blinkit order checkout. you guyz should
                provide us some coupons.</t>
  </si>
  <si>
    <t xml:space="preserve">Super fast delivery. If i have ever had an issue with my product
                they have always refunded or exchanged it almost immediately. I
                have been using for 6 months and reality like it</t>
  </si>
  <si>
    <t xml:space="preserve">4 star because they should change there interface it is very
                small and not all details shown at first page. It should be like
                Swiggy instamart</t>
  </si>
  <si>
    <t xml:space="preserve">The best thing is that the delivery is very fast. There are many
                options for the delivery items. The only problem is that the
                prices are comparatively higher than those of others. They could
                do better with pricing.</t>
  </si>
  <si>
    <t xml:space="preserve">Almost , always fully priced at MRP, no discounts, no offers,
                and mostly old, stale stock, hardly fresh &amp; near expiry
                products.. AVOID BLINKIT.... Instead Try &amp; opt for FLIPKART
                MINUTES, all items / products fresh, hugely discounted prices,
                free delivery above 99/- , just Rs. 5/- platform fee.. No other
                fees..</t>
  </si>
  <si>
    <t xml:space="preserve">I ordered printouts from blinkit, but they always provide prints
                with poor quality and then they dont refund the amount as well.
                Its a waste to trust Blinkit for their additional segments.</t>
  </si>
  <si>
    <t xml:space="preserve">It's a very useful and time saving app &amp; really helpful in
                case of emergency, I would really appreciate the way they work
                &amp; help us...I would highly recommend it for your daily use.
                Thanku for your time</t>
  </si>
  <si>
    <t xml:space="preserve">Super customer service and support. Competitive price, quality,
                prompt delivery. Keep it up. Thanks very for your support and
                cooperation. Best wishes to become number in the market.</t>
  </si>
  <si>
    <t xml:space="preserve">This is awesome feature and getting delivered easily that also
                that much quick for return pickup the product that veraa level
                within 4 mins I got return the product pickup also done. Really
                blinkit is awesome..</t>
  </si>
  <si>
    <t xml:space="preserve">It is the best and better than big basket and zepto as they
                doesn't provide some things which are available on blinkit But
                delivery charges are too high 30 to 40 plus handling charges 5
                to 10 and surge charge again 30 to 40 , so for 50 rupees product
                you have to pay more than 110 . I think that overall maximum
                delivery charges must be 20 to 30</t>
  </si>
  <si>
    <t xml:space="preserve">Order gets packed in 10 seconds. This is most senseless way of
                fooling people. After order is packed, you can't even cancel it.
                People do place order by mistake. You should give option to
                atleast cancel it in some time duration.</t>
  </si>
  <si>
    <t xml:space="preserve">Fraud alert, opens Google pay without placing order. In app a
                diwali laddoo ad appears then without clicking on anything a web
                browser opens up then gets redirected and opens up Google Pay.
                Very dangerous and unscrupulous, please close app immediately
                after use</t>
  </si>
  <si>
    <t xml:space="preserve">Few food items are still not available on Blink it and the price
                is little higher for few items. Hope they all will be revised
                once based on the actual price market. Loving it.</t>
  </si>
  <si>
    <t xml:space="preserve">Was good until the order arrived and the delivery boy was kinda
                rude saying he doesn't have changes and made me wait and arrange
                it myself but after taking the order when I saw it was wrong
                product so i ordered a return as they said as my refund a promo
                code will be given after 1-2 hours of pickup but but even after
                they picked up the product i never get my promo code making it
                look like just a scam and I'm really disappointed.</t>
  </si>
  <si>
    <t xml:space="preserve">A very easy and hassle free to approach to get essentials
                delivered at your doorstep within minutes . It's a perfect app
                for everyone.</t>
  </si>
  <si>
    <t xml:space="preserve">App is not flexible, order only if you are at home if you don't
                like the fruits they have long process of returning it like
                taking pictures n videos and you won't be able to attach it</t>
  </si>
  <si>
    <t xml:space="preserve">Third-class services! I suggest not using this application. My
                order has not been delivered for the past hour. ðŸ˜¡ðŸ¤¬ Do not
                trust this application!</t>
  </si>
  <si>
    <t xml:space="preserve">I have ordered 1800 â‚¹item but between, i have ordered one item
                by mistake. And I want to return it at the time of delivery..
                but Blink it customer support tell us that there is no policy to
                return any delivered item. And this is a very bad thing of
                Blinkit And for this reason i am going to uninstall/delete this
                application from my phone and also from my colleague..</t>
  </si>
  <si>
    <t xml:space="preserve">Just superb, never thought it was possible to get everything
                delivered within 10 minutes. And the range of products that you
                have is simply outstanding. Kudos to your entire team who work
                relentlessly. And also thank you for making our lives so easy.</t>
  </si>
  <si>
    <t xml:space="preserve">I am not very tech savvy. But I was able to install blinkit and
                order volini for my wife within about 1 minute. This is
                absolutely amazing experience. I have never seen anything so
                user friendly. And I have got the delivery in less than 5
                minutes. This is unbelievable..</t>
  </si>
  <si>
    <t xml:space="preserve">I ordered few items, delivery partner called before I can pick
                up the phone the call got disconnected. When I retrieve noone
                answered , they refunded the amount in coupon but deducted the
                delivery charges even though acknowledging delivery partners
                fault. Now to utilise the coupon I had to again order from
                blinkit , pathetic experience</t>
  </si>
  <si>
    <t xml:space="preserve">completely scammed by blinkt I have been using for a while
                recently I've ordered from blinkit there was an offer if I
                ordered for more then 999 I'll receive a gift, while ordering
                they divided my ordered into two parts and failed to apply the
                offer even though my total ordered amount was 1150 this is a
                complete scam</t>
  </si>
  <si>
    <t xml:space="preserve">Experience is good bt the option u have removed of cod is very
                bad decision it is causing problem plzz look after this n open
                the cod option for oll the items....and some times for non
                online users it's causing a problem the cod option is best for
                the old age people etc</t>
  </si>
  <si>
    <t xml:space="preserve">I ordered election item from blinkit when i was in my parking
                and by the time I reached home and wash my face the order is
                here already. Howwww This is soo amazing andd it is cheaper and
                easier then go and buy the item If i had to go and buy that item
                it will cost me petrol and atleast 30 t0 40 minutes. Had a great
                job keep it up Blinkit</t>
  </si>
  <si>
    <t xml:space="preserve">I need to add on my item it could not be happened very bad
                experience It also not given the option of cancellation or a
                relocation by mistake we are booked but we want to cancel the
                order but it not giving or is showing the option very very poor
                service ðŸ¤¬</t>
  </si>
  <si>
    <t xml:space="preserve">Finally will be leaving blinkit for good. Fortunately there are
                other alternative available and not stuck with blinkit. Thumb
                ups for their fast delivery but experience the worst customer
                service ever. Would have not given even a one star if possible.</t>
  </si>
  <si>
    <t xml:space="preserve">They have got really bad wallet system. I had a cart of rs1000
                and 2 vouchers of rs500. Ideally, they should accept both the
                voucher, bring down the payable amount to 0, like it happens in
                Zomato app. Here it is only accepting 1 voucher at a time. Hence
                1 voucher got wasted.</t>
  </si>
  <si>
    <t xml:space="preserve">Awesome exp. We have tried multiple items, multiple no. of
                times, even at odd hours. We have always got on time quickest
                delivery and always with a smiling face. We are blinkit fans.</t>
  </si>
  <si>
    <t xml:space="preserve">It is a nice shopping app where we can order effortlessly. The
                delivery comes in 12-13 minutes. The rates are also good. I
                loved the experience</t>
  </si>
  <si>
    <t xml:space="preserve">Smooth operations of getting things we need last minute like
                diapers, wipes, milk and other things if unexpected guests show
                up. However, while trying to print documents and have them
                delivered from my laptop, this could not happen. I tried three
                different browsers then was finally able to make things work
                from my smart phone. So... best operations on the smart phone.
                Don't even waste your time trying to make it happen from your
                laptop. Still a great app and we have always had a good
                experience</t>
  </si>
  <si>
    <t xml:space="preserve">It's very good to have food delivered under 10 minutes just the
                chargers are a little to high. But I think it works out since it
                delivers in under 10 minutes.</t>
  </si>
  <si>
    <t xml:space="preserve">Hii there , This is the most amazing app I have ever used in my
                life.. The delivery services is soo good we don't have to step
                out of our house to buy the groceries and all stuff</t>
  </si>
  <si>
    <t xml:space="preserve">I've been using BlinkIt for a few weeks now, and I'm absolutely
                impressed! The app is user-friendly, and the delivery options
                are vast. I've ordered electronics, groceries, and even
                household essentials, and everything has arrived promptly and in
                perfect condition. The app's interface is clean and easy to
                navigate, making it simple to find what I need and track my
                orders. The customer support team is also super responsive and
                helpful.</t>
  </si>
  <si>
    <t xml:space="preserve">Best food delivery app on the market, have had no issues
                whatsoever with them. The only suggestion would be to introduce
                a membership system similar to Swiggy One so we don't have to
                pay a 16 rupee delivery plus 5 rupee handling charge everytime.
                Otherwise no more suggestions for improvement</t>
  </si>
  <si>
    <t xml:space="preserve">I've been using Blinklt for a few weeks now, and I'm absolutely
                impressed! The app is user-friendly, and the delivery options
                are vast. I've ordered electronics, groceries, and even
                household essentials, and everything has arrived promptly and in
                perfect condition. The app's interface is clean and easy to
                navigate, making it simple to find what I need and track my
                orders. The customer support team is also super responsive and
                helpful.</t>
  </si>
  <si>
    <t xml:space="preserve">I ordered some items one day, it was on cash on delivery first I
                paid him with my UPI by scanning the qr code, but he said I
                didn't recieved, the delivery partner said I will talk to
                customer care, then I got a call from customer care, they said I
                know payment was done from your side but he didn't recieved, so
                do the payment again, you will get the money back ' I guarantee
                ', i thought ok, I did the payment again, it's been 2 days and
                didn't recieved the money yet. Theydon't havecustomercare no.</t>
  </si>
  <si>
    <t xml:space="preserve">Like other companies Blinkit has also started misleading Ads.
                Free movie voucher for Pushpa 2 has many hidden things. You will
                be required to download an App to use the vouchers. Further
                discount upto certain amount is there. Nothing is free. It's a
                fraud.</t>
  </si>
  <si>
    <t xml:space="preserve">Please don't believe fake reviews. This is most worst app they
                don't deliver anything within time and specially when you order
                any food items please conseus with expired date they will give
                items that are going to expire in couple of days. Orders cancel
                with out any intimation and they refund immediately.</t>
  </si>
  <si>
    <t xml:space="preserve">Although itâ€™s a good platform for ordering daily essentials, it
                engages in deceptive marketing for some products. For example,
                it advertises "Pansari Tilsari edible oil" as pure sesame oil,
                but the product actually contains 80% soybean oil. Despite
                filing a complaint, they remain unresponsive, and the product
                continues to be marketed as pure sesame oil.</t>
  </si>
  <si>
    <t xml:space="preserve">I've used this app before and it was really good and I started
                using this app again and it has became the worst app, the
                costumer service is the worst they won't pick your call they
                won't respond to your complaint etc and plus if they give you
                promo code it would be expired, #don't use blinkit</t>
  </si>
  <si>
    <t xml:space="preserve">This app is good but whenever I have ordered any juice it came
                in normal room temperature whereas we all want that our cold
                drink comes cold I have complaint many times to the delivery
                partner but they always say that the store gives this what can
                they do..... please better ur service</t>
  </si>
  <si>
    <t xml:space="preserve">Great deliveries but vegetables are not so attractive in prices,
                varieties and freshness.gear up for that. Similarly poultry fish
                etc. You also need to venture into basic garments and other
                nececities. May be stationary, books at later date.</t>
  </si>
  <si>
    <t xml:space="preserve">Very useful app .. super fast delivery... reasonable price.. and
                more options are available</t>
  </si>
  <si>
    <t xml:space="preserve">One of the worst service I have seen. They don't care about
                customer, all things are automated. Pathetic customer service.
                Again reply to this review is automated. I have shared the
                details of my concern on given email id an form. Still no reply.</t>
  </si>
  <si>
    <t xml:space="preserve">Very bad experience with blinkit products, they are delevering
                used product as no seal package there and some products are very
                old and damaged. Recently I order vanish liquid which seal is
                broken and bottle half empty. I can't replace it because the
                customer service also not good.</t>
  </si>
  <si>
    <t xml:space="preserve">They gave defective product . Inspite of sending the image and
                vedio still no help from the support team . I didn't even
                received a call . The product was around 900 rs. Now I'm stuck
                with this broken product, woth no replacement and no help.</t>
  </si>
  <si>
    <t xml:space="preserve">Very efficient and kind delivery staff. Can't believe that they
                delivered items within 10 minutes even at 7.20 am in the
                morning. Excellent service.</t>
  </si>
  <si>
    <t xml:space="preserve">Not very good at declining orders, also keeps previously
                uncompleted orders in memory leading to unnecesaary ordering. I
                have had poor experience, so uninstalling the service and
                switching to better services.</t>
  </si>
  <si>
    <t xml:space="preserve">Life made easy with Blinkit! The app has been a game-changer for
                quick food and grocery deliveries. Super impressed with the
                lightning-fast speed and competitive pricing. Convenience at its
                best!</t>
  </si>
  <si>
    <t xml:space="preserve">Mistakenly ordered a wrong product and requested for replacement
                of the product but replacement was not done. Pathetic app u
                don't have option to return and exchange. Moreover no one is
                there to listen to your concern. Better not to order from
                Blinkit.</t>
  </si>
  <si>
    <t xml:space="preserve">Cheated on weight....charged for full quantity and delivered
                half quantity....shared video. Was told replacement in 10
                mints.... showing 22 mints and it is already 12:23
                midnight....will have to stay awake for replacement. Terrible
                experience !!! Not one but two items were underweight...seems
                like customers are being taken for a ride</t>
  </si>
  <si>
    <t xml:space="preserve">I have ordered the items the payment is successful but it was
                not shown in the application. Yesterday The product was damaged
                and I need to order it again for the same. Need to be worked on
                more regarding this.</t>
  </si>
  <si>
    <t xml:space="preserve">It's a nice app and I'm very much satisfied with its quick and
                quality service...yet now i didn't have any issues with their
                service.ðŸ‘</t>
  </si>
  <si>
    <t xml:space="preserve">Very intuitive and well designed user experience for the users.
                All items that we need are quickly locatable and the check out
                process is so smooth. Thisbis my favorite quick commerce app.</t>
  </si>
  <si>
    <t xml:space="preserve">It is ok ok ... But the problem if you have click on place your
                order by mistake just after 10 second customer care will reply
                sorry your order has been picked now what you say about this app
                .. by the way this best for emergency.. that's why I give 2 star
                - - _</t>
  </si>
  <si>
    <t xml:space="preserve">Their delivery is getting poor day by day...first of all too
                high prices of the products like almost twice the charge of
                product is taken by including random charges... second thing is
                orders not getting delivered!! Had to request for a reorder</t>
  </si>
  <si>
    <t xml:space="preserve">Paymets are always deducted and order never gets accepted, the
                reverse transfer always take a lot of time . Twice it's happened
                to me , bad experience</t>
  </si>
  <si>
    <t xml:space="preserve">The delivery partners are very sweet. The delivery comes very
                fast compared to other online grocery shopping apps.I just love
                blinkit and I could rate it 5 star but some times the order's
                price gets more than 2000 so they don't take cash/pay on
                delivery.</t>
  </si>
  <si>
    <t xml:space="preserve">They send dairy items which has very close expiry dates and also
                most of milk bags are curdled.... Ofcourse they'll return your
                money... But the things are not there in use while we actually
                need it... Customer care support is good and understanding
                though....ðŸ˜”ðŸ˜”ðŸ˜”</t>
  </si>
  <si>
    <t xml:space="preserve">There is no option to cancel the order once placed to an
                incorrect address and once you add a correct one it will be too
                late hahaha it's like a timeout game. Ultimately I i called and
                requested that guy to cancel the order and put my name to cancel
                the order. I request please update the app and place new options
                so that people can't be irritate. Thanks</t>
  </si>
  <si>
    <t xml:space="preserve">Worst app ever found in play store. Transaction is done but
                product is not placed order. And customer service is also not
                gud. Doesn't show any refund status on my first order which is
                not placed and in second order which is not placed refund period
                is also to long it is approx 10days .</t>
  </si>
  <si>
    <t xml:space="preserve">Worst customer support from info@blinkit. Looks like I'm getting
                automated replies instead of getting reply from actual support
                person. I even requested for escalation mail they're not
                providing. My grievance not resolved and worst customer support
                I've ever faced</t>
  </si>
  <si>
    <t xml:space="preserve">It does not show bill before placing orders. There should be
                option to see before payment so that one can view if any extra
                charges are invoiced like surge charge, delivery charge. App is
                not transparent with respect to billing</t>
  </si>
  <si>
    <t xml:space="preserve">Used the app since grofers but uninstalling the app because of
                pathetic customer service experience, they just don't want to
                resolve the issue and they don't apologize/ gives incentives for
                bad customer's experience and the false free item trap during
                Diwali. Item was showing at the adding item on cart but after
                adding sufficient items on cart i just didn't get the item as it
                was limited period item then then why it was showing till
                payment, false practices. Going with Amazon fresh or zepto.</t>
  </si>
  <si>
    <t xml:space="preserve">Wort app ever never gonna use ot they did not pay me bak tha
                amount till now which is one month about to which was debited
                but order did not placed.. they pretend to assist you and help
                you but eventually they are malfisit. Rubbish and and a grate
                way to loot . Take one one penny from everyone and then not
                return it to anyone nice... brilliantly design.</t>
  </si>
  <si>
    <t xml:space="preserve">They have really good service. But they should provide free
                delivery options and and some vouchers time to time to customers
                so that the convenience would be appreciated more.</t>
  </si>
  <si>
    <t xml:space="preserve">I am impressed with this app for quick grocery delivery. Just
                want to add a suggestion, that if any product is not available
                that we want then there should a suggestion tab where we can add
                a product name that we want and you can include that product too
                in the list..</t>
  </si>
  <si>
    <t xml:space="preserve">I ordered an item and received which was not according to the
                description then they replaced it by another product which was
                defective......And even no return facility neither good
                technical support....Too many problems are there in this app.</t>
  </si>
  <si>
    <t xml:space="preserve">Very smooth and customisable app. The ui interface is just
                wonderful..and it's very easy for the customer to place orders.
                10 on 10.</t>
  </si>
  <si>
    <t xml:space="preserve">Amazing! Delivery comes I 5-6 minutes maximum. Sometimes when my
                kids are late for school and have last minute wish for something
                it comes very fast and delivers everything accurately. Truly an
                amazing app!</t>
  </si>
  <si>
    <t xml:space="preserve">I ordered a portronics hand fan on sunday... Which i did not use
                on sunday..when i carried it to work on monday..the speed on 3
                the fan goes off and restarts and takes a 360 degree turn...when
                i tried to chat to get it returned it said out of return time..
                When i was ordering it it says 7 days return available for which
                i have a screen shot...this was my first order with blinkit and
                definitely my last...bad service..... Please dont order ever
                again...guys dont use blinkit</t>
  </si>
  <si>
    <t xml:space="preserve">Can you please provide membership also, it's disappointing to
                order products worth more then 500 and still having a delivery
                charge. Other then that, I love blinkit for its good quality and
                express delivery.</t>
  </si>
  <si>
    <t xml:space="preserve">Every time you app showing wrong location if the supply for ur
                choolimedu delivery location. If it is fm mogappar location it
                is coming correctly. You can also see pastv3 to 4 times u hv
                cancelled and refund the amount. To day also the same thing pl
                check and correct ur app</t>
  </si>
  <si>
    <t xml:space="preserve">Worst application. Very bad experience. And there is no service
                available in my location. Zepto is more servicable and more
                efficient. I will suggest never use this application. No worth
                to use.</t>
  </si>
  <si>
    <t xml:space="preserve">No complaints at all. Good app. Good customer service. Although,
                you put a premium on delivery. By contrast Swiggy's delivery fee
                and minimum order value are reasonable.</t>
  </si>
  <si>
    <t xml:space="preserve">I am regular customer of blinkit ,but blinkit have to improve
                thier service.while i order so many things,they always missed
                product or says product out of stock while delivery and also
                surge charge annoys me a lot,for which reason you applied surge
                charge?!!!! You guys only one thing to do,which is delivery and
                you applied surge charge on them.no any application have surge
                charge like blinkit.that's why i have to give negative review.</t>
  </si>
  <si>
    <t xml:space="preserve">I have placed 7 items and with payment and have received only 6
                items I dint find blinkit service professional because they
                don't have any option for customer to complain about there
                problems they are asking me to mail now they don't have any
                support system where customer can tell there problem to company</t>
  </si>
  <si>
    <t xml:space="preserve">Quality of inventory and any form of quality check has reached
                subterranean levels. Have gotten rotten and expired deliveries
                almost 40% of all recent orders. And customer service is both
                clueless and completely uninterested in helping. Uninstalling .</t>
  </si>
  <si>
    <t xml:space="preserve">I don't understand, for first day when i ordered, was able to
                get delivery but since after that app shows me temporary
                unavailable. I have updated my app but still the issue remains
                same.</t>
  </si>
  <si>
    <t xml:space="preserve">The app is very good, first time delivery is done for 100 rupees
                only, then again 2nd time 200rp, then 300rp, I did not like this
                thing, just if I have a order my need of 100 rupees then I will
                have to charge given the blinkit ... The bus gets delivered very
                quickly, I was very happy to see this, thank you blinkit</t>
  </si>
  <si>
    <t xml:space="preserve">Excellent service except for 1 or 2 facts. Blinkit delivery boys
                require exact change every time and there is no mechanism for
                reporting and returning broken/ used items sold by Blinkit.</t>
  </si>
  <si>
    <t xml:space="preserve">Wrost customer service. I ordered boat immortal 170 on 5
                November but the product was defective as one side earbud is
                working nor connecting with device, than I mail them today is 11
                November but even they haven't confirmed my replacement nor
                return even they are not replying my mails besides a auto
                response mail . I have registered s complian again blinkit in
                consumer court. Let's see what happens</t>
  </si>
  <si>
    <t xml:space="preserve">Despite Asking to keep the delivery at the door. Despite
                Requesting multiple times . Putting it in the APP. Despite
                Sending mails - ZERO SUPPORT on this part that their delivery
                people will still Ring the bell , Call multiple times and will
                never keep at the door.</t>
  </si>
  <si>
    <t xml:space="preserve">This app is very useful , I was out of Delhi I was in uttar
                pradesh and still I can order some printouts in few seconds .
                Only printouts take some time to arrive at home, but all other
                stuff I have ordered from this app arrives at home in under 20
                mins</t>
  </si>
  <si>
    <t xml:space="preserve">Delivery of Good quality products is assured except for
                vegetables. To my disappointment, since the last few orders, the
                vegetables delivered were not at all fresh</t>
  </si>
  <si>
    <t xml:space="preserve">Had a horrible delivery experience! I waited for 2 hours for the
                delivery. All this while the app kept showing me 13 mins and
                later it was cancelled by the store. Got no help at all from
                customer care</t>
  </si>
  <si>
    <t xml:space="preserve">I'm loving this app.. when ever I have ordered I got fresh items
                be it vegetables or fruits or any item it is fresh.. Even the
                packed items came with recent manufacturing date.. One of the
                best apps keep the good work going Blinkit..</t>
  </si>
  <si>
    <t xml:space="preserve">third class service...at first they accept order and payment
                after that they say delivery partner is unavailable right
                now...we are cancelling your order and u will be refunded in 3-5
                days.....what's scam is this.. if u don't have any delivery
                partner then y u guys are accepting payment and order....zepto
                is much better than this fraud app....it happened 3-4
                times...SCAMMERS.</t>
  </si>
  <si>
    <t xml:space="preserve">I love everything about this app the only problem is that you
                have to pay a high amount of delivery charges for orders below
                199/- like I don't know if it is only on my account that the
                prices are high as 100 rupees for delivery charges.</t>
  </si>
  <si>
    <t xml:space="preserve">I started using this service for past 15 days. Earlier, we were
                using another online portal for daily needs but that was
                delivering only once in 24 hours. BLINKIT has made it possible
                to get items as and when you require. Very good service.</t>
  </si>
  <si>
    <t xml:space="preserve">Pathetic service. No resolution to complaint. Arrogant service
                executives. I ordered 2 vegetables but only 1 item got delivered
                and they are saying that second item was not at all ordered. Too
                many hidden charges which they don't disclose when you order
                lesser items. Worst service.</t>
  </si>
  <si>
    <t xml:space="preserve">Don't fall for the festive offers trap. Even after adding the
                free item in your cart. They will not deliver it and then put
                the onus on you that you didn't add in your cart. And then give
                an apology and take your feedback. Silly app</t>
  </si>
  <si>
    <t xml:space="preserve">Great app, revolutionizing shopping in India, even in tier 2 and
                tier 3 cities. It is really convenience delivered at doorstep.
                Really like these kind of startups, businesses that make an
                impact at every level.</t>
  </si>
  <si>
    <t xml:space="preserve">Excellent service . Was always looking for a service like this.
                Good Job to Blinkit Management and Team. Keep up the good work.
                Would really like to see more and more items getting added to
                the shopping list. Like to see Blinkit cover all products and
                categories.</t>
  </si>
  <si>
    <t xml:space="preserve">Very good app but only one flaw the delivery charge is 30 rs
                even for a small item like matchstick.I just think that they
                should lower the delivery charge if you just want to buy
                something small..</t>
  </si>
  <si>
    <t xml:space="preserve">I have an incredible experience with Blinkit. EAch and every
                delivery agents are super polite and nice. And as a last minute
                app I prefer Blinkit only.</t>
  </si>
  <si>
    <t xml:space="preserve">Incredible UI! All our daily needs are easily accessible with
                just one click in just 10 minutes. Brilliant work!</t>
  </si>
  <si>
    <t xml:space="preserve">Blinkit my favourite Superb Grocery Siteâ¤ï¸ You can order
                anything here, makeðŸ’„up Herbal products and much more just keep
                the clothes aside. and Delevery Bhaiya delivers the goods at
                home very well Superb Excellent work âœ… And the order arrives in
                8 minutes, if it is late then it should not take more than 10
                minutes I'm so happy Thank you blinkit ðŸ¥° Good Service Blink kit
                ðŸ«¶ðŸ»</t>
  </si>
  <si>
    <t xml:space="preserve">Blinkit does not seem to have strong quality protocols. If you
                order any fruit or vegetable, their will be damaged pieces with
                the order. If the product ordered is not available with them,
                they will send substitutes. Example, I ordered Sun Gold Zephyr
                Kiwi and they delivered Green Kiwi. This is not an isolated
                incident. It has happened many a times in the past and I had to
                contact their support team. They are supposed to make one's life
                easy but you end up wasting time and getting frustrated.</t>
  </si>
  <si>
    <t xml:space="preserve">Amazing app! Love the user-friendly interfere and features.....
                This app has saved me so much time and effort... It's just rly
                nice with no glitches and bugs</t>
  </si>
  <si>
    <t xml:space="preserve">I ordered via this app for first time. I ordered a pan which
                came extremely small. I am requesting customer service to
                replace it and I will bear logistics cost, but Menka denied.
                Very terrible experience. My entire money is lost.</t>
  </si>
  <si>
    <t xml:space="preserve">You should consider the delivery charges less.. above 300 rupees
                purchase is more costly to use this app is very difficult ,
                kindly minimise the purchase rate for free delivery. Otherwise
                it's all good. Thank you</t>
  </si>
  <si>
    <t xml:space="preserve">Unbelievable to get an Order delivered in just less than 10
                minutes! In future, I would be happy to place some more orders
                on blinkit. I would also ask my friends and relatives to try
                placing orders on Blinkit and experience it. Quality of the
                product should not be disappointed and if it happens, exchange
                of the product should be allowed or money should be refunded
                back in the same manner as it was received while placing the
                order. I am thankful to Blinkit for sharing my first experience.</t>
  </si>
  <si>
    <t xml:space="preserve">Nice, delivering fast without breaking anything, lol, keep it
                up. I hope you guys are taking care of delivery person safty as
                well. =)</t>
  </si>
  <si>
    <t xml:space="preserve">I want to delete our account data(my mobile number) but your app
                when open it then demand for "my house location" when grant
                permission, then show me that location have no service for
                blinkit , but doesn't open app. And by your service linked with
                my whatsapp number.</t>
  </si>
  <si>
    <t xml:space="preserve">World worst service ever I got from the blinkit. It's not the
                first time. I face such an issue a second time. First, the
                cancel order is not working at ALL. THIS THE WAY YOU'RE DOING
                BUSINESS? BY MISTAKE I ORDER THE ALL OUT AT DIFFERENT ADDRESS.
                AND AT THE SAME TIME I TRY TO CANCELL THE ORDER. THIS WORST APP
                CANCEL ORDER IS NOT WORKING ALWAYS. DONT EVER USE THIS WORST
                APP.</t>
  </si>
  <si>
    <t xml:space="preserve">Till now got genuine ordered product and in time, appreciate for
                that. However, reducing ratings as on many occasions when we
                ordered anything the actual product are come in dirty manner or
                having dust on it, which should be addressed to maintain hygiene
                along with fast delivery.</t>
  </si>
  <si>
    <t xml:space="preserve">Followiing dark pattern of showing a free item while placing the
                order, but after payment its not in the cart. On raising the
                issue, they cite technicalities like customer need to add free
                item to cart. Great defence.If it was not in my cart how will i
                know there was a free item while placing the order. Iogged out.</t>
  </si>
  <si>
    <t xml:space="preserve">I have ordered a speaker and also received it but the speaker
                have poor sound quality and also it's fm mode is not working so
                i gone for support option there they are asking me for video of
                product but on upload the video it just continuosly keep failed
                failed and failed i have tried to upload the video atleast 5
                time and each time restarting the chat and also you do not get
                any other option to convery the message to blinkit so i am stuck
                now</t>
  </si>
  <si>
    <t xml:space="preserve">Very very easy app. Delivery was done with in minutes
                ....delivery person is always co operative and soft
                spoken....veggies and milk and other items are always fresh
                ....great app</t>
  </si>
  <si>
    <t xml:space="preserve">The best fast delivery app!!! Food is a different aspect but
                other things like a switch board helps alottt during troubles or
                emergencies! Overall excellent!!</t>
  </si>
  <si>
    <t xml:space="preserve">App is good as one stop solution for emergency but should
                improve the quality of food ... vegetables fruits all come with
                bad condition...if customer is ordering in emergency then you
                should not take advantage of it..price is 3 times to the normal
                market still we get bad vegetables and fruits</t>
  </si>
  <si>
    <t xml:space="preserve">This app is one of the fraud app I have ordered a lip blam they
                sent the parcel as it says blink it speed only but that parcel
                doesn't have the product the delivery guy was so fraud he only
                stole that and the given delivery and went off even after
                calling him I have called many times to customer care no use and
                no response worst experience and fake application don't book
                anything from this application and delivery agents are big
                Thieves</t>
  </si>
  <si>
    <t xml:space="preserve">I loved as it is very fast and everything is here but the
                delivery charges are much if you buy any thing for 50 you have
                to pay 104 or more because of delivery charges,small charges,and
                handling charges..ðŸ™ƒi understand it is for smooth and reliable
                sevice for us but your app is made for fast and smooth delivery
                so whyy this much bcz if kids want to buy something it will make
                them sad it will be ok if the charges will be 10rs or 20rs...</t>
  </si>
  <si>
    <t xml:space="preserve">Hii,this app is pretty helpful but it also has some issues.They
                should also give an option to add other needed things when order
                is getting packed,it would be more helpful. Thank you.</t>
  </si>
  <si>
    <t xml:space="preserve">Whenever I try to order it shows unavailable due to high demand
                ! Like if you want to make it like that then whts the point to
                make this app</t>
  </si>
  <si>
    <t xml:space="preserve">Blinkit said 10 min delivery but everytime whenever i want
                something it takes more than 15 min and most of the time it
                takes 20-25 min ..... Lier Blinkit.</t>
  </si>
  <si>
    <t xml:space="preserve">Was a little skeptical of ordering from it as though that might
                get expired products but got genuine fresh products and that too
                in less than 20 minutes. Will use it regularly now. Thank you
                Blinkit.</t>
  </si>
  <si>
    <t xml:space="preserve">No complaints so far, products are in good shape, handled well
                and quick. Only made purchases of packaged goods though.</t>
  </si>
  <si>
    <t xml:space="preserve">I had ordered for the 1st time and I had received the expired
                products. I had complained them. And they send again the expired
                products.ðŸ˜¡ I think they not checking the products which they
                sending to the customers.</t>
  </si>
  <si>
    <t xml:space="preserve">Very much satisfied with delivery experience but I have noticed
                expired products are delivered twice . I hope it won't repeat
                again they will take care of it and they should give return
                policy too if items are not good. Apart from that app is very
                good</t>
  </si>
  <si>
    <t xml:space="preserve">Very quick and efficient. Saves a lot of time. Big Thank you to
                Blinkit who manages everything so nicely and Big Thank you to
                all the delivery guys who work tirelessly. Appreciate their
                efforts.</t>
  </si>
  <si>
    <t xml:space="preserve">Good app But it has happened with me twice that transaction has
                made and it shows failed. Customer care say that refund would be
                made in next working week but didn't get any Even wrote mail but
                still no action. Customer support doesn't exist on this app</t>
  </si>
  <si>
    <t xml:space="preserve">Worse , why even give free 50 off when it's not even applicable.
                Also charging handling fees on top . Very bad not user friendly
                and worst services in the app segment.</t>
  </si>
  <si>
    <t xml:space="preserve">Terrible support and quality control. I ordered milk from
                Blinkit multiple times, and almost every time it was spoiled.
                When I tried using chat support, it was unavailable, showing a
                message about high demand. This issue lasted for days. I then
                emailed support, but they asked for photos of the bad milk
                pouches which I did provide. After several frustrating emails, I
                decided to give up and move on, losing my money in the process.
                Iâ€™ve uninstalled the app. Zepto offers much better</t>
  </si>
  <si>
    <t xml:space="preserve">I ordered one peanut butter, but i return due to bad quality.
                But amt was 399 and they refund 368 and not just that they
                initiated a coupan which i can use only blinkit and not refund
                my payment to original payment method ðŸ˜¡ðŸ˜¡ And i try to contact
                him via email, via inbuid help and support but it's not
                possible. I am very frustrated to use blinkit. Now i never use
                blinkit ðŸ˜¡ðŸ˜¡. Don't use this. They are fraudsters ðŸ˜¡</t>
  </si>
  <si>
    <t xml:space="preserve">I am having horrible experience. In one order the amount was not
                credited backe per message. In another order now out of three
                pieces i received only one</t>
  </si>
  <si>
    <t xml:space="preserve">Very bad experience with the app as my order of noise vs 104
                buds had only the charging case and there's no earbuds inside.
                But there is no customer support in the app...every time i try
                to connect they say its hampered and tried mailing them but they
                give no solution at all and say the item was delivered
                correctly...just wasted 1300 on this waste app and received only
                missing product which is of no use...</t>
  </si>
  <si>
    <t xml:space="preserve">I am very disappointed about the discount of every product and
                Blinkit has the policy to give customers free delivery on the
                orders above 99rs. But after I ordered for the first time this
                benefit should not be applicable anymore, I don't know why..</t>
  </si>
  <si>
    <t xml:space="preserve">App doesn't support return policy, better use some other app
                where the support it like Instamart or others. Customer support
                is bigger fraud then delivery agent, wrong product delivered but
                because the product cost was more then 2000 so they said higher
                authority will take action and will call, but no call received
                and when called again to customer support told, they will take
                more time but still no call came and later the items complaint
                time was over they closed my issue without my consent.</t>
  </si>
  <si>
    <t xml:space="preserve">Such a worst app. I have placed order for my monthly groceries
                but I haven't received 1 item in the list but I have paid money
                for all the items. But they're invoiced for different value.
                After items got delivered I have checked all the items and paid
                money and raised concern to blinkit customer support email id
                because that item value is approx 850 rs. But there is no
                response from them.</t>
  </si>
  <si>
    <t xml:space="preserve">Everything was going well with blinkit. But suddenly for the
                past 2 months the rates have spared up for vegetables.</t>
  </si>
  <si>
    <t xml:space="preserve">Uninstalling app. Worthless app. After order, get call, riders
                not available and cancells order. It happened 4 times.</t>
  </si>
  <si>
    <t xml:space="preserve">very bad when it comes to electronic products.. it was a fraud
                when i purchased a soundbar from blinkit, some parts of the
                product were missing , the box was not sealed when i received
                and the product was also not in working condition... it was a
                complete fraud and a failure. i could have ordered it from
                swiggy instamart, but i relied on blinkit and it was a total
                blunder.</t>
  </si>
  <si>
    <t xml:space="preserve">I just received my order so quickly, it was almost instant! The
                service was above my expectations, and the whole experience was
                seamless. If Blinkit could add reasonable order charges to daily
                products that currently show a higher price, Iâ€™m sure more
                people would opt for regular products and use it even more
                often. It would make shopping here a no-brainer!</t>
  </si>
  <si>
    <t xml:space="preserve">Giving this 2 star .Delivery is fast but there is always a
                problem regarding changes. It is not possible for one to keep
                the whole change while ordering. The delivery agents never comes
                even with 5/2 rupee changes. Then what's the point to have Cash
                On Delivery option. It is a headache to order from this app who
                are not comfortable to use online payment options.</t>
  </si>
  <si>
    <t xml:space="preserve">Yes your delivery is fast. But your app have price discrepancy
                issue every time. And to raise the issue you don't have any
                proper support. You only have bot system, where customers stuck
                and unable to highlight the issue. As you are a Zomato company
                now do update yourself to Zomato company standard. And fix the
                issue.</t>
  </si>
  <si>
    <t xml:space="preserve">Very poor service of Blinkit. Once you place order, you can't
                return any item if it is not delivered as per your expectation.
                Moreover, the customer support is really irritating, not at all
                helpful. It's better to buy from local store as in case you want
                to return unexpected product, they easily do it without asking
                any questions. Blinkit customer support will irritate you
                extremely and won't help with return.</t>
  </si>
  <si>
    <t xml:space="preserve">Blinkit is an excellent app for quick and convenient grocery
                delivery. The user interface is intuitive and easy to navigate,
                making it simple to find what you need. The delivery service is
                impressively fast, often delivering within minutes, which is
                perfect for last-minute grocery needs. The app offers a wide
                range of products, from fresh fruits and vegetables to household
                essentials, and the quality of the items has always been
                reliable. Blinkit has made daily shopping hassle-free and
                efficient</t>
  </si>
  <si>
    <t xml:space="preserve">Fake advertising on Social Media. Came across an ad that
                mentioned Hotwheels is now available in Blinkit, downloaded the
                app right away, only to be disappointed as there wasn't any type
                of hotwheels available through the app. If it's region specific
                or time specific, mention that in your adverts properly.</t>
  </si>
  <si>
    <t xml:space="preserve">Must have app in your mobile. I needed some health care products
                for my parents urgently. Amazon and Flipkart would take 3-4
                days. But here you go..Blinkit saved the day for me with 10 mins
                delivery of the products. Pricing is compititive as well. Thank
                you Blinkit.</t>
  </si>
  <si>
    <t xml:space="preserve">The service they offer is vast in variety, though for some
                products, you may need to use bigger shopping sites. Overall,
                the products they offer are good. Once, my order was canceled
                due to an operational issue, but their customer support was
                good. They provided chat support and even called me. The
                customer service executive spoke politely and was understanding
                of the customer. I received my refund within 72 hours, though
                they could improve on this aspect (refund process).</t>
  </si>
  <si>
    <t xml:space="preserve">"Blinkit has revolutionized my grocery shopping experience! With
                their lightning-fast delivery (literally 10 minutes!), I can get
                my daily essentials without stepping out. The app is
                user-friendly, and their product range is impressive. - Fast
                delivery - Wide product range - Competitive pricing - Convenient
                payment options - Excellent customer support</t>
  </si>
  <si>
    <t xml:space="preserve">I love to use the app it help me multiple times when I am busy
                and need usefull items instantly.But I don't understand the
                concept of high surge charges nowadays all the times. It will
                definitely not benifit customers...Its like fooling your
                customers showing discount on items and than apply high surge
                charges. If possible reply on this issue.</t>
  </si>
  <si>
    <t xml:space="preserve">Don't buy electronic item in this app , they replace only once
                and that part also chances are there to be defective , in my
                first order I got worst experience, less price and quality both
                are less , zepto is far better than this , timing is toomuch im
                not complaint about delivery person , the way they pack and
                transfer , un installing this app</t>
  </si>
  <si>
    <t xml:space="preserve">I'm very much impressed!! I'm not someone who usually writes a
                review but I felt this application needs some appreciation. The
                delivery agent is so polite and got the products on time. I
                never ordered in blink it so far and this is my first time.. i
                usually order in other popular applications and always faced
                quality issues however with blink it everything was so fresh and
                upto the mark. Will recommend this to everyone!!</t>
  </si>
  <si>
    <t xml:space="preserve">What I liked is..I found some kitchen utility items here which I
                didn't find in any other instant delivery apps and also love the
                print facility-that's a big blessing! Also, I just realised that
                things like banana leaf and betel leaf are also available which
                is also never available on other apps and hard to find even
                outside... I am impressed and wondering why I didn't start using
                it earlier. However I wish even micro greens were available,
                especially small methi, as it's again hard to find.</t>
  </si>
  <si>
    <t xml:space="preserve">Worst app, if they don't have any item, they still display it on
                there app and then they give you any other item at there own
                wish and don't even refund the money. They will simply provide
                you with a coupon which will be of no use as to use that coupon
                they would take extra money as delivery, handling and surge
                charge, An amount greater than the coupon!!</t>
  </si>
  <si>
    <t xml:space="preserve">"Blinkit has consistently impressed me with its fast and
                reliable delivery service. The app is user-friendly, making it
                easy to browse a wide range of products. Their customer support
                is responsive, and I appreciate the seamless experience from
                placing an order to receiving it. Blinkit has made daily
                shopping convenient and hassle-free. Highly recommend!"</t>
  </si>
  <si>
    <t xml:space="preserve">At first I was really impressed by the services of Blinkit it's
                just that some of the things constantly remain out of stock and
                are available in a very limited quantity but here's where the
                main problem lies, with the increase in number of orders the
                delivery charge keeps going up. On my first few orders the
                delivery was free then from 10 to 20 rs delivery charge I now
                have to Pay 50 plus Bucks for Meer items. This is completely
                devastating, I'm highly disappointed with this kind of theft.</t>
  </si>
  <si>
    <t xml:space="preserve">I got notification that blink it is active in my city. Been
                trying to get customer support as my location is getting
                unserviceable but manual location is working. But customer
                support closes the request. Cash on delivery not working as
                well.The first time experience with zepto was better.</t>
  </si>
  <si>
    <t xml:space="preserve">This new ad experience is horrible. Even when my phone is on
                silent mode, the ad starts loudly. Understand that you want to
                monetize, but ad has to start quietly. Just imagine you are in a
                meeting or sleeping next to your baby kid. you have placed an
                order and click to view the status..and this ad bursts out!</t>
  </si>
  <si>
    <t xml:space="preserve">Really Really poor app. I had paid â‚¹545 for my groceries but the
                payment wasn't shwoing in the delivery partner's side and I had
                to pay him again to conplete transaction and TILL NOW MY MONEY
                HASN'T BEEN RETURNED. I put an email, provided everything but MY
                MONEY IS STUCK and they just keep telling me that a refund will
                be done WHEN IT IS NOT HAPPENING. It's been more than a week and
                a half now. Very very poor app.</t>
  </si>
  <si>
    <t xml:space="preserve">I have been using it for almost 2 months, and it is really a
                last minute app. Almost every needed things are here, so getting
                the required thing within minutes such a impressive thing. Only
                one thing that the delivery charges are quite high, if I am
                ordering 1 or 2 thing, then delivery charges are pretty much.
                Kindly look into this. 5 star from me!!</t>
  </si>
  <si>
    <t xml:space="preserve">I have ordered items worth 916 rs on 25th December but I didn't
                receive free cake when I asked coustomer care they told I need
                to add that free item mannualy on my list like who the hell
                doesn't want a free cake why can't it be added automatically??
                Why do these kind of cheap tricks with coustomers now I will
                choose zepto over blink it thank you ðŸ˜¡</t>
  </si>
  <si>
    <t xml:space="preserve">This is absolutely outrageous. I ordered Bonsai Fairy Tree
                Lights and, not once, not twice, but three times now stating
                that correct item is being sent as replacement, you have sent me
                the wrong itemâ€”Moti Tree Lights. I have repeatedly lodged
                complaints, and each time you assured me the mistake would be
                corrected. Yet, three times Iâ€™ve received the wrong product.
                This is beyond incompetence. The customer support has now even
                stopped replying and there is no number to call them.</t>
  </si>
  <si>
    <t xml:space="preserve">Platform is good if everything is going good. Once you received
                bad/poor quality goods there is no scope to refund...No call
                center No contact number available... Very bad experience</t>
  </si>
  <si>
    <t xml:space="preserve">I had a frustrating experience with Blinkit recently. I ordered
                a bag that was priced at 399 rupees, expecting something of
                decent quality. When it arrived, I was shocked to find it looked
                like a cheap 50-rupee bag. The material was flimsy, and the
                overall craftsmanship was poor. I immediately contacted customer
                service for a return and refund, but they were unhelpful and
                kept insisting on their return policy, which felt completely
                unfair. After multiple attempts to resolve the issue.</t>
  </si>
  <si>
    <t xml:space="preserve">It's a really an amazing app but i have received damaged and
                products with really dad packing and the waste of the bad of the
                sticky part is always left in the bad but the customer care is
                good compair to other apps</t>
  </si>
  <si>
    <t xml:space="preserve">All product available with discount and delivered very fast with
                minimum time. Very good service. Good Experience must be
                recommended to all.</t>
  </si>
  <si>
    <t xml:space="preserve">They send me damaged item and after I complaint they pick up the
                item but still didn't refund my amount. So frustrating service
                refund my money and they don't provide help about this</t>
  </si>
  <si>
    <t xml:space="preserve">In BTM layout 2nd stage.. when items are not available in their
                pickup store they just send the remaining items and not give
                automatic refund. We should check the items and then ask for the
                refund to customer executive. Apparently my parents collected
                the order and they dint know what I had ordered. Please provide
                automatic refund in such cases like how other online grocery
                stores do.</t>
  </si>
  <si>
    <t xml:space="preserve">This is surprising Blinkit don't have any return mechanism for
                the products. They don't assign any customer executive to
                resolve issues quickly and properly. They don't have any contact
                number on the platform to directly engage with the customer. I
                ordered Nutraj dry fruits Walnuts, Cashew and Dry dates. They
                were not upto my expectation, size was so small. I simply wanted
                to return them. But, their automation bots rejected my issue
                saying there is no quality issue associated with them. ðŸ˜¡</t>
  </si>
  <si>
    <t xml:space="preserve">Blinkit is very expensive.. The products are sold at a very high
                price from the market price.. specially the fruits and
                vegetables are sold at a very high price. I request blinkit to
                make the prices reasonable as delivery charges and other taxes
                are already being charged..</t>
  </si>
  <si>
    <t xml:space="preserve">Experiance is Good, but there is a small suggestion or request
                to blikit. Please check and sell the product if it is completely
                sealed. Ex. If a shampoo bottle should be sealed completely, not
                only the cap</t>
  </si>
  <si>
    <t xml:space="preserve">The Amount was deducted. It showed payment successful when I
                placed the order but when I checked the order details it was
                showing payment failed. The amount was deducted and the order
                was not placed.</t>
  </si>
  <si>
    <t xml:space="preserve">Disgusting customer service options... Chatbot is also
                absolutely useless.. No option to talk to an agent... Keeps
                giving 2 options on loop... Really horrible...</t>
  </si>
  <si>
    <t xml:space="preserve">Is was almost night 12 o'clock and i forgot to buy rava and
                biscuits and my mother was getting angry so i ordered from it
                thinking it will work and yes it worked ðŸ˜ðŸ˜ðŸ˜ðŸ˜ðŸ˜ðŸ˜ðŸ˜,,, i love
                it yaaaaa, and dilevery was also quick. Try it,, it can help in
                urgent situations.... Thank you Blinkit app. Try it.</t>
  </si>
  <si>
    <t xml:space="preserve">i had to cut back a star.. The gift wrap i paid for have blinkit
                advertised on it... ( i thought u couldn't charge a packaging if
                its has your advertisement legally ) its like i paid you for
                advertising the company on my gift ... i could have given this
                in your usual advertised packaging if i wanted that. sad... i
                have to repack my gift...</t>
  </si>
  <si>
    <t xml:space="preserve">The app is automatically taking wrong location and cheating
                customers by giving the refund as promo code. The customer money
                they are giving as promo code.. cheaters. Legal action will be
                taken..</t>
  </si>
  <si>
    <t xml:space="preserve">Lots of technical glitches, you add something it gets
                automatically removed and then they charge you for delivery I
                have replied in mail. Shirtutl below doesn't work</t>
  </si>
  <si>
    <t xml:space="preserve">Major performance issues in the app. Very slow and hangs at
                times.</t>
  </si>
  <si>
    <t xml:space="preserve">The customer service is extremely poor, and reaching an agent is
                nearly impossible. More often than not, the local store is out
                of stock, and they substitute products without seeking prior
                approval. Swiggy's Instamart offers a far superior experience
                compared to this profit-driven, unreliable service.</t>
  </si>
  <si>
    <t xml:space="preserve">Too much pathetic n disgusting ewww , they always made miss one
                item , if you ask for same item they will tell you to do
                re-order with extra delivery charges inspite of their fault
                because they missed the item for that they have already charged
                in the bill. Also experienced that if order get cancelled due to
                any issues they will say your money will be refunded in 24 hrs
                but they will not get, u hv too wait atleast 1 month or you hv
                to keep calling them. I got my money after so much struggles ðŸ™</t>
  </si>
  <si>
    <t xml:space="preserve">Love it!!! My saviour for last minute daily need items....Lot of
                variety, lesser delivery time and convenient to use....</t>
  </si>
  <si>
    <t xml:space="preserve">Not good, can't do payment through cash. And failures during
                online payment. Deleting it.</t>
  </si>
  <si>
    <t xml:space="preserve">Wrote the incorrect and misleading name for product. I ordered
                it to find out that it was not the right item I needed. Refused
                to resolve my issue</t>
  </si>
  <si>
    <t xml:space="preserve">It's great app but there is one problem that they were not
                giving Cash on delivery option on order it's wrong if any one
                have only cash so what can he / she do</t>
  </si>
  <si>
    <t xml:space="preserve">Amazing!!! Delivery is too fast,please add more variety of
                products.</t>
  </si>
  <si>
    <t xml:space="preserve">They 're send me empty box of airpods and when i complaint there
                customer care deny to exchange / refund... I strongly dont
                recommended cuz its 3rd time they make me fool and never
                exchange or qccept their mistake..rather use zepto or swiggy
                atleast their customer care is far better then blink it..if i
                having option to give zero rwting i would love to give..nobody
                responding on ur mail fraud app</t>
  </si>
  <si>
    <t xml:space="preserve">Expired products are getting delivered these days. They know
                that most of who order online are busy working people who cannot
                check every expiry date everytime. One pack of expired milk is
                enough to spoil all the rest of the milk. Weigh the products and
                check expiry date everytime</t>
  </si>
  <si>
    <t xml:space="preserve">Awful customer service. Chat support is not working since month
                now. And no one is reply properly on email they provide. Worst
                app ever. Received damaged products and I can not even talk to
                support team. Mail several times still no resolution provided by
                the Blinkit team.</t>
  </si>
  <si>
    <t xml:space="preserve">I requested a refund of Rs. 1004/- for the cancelled purchase
                order made on 31/10/2024. Despite my previous request for the
                amount to be transferred to my sourcing account, I have yet to
                receive the refund. Blinkit not refunding the cancelled order
                amount even after 40 days Don't buy products in blinkit....
                Blinkit cheating consumers by non refunding of cancelled orders</t>
  </si>
  <si>
    <t xml:space="preserve">Waste of time, I have been trying to order something for a week
                now, but always cart is unserviceable, so I choose other apps
                always unserviceable waste time selecting the groceries...</t>
  </si>
  <si>
    <t xml:space="preserve">It is superfast for my location. However they are not having the
                displayed products in the store, and are sending incorrect
                items.</t>
  </si>
  <si>
    <t xml:space="preserve">Great app, really fast delivery. Overall best for those
                emergencies where you need small things but can't get out of
                home.</t>
  </si>
  <si>
    <t xml:space="preserve">Amazing, fast delivery, trustworthy, and overall good service.
                But I think the delivery guys should keep a handful of change
                money with them because people who can't pay via UPI have no
                other option besides cash.</t>
  </si>
  <si>
    <t xml:space="preserve">Uninstalling this app. 1) The app charges extra unnecessarily
                whenever it feels like. 2) Order can not be cancelled even
                within 1 minute. Where as competition gives clear option for
                cancellation.</t>
  </si>
  <si>
    <t xml:space="preserve">Always delivery on time,quick service &amp; convenient too.
                Sometimes some stuff is out of stock .Though an inconvenience in
                such circumstances ,the good thing we can summarise out of this
                is tht the supply is fresh</t>
  </si>
  <si>
    <t xml:space="preserve">Excellent service , however there should be more discount on
                products and customer who orders every month should get cash
                back. Please add offers on cards like HDFC and SBI. This are the
                cards used by maximum corporate people . Offer are getting
                missed out due to this.</t>
  </si>
  <si>
    <t xml:space="preserve">I ordered multiple items but only one item which price was 143/
                that was missing,also complain several times with blink it
                excutive but they said we have delivered all the items no one is
                missing not help</t>
  </si>
  <si>
    <t xml:space="preserve">Much better than Zepto when it comes to pricing and handling
                charges. Could be better if the minimum order delivery is 99
                instead of 199.</t>
  </si>
  <si>
    <t xml:space="preserve">It says free dilevery but they charges so many things and they
                also charge 20rs delivery charges and so many charges...
                Customer service is worst..if ur order is not arrived as u
                ordered they just play email email.. they never solve the issue</t>
  </si>
  <si>
    <t xml:space="preserve">I mean this where Gen Alpha starts like you just pick the phone
                and order ! As easy as that If I could I rate it 1000000000!!!!
                It's just frustrating when your favorite item doesn't get in
                stock for dayssss like mine is potatoez Pleasant minded app
                ðŸ§˜â€â™€ï¸ðŸ§˜â€â™€ï¸ðŸŽ–</t>
  </si>
  <si>
    <t xml:space="preserve">Your customer care service doesn't even exist. I simply needed
                to return or exchange the product. But even for that there is no
                way or another option is provided. And for chat you people ask
                us to communicate with that ai buddy (blinking buddy). 5 baroda
                to video upload krwaya us ai ne. As customer has no other work.
                Bb now is much better than this. If you won't be resolving my
                issue asap, I'll tag your owner also will be complaint with
                consumer protection court. Poor customer service.</t>
  </si>
  <si>
    <t xml:space="preserve">I love ordering from blinkit. You get everything on it. Whether
                it's electronics or vegetables. Yesterday I ordered a headphone
                I got it in 14mins. If I had ordered it online from Flipkart or
                Amazon it would have taken 1-2daysðŸ¥². I haven't got any wrong
                product by now I have no idea about their customer service.</t>
  </si>
  <si>
    <t xml:space="preserve">Love the time facility. I can even order anything at any time of
                the day and never needs to worry if I am out of something.
                Everything at door step under 10 min is really amazing. Juta
                look it â¤ï¸â¤ï¸Thankyou Zomato for such a amazing facility
                application</t>
  </si>
  <si>
    <t xml:space="preserve">prices are too high, and handling charges are useless. No use
                able coupons for old users. Update as of Dec 13, they started
                charing delivery charges also even if the cart size more tha
                500â‚¹</t>
  </si>
  <si>
    <t xml:space="preserve">It is very quick and helpful for groceries and games and is a
                superb app by itself as it delivers every basic need to even
                games like uno and more !</t>
  </si>
  <si>
    <t xml:space="preserve">Never deliver on time that you claim. Be genuine. You will get
                an order once but Blinkit loses on trust. Again this time
                delivery for cold drink cans chilled showed 9 min at time of
                order compared to 14 on Swiggy Instamart Took a chance to order
                with Blinkit And after 10 min still shows 4 min And that is to
                reach the building only. After 4 min shows Arriving soon
                Delivery done All cans hot Not a single one is chilled Delivery
                time, Packaging and handling have become unacceptable.</t>
  </si>
  <si>
    <t xml:space="preserve">Blink it is into Next Level it was raining and I thought how to
                go out and take printout but just tried whether it possible to
                take a printout and it was available and within 10 mins I got
                ....It was so much Comfortable for me and My Higher manager
                appreciate for me for the Printout which I kept ready .....Love
                u Guys thanks a lot</t>
  </si>
  <si>
    <t xml:space="preserve">There is a huge issue of change in case of cash on delivery. The
                delivery people must atleast have a minimum amount of change
                with them. It's quite troublesome to give the entire exact
                amount . Online transaction is also not possible everytime</t>
  </si>
  <si>
    <t xml:space="preserve">I have order a milk but they didn't deliver it and automatically
                they remove the milk from my cart because it gets out of stock
                from there side. I had never know that blink it can do these
                kind of things.</t>
  </si>
  <si>
    <t xml:space="preserve">GPS of this App is not proper it shows a different location,at
                the time of delivery their delevery boys are calling from some
                other place that they are in front of delevery point,when you
                are telling them that location from where he is calling is not
                correct and told them the right location they charges extra for
                delevery. All other online shopping apps like
                Amazon,Flipkart,Flipkart Health,Myntra,Nykaa,Purple and First
                Cry,Truemeds delivered on that address for last 8 years.</t>
  </si>
  <si>
    <t xml:space="preserve">A wholesome experience for me, coming from abroad, we don't have
                such fast and inexpensive apps in Canada. I wish Blinkit would
                start their services abroad, too. Very, very good service. I
                suggest you can include emergency off the counter medicines.
                Thanks.</t>
  </si>
  <si>
    <t xml:space="preserve">Every time they did mistake sometime wrong items they sent,
                sometime they sent expired items, sometime they didn't call and
                cancel the order after waiting 30 minutes horrible experience
                ðŸ˜¡ðŸ˜¡</t>
  </si>
  <si>
    <t xml:space="preserve">I waited to 2.5 hrs but order not delivered. Then I called the
                delivery person many times. No one picked. Then I finally
                cancelled order. But refund also did not come. Very pathetic
                experience. Awful service, low grade. Use zepto.</t>
  </si>
  <si>
    <t xml:space="preserve">Selling product at double the price. The same storybook, which
                is sold in Amazon for 159 rs, is sold in blinkit for 299 rs. The
                book is very small and definitely not worth double the price.
                When I said I wanted to return, their support executive said
                it's not possible bcoz you receive what you order.</t>
  </si>
  <si>
    <t xml:space="preserve">It's a good app, delivery is fast,but when you order
                vegetables,make sure the quantity is correct,when I ordered
                potatoes I got 200 grams less.and i recommend not ordering meat
                as it may be spoilt or smells or doesn't taste good</t>
  </si>
  <si>
    <t xml:space="preserve">Very bad experience. The store is located 0.8 km away from my
                home but it still takes 30 mints for them to deliver my order
                Very bad worst app</t>
  </si>
  <si>
    <t xml:space="preserve">They have Wrost Delivery partners . Delivery partner refuse to
                give me order at my door. Then what the meaning of door to door
                service .Didn't, get my order approx 4 hrs and after that they
                cancelled my order. Never going to use this app again</t>
  </si>
  <si>
    <t xml:space="preserve">My experience with blinkit is good, the packing is just awesome,
                and the products too. But they should give coupons as well.</t>
  </si>
  <si>
    <t xml:space="preserve">Really I've never seen such an fascinating online shopping app.
                But one thing I would suggest is that to make the all delivery
                charges free. It would be very helpful.</t>
  </si>
  <si>
    <t xml:space="preserve">I had given a order and it was showing failed payment so I
                ordered again and turns out both order were packed and coming
                and both time the money got cut. Extremely bad.</t>
  </si>
  <si>
    <t xml:space="preserve">Though it's convenient. Off recently the delivery charge has
                become very expensive. Surge charge extra gets added which makes
                the entire thing expensive.</t>
  </si>
  <si>
    <t xml:space="preserve">I didn't give the other star because blinkit most of the times
                gives free delivery if our checkout price crosses â‚¹299.
                Sometimes Blinkit give free delivery for shopping of more than
                â‚¹99 in their app. Rest all are good!!</t>
  </si>
  <si>
    <t xml:space="preserve">This app doesn't taking my location showing they can't deliver
                there but from 400m away from my location they can accept the
                order. What the hell is thiss!?? I can't order anything and I'm
                uninstalling this useless app.</t>
  </si>
  <si>
    <t xml:space="preserve">Payment deducted twice but order did not placed eventually I
                have to place COD order which i have to pay it again once
                delivery partner reaches my home.. really worst pathetic aweful
                third grade service , no option to speak to customer care person
                at all only chat bit is working at all</t>
  </si>
  <si>
    <t xml:space="preserve">Pathetic app and their bot support. I have ordered mistakenly
                selected wrong address, while I want to change or cancel the it
                won't happen. Bot is closing the chat. Scammer. Alert I never
                order again</t>
  </si>
  <si>
    <t xml:space="preserve">Prices are higher than Amazon. If ordering multiple items they
                send multiple delivery partners which is a big hassle if paying
                by cash. This is a nuisance</t>
  </si>
  <si>
    <t xml:space="preserve">It's super good but after your first order if you order only one
                thing (only 1) cost is 36 they will make it 101 rs. It's so
                expensive I hate that it's expensive ðŸ˜­ I want it to be cheaper
                ðŸ˜”</t>
  </si>
  <si>
    <t xml:space="preserve">They sell expired products, push substandard brands, no quality
                check. No proper way to reach customer care. Worst packaging,
                hidden charges. Anyways it won't survive the long run for sure
                looking at the competitors ðŸ˜†</t>
  </si>
  <si>
    <t xml:space="preserve">Kudos to whoever came up with Blinkit! Blinkit is truly a savior
                during emergency and last-minute purchases. The order is truly
                delivered within the blink of an eye. So thankful for your
                services:)</t>
  </si>
  <si>
    <t xml:space="preserve">Very poor quality app, no option for cancellation, no guarantee
                for healthy food,no any refund after the guarantee they gave us,
                Advise -At least add cancellation option , coz not only we face
                this problem, delivery men also suffer from this a lot.</t>
  </si>
  <si>
    <t xml:space="preserve">Very nice app to order grocery items we need immediately ðŸ¤©.I am
                literally enjoying.THE ONLY SUGGESTION I WANT GIVE IS USE OF
                CARRY BAGS.I request to use less carry bags or ask your carry
                bags from customer in return of something small(that may be 1
                free delivery or some points etc). Thanks</t>
  </si>
  <si>
    <t xml:space="preserve">I'm amazed with delivery! That was too fast and the availability
                of products in different category also good! Keep it up ðŸ˜‰it!!!</t>
  </si>
  <si>
    <t xml:space="preserve">They are letting to deliver a order those persons who doesn't
                have number plate on their bike , and they are cancelling order
                on saying that customer is requesting to cancel order. And they
                cancelled order saying I have requested it</t>
  </si>
  <si>
    <t xml:space="preserve">Made it really really quick and cheap to get products within a
                few minutes which wasn't an option at first place ever on other
                delivery platforms like Amazon and Flipkart. Good job Blinkit ðŸ‘</t>
  </si>
  <si>
    <t xml:space="preserve">App not working properly in terms of address. I have written the
                house address but delivery boy went some where and calling me
                that he followed the map and reached the address. But he is able
                to see my actual address on the order placed. But he is not
                willing to deliver at orders laced Address. ðŸ˜¥</t>
  </si>
  <si>
    <t xml:space="preserve">worst experince. do not buy any electric items on blink it as
                there is no exchange or replace on blink it. i ordered a smart
                watch but its touch was not wroking and when i connected with
                customer support,she told me that exchange is not available on
                blink it. please do not buy any electric items on blink it. u
                won't get any assistance. it's just for groceries.</t>
  </si>
  <si>
    <t xml:space="preserve">Please don't use this app, they charge hell lot of things, like
                high demand charge, handling charge, rain charge and quality of
                vegetables and fruits are also not that much, I strongly
                recommend to use Flipkart 9 minutes delivery, it only charges
                platform fee of 5 rupees and no other extra charges, even when
                you compare items, rates are low when compared to blinkit, MNC
                is MNC.</t>
  </si>
  <si>
    <t xml:space="preserve">It is a very useful app....they deliver on time...its really a
                last minute app for all....Now we dont have to get stucked in
                between of anything just blink it and get it.</t>
  </si>
  <si>
    <t xml:space="preserve">Takes too long to load order details. No option to cancel order,
                opening help chat takes time. Worst delivery app I have seen so
                far.</t>
  </si>
  <si>
    <t xml:space="preserve">Excellent variety, excellent delivery time and just what was
                needed. I have absolutely no complaints.</t>
  </si>
  <si>
    <t xml:space="preserve">Always a nice experience. Quick delivery. However the delivery
                boys should take care of themselves and drive safely. Life is
                more precious than delivering on time.</t>
  </si>
  <si>
    <t xml:space="preserve">Delivery is always delayed ðŸ˜ž and sometimes surged price
                applied...at that time kindly check on other apps like bigbasket
                where there is not anything like surged price or anything and
                there delivery over Rs 99 is free..not taking delivery charges
                but surge charges is always there...great marketing strategy to
                fool customer</t>
  </si>
  <si>
    <t xml:space="preserve">No way to know what the total amount is until too late. I'll
                think three times before ordering from Blinkit. Big Basket is
                far better in this and other matters.</t>
  </si>
  <si>
    <t xml:space="preserve">OMG!!!!!!I live outside India.. while visiting India for a
                vacation.used there app nd this is the 1st time using BLINK IT..
                mind-blowing superb superfast delivery service.. my order
                arrived 5mins early</t>
  </si>
  <si>
    <t xml:space="preserve">Best service is being provided by blinkit with good quality food
                items whether it is frozen food , grocery item or any other .
                Their dairy products are also good . Highly recommend to go with
                blinkit rather than any other app .</t>
  </si>
  <si>
    <t xml:space="preserve">This aap is my favourite and also very very very easy yo use.
                And the bestest app also . It's delivery speed is just wow. I
                loveeeeeee this apppppp.... Thank you so much blinkit team for
                making things so easy peasy in such a hardliving life..</t>
  </si>
  <si>
    <t xml:space="preserve">overall good app. but they apply to much extra charges like
                surge charge that dose it means. Bhai just learn from zepto. if
                you are asking to do a shopping of above 500 rs then sorry but i
                will prefer Dmart ready app they give a more discounts as
                compared to you.</t>
  </si>
  <si>
    <t xml:space="preserve">GOOD APP. USEFUL. PRODUCTS ARE GOOD. FOOD PRODUCTS ARE FRESH. It
                offers discount though the price is increased first then
                discounts are given, price is high than normal bazar and
                markets. The discounts that they allows, are taken back in the
                name of handling charges and delivery charges. Orders above 300
                should be made free from delivery charges and handling. These
                price hikes are not required. PLEASE TRY AND IMPROVE THESE
                THINGS.</t>
  </si>
  <si>
    <t xml:space="preserve">Great UI of the app, quite fast service! Liked it! There are
                even imported item available to purchase which is just amazing!</t>
  </si>
  <si>
    <t xml:space="preserve">You are doing a great job . But don't force the drivers to
                deliver in 15 min or to speed up when they are delivering the
                items or it a very nice app</t>
  </si>
  <si>
    <t xml:space="preserve">BlinkIt is a very good 10 mins delievery app.It always delievers
                at the promised time. I rated it 4 stars because it always takes
                more taxes.I request to low the taxes.But if u dont mind the
                taxes its a 10 on 10 10 mins delievery appðŸ’¯</t>
  </si>
  <si>
    <t xml:space="preserve">There is no option of return and customer support they have only
                AI bot which is pathetic i guess mr. dipender not use the return
                or customer support at blinkit, in last 6 days i have odered
                more the 10k most of time item was ripped and leaking pathetic
                customer service</t>
  </si>
  <si>
    <t xml:space="preserve">Pathetic. The delivery is too slow. Such a time waste app. Zepto
                has limited quantity but atleast delivery is on time. This was
                my last order from blinkit, wasted enough time!!</t>
  </si>
  <si>
    <t xml:space="preserve">App is so convenient to use. Range of products is awesome and
                generally delivery too is in promised timeframe. Blinkit has
                matured and app is awesome.</t>
  </si>
  <si>
    <t xml:space="preserve">Very friendly app. I like this. Regarding discount on each item
                should be more or other offer shall have to be ensured.</t>
  </si>
  <si>
    <t xml:space="preserve">Nice and easy to use fast Grocery app at the reasonable price,
                good quality, on time delivery doing good work, thank you blink
                it and please give few offers time by time for valuable
                customers and of course your team is doing Good Job !!! â¤â¤â¤â¤â¤</t>
  </si>
  <si>
    <t xml:space="preserve">absolutely the best when there is no delivery charges, cause
                sometimes it takes tooo much of delivery charges even if my
                house is in walking distance of factory! other then that it's
                the best</t>
  </si>
  <si>
    <t xml:space="preserve">Very very good experience...Sometimes it takes 4-5 minutes extra
                time from the given time...But that is not an issue.. I like
                Blinkit...</t>
  </si>
  <si>
    <t xml:space="preserve">Receiving worst toys again n again.... And no return refund
                policy they are providing... And the most important thing that
                blinkit only has worst computerised chat support but there is no
                customer support or any calling services to describe your issue
                well.</t>
  </si>
  <si>
    <t xml:space="preserve">Worst quality products..... Recently ordered ice creams and
                everything was melt , it was late at night and the only option
                provided for replacement. Do you think we have nothing else to
                do rather than wait for the ice cream to be picked and then
                replaced? Either provide good quality products or provide
                refund.</t>
  </si>
  <si>
    <t xml:space="preserve">Only issue is that your delivery guys don't keep cash change for
                cash on delivery. I pay by cash &amp; they never have change. I
                had to return my order because of this. Please inform the
                delivery guys to keep change of upto 1000 /500.</t>
  </si>
  <si>
    <t xml:space="preserve">This is pathetic app the delivery time is showing less but
                actually order takes more time to get delivered every time this
                happened and lot of times order have to cancel</t>
  </si>
  <si>
    <t xml:space="preserve">Nice app but sometimes I don't have change then I need to go to
                a shop to bring the change from my side there is a issue that
                the delivery boy never had change even when I drop the message
                for change</t>
  </si>
  <si>
    <t xml:space="preserve">Buggy app and items that are in "stock" appear out of stock once
                you might proceed to order items Please update the time to show
                wether or not an item is in stock or not. Also, include
                international food brands</t>
  </si>
  <si>
    <t xml:space="preserve">Worst experience ever. Won't be ordering from it again. Sending
                used and defective product multiple times .. doesn't deliver on
                doorstep</t>
  </si>
  <si>
    <t xml:space="preserve">The estimated time of delivery is often wrong. Even if it took a
                little longer, it would be nice if they gave a close estimate.
                Taking 40 minutes after giving estimate of 10 min isn't
                convenient</t>
  </si>
  <si>
    <t xml:space="preserve">Before cod option, the delivery boys couldn't connect my phone
                Or find my address. After cod, they call me and find my address
                easily. Good app but horrible delivery boys. They try to steal
                prepaid orders which was almost becoming a trend and then cod
                was introduced.</t>
  </si>
  <si>
    <t xml:space="preserve">Easy to use app, fast delivery, excellent selection of groceries
                and everyday essential items.</t>
  </si>
  <si>
    <t xml:space="preserve">Mostly wrong items get delivered or damaged items get delivered.
                Request customers to go to shop instead of Blinkit as they
                provide poor service in refunding too. Be careful.</t>
  </si>
  <si>
    <t xml:space="preserve">Always on time. But sometimes they get delayed but it's okay ðŸ‘.
                Now it is becoming Amazon because they have almost
                everything!!!!ðŸ˜ŠðŸ‘ðŸ‘</t>
  </si>
  <si>
    <t xml:space="preserve">Quick delivery and packaging was way more better in comparison
                to peers. Multiple categories added that gives more easy
                shopping.</t>
  </si>
  <si>
    <t xml:space="preserve">As promised the delivery was done in 15 minutes. The reason for
                giving five star is as soon as I order the goods message sent
                that he is picking it up and that shows it is brilliant.</t>
  </si>
  <si>
    <t xml:space="preserve">Had worst customer care service I have ever experienced from all
                the apps and sites I have used... mechanical reply... no
                customer care number available online... if available it's
                invalid ... non user friendly approach</t>
  </si>
  <si>
    <t xml:space="preserve">This is always disgusting that they never carry change while
                deliverys.. such a useless app if not giving convenience. Every
                time i order i face these problem.. i will not use this app from
                now onwards</t>
  </si>
  <si>
    <t xml:space="preserve">No delivery charge is the best. Becoz I usually order from big
                basket, and they have compulsory handling charges of 6/- and
                delivery charges l ess than 300 .. and I didn't like the former</t>
  </si>
  <si>
    <t xml:space="preserve">Blinkit sucks right now .... I sent some documents for print and
                when they came ... They were damaged and something else was
                printed on them ... I couldn't complete my work cause of that
                got scolded.... Second time I ordered some stuff and it got
                cancelled... Where tf is my money</t>
  </si>
  <si>
    <t xml:space="preserve">Its really time saving and give u ease to get items at
                reasonable price at your doorstep.What I like about their policy
                is that they never put pressure on delivery agents and give
                importance to their safety.</t>
  </si>
  <si>
    <t xml:space="preserve">Print service is God sent otherwise I had to go out, waste an
                hour. Now it is so convenient. I dont mind spending some extra
                for the time saved</t>
  </si>
  <si>
    <t xml:space="preserve">I know blinkit is known for delivering item with in 10-12
                minutes but sometimes we only need someone to deliver the items
                within same day . So please be available on every place of India
                , we need items in same day also which is not provided by
                anyone. There are areas where minutes delivery is not possible
                but we can wait for an hour</t>
  </si>
  <si>
    <t xml:space="preserve">Perfect for thread but could be more variety in texture and
                colour and type. Perfect last minute app</t>
  </si>
  <si>
    <t xml:space="preserve">The best features of this app is, their delivery team. within
                10min,you will get all your request goods with minimum purchase
                order. Best of luck for such ideas,hopping more new app to come
                to help the Indian.</t>
  </si>
  <si>
    <t xml:space="preserve">Awesome UI experience! Really fast delivery times! Would have
                given 5 stars BUT you don't process international cards...</t>
  </si>
  <si>
    <t xml:space="preserve">Still didn't received my refund, even after so many days...I
                wonder how are you managing your stuffs, and even in the chat of
                your app there are only automated answers and questions, can't
                even talk to an executive, really received very bad experience</t>
  </si>
  <si>
    <t xml:space="preserve">Very good online shopping options for all the things but price
                is little higher compared others like Big busket. What I love is
                Delivery which is very fast.</t>
  </si>
  <si>
    <t xml:space="preserve">Blinkit has variety of things available. The delivery is spot
                on. Awesome app. Recommended for all shoppers.</t>
  </si>
  <si>
    <t xml:space="preserve">Initial experience was not that great where expectations were
                not met in terms of offers given and then not executed. Just
                ordered for the second time..</t>
  </si>
  <si>
    <t xml:space="preserve">Fake platform , If You Place an Order By Mistakenly And
                Immediately Cancel an Order , Blinkit will only Refund You In
                The Form Of A Coupon Of Same Amount With A Validity Of Only One
                Month. This is a biggest fraud by Blinkit. I urge all the buyers
                to stop using blinkit and Move To Swiggy Instamart. Like suppose
                if you by mistakenly place an order for â‚¹1,00,000 Through Amazon
                Pay Balance or Simpl or Any other payment method Then Blinkit
                will Scam You By Giving Coupon Code With A Month Validity</t>
  </si>
  <si>
    <t xml:space="preserve">It always gives right groceries and i saw blinkits Instagram
                reel it's contant and roasting skills are awesome commented to
                them lots of times also keep it up all the best from me
                â¤ï¸â¤ï¸â¤ï¸â¤ï¸â¤ï¸</t>
  </si>
  <si>
    <t xml:space="preserve">Everything is absolutely fantastic. Just Zomato &amp; Blinkit
                ASAP needs to build A 24x7 customer helpline number or TOLL
                FREE. As currently they only have VIA &amp; Chat Support.</t>
  </si>
  <si>
    <t xml:space="preserve">Wrost exp ever ,even they are not able to address the concern
                properly and there delivery partner also taking rudely and ask
                to change the address as they are not getting extra money for
                petrol even after we have mentioned the correct address.</t>
  </si>
  <si>
    <t xml:space="preserve">I love that how they deliver in just short timings and so
                helpfull for daily necessities but one thing i want that it
                should provide items in small quantities too.</t>
  </si>
  <si>
    <t xml:space="preserve">The delivery boy must learn some manners. He started shouting
                without any reason. I was really fond of the app but I had to
                uninstall the app because of the rude behaviour of the staff
                Very disappointed.</t>
  </si>
  <si>
    <t xml:space="preserve">Very dissatisfied, order summary not showing before payment ,
                not user friendly , charged various charges like smart charge,
                handling charge , delivery charges etc without informing the
                customer. You should be transparent while charging. This type of
                service tarnishing blinkit image.</t>
  </si>
  <si>
    <t xml:space="preserve">Very late response in order accepting, wrong display of delivery
                time. I have placed order almost one hour back and got confirmed
                very late,</t>
  </si>
  <si>
    <t xml:space="preserve">No customer care support. The application selected incorrect
                address through and I didn't get any help from customer care. My
                order was delivered to incorrect address.</t>
  </si>
  <si>
    <t xml:space="preserve">Very good service and very punctual about time. I am really
                satisfied and also I will suggest this app to my friends and
                family for household shopping.</t>
  </si>
  <si>
    <t xml:space="preserve">Adding unnecessary chargers and fees for delivery the basic
                thing's. All the discounts and offers that are given on the
                products are all returned to them via these charges</t>
  </si>
  <si>
    <t xml:space="preserve">It's worst they give expired products and than customer service
                is v bad. In lieu of convenience they are runing their business
                otherwise the shopping first hand is better than to waste money
                on these crook websites.</t>
  </si>
  <si>
    <t xml:space="preserve">Worst app. This is not even available at my location, so I won't
                rate it enough, like, I live in a metropolitan area, still it is
                not available</t>
  </si>
  <si>
    <t xml:space="preserve">Quick and prompt. Blinkit has surpassed Swiggy by a mile in
                service and product range.</t>
  </si>
  <si>
    <t xml:space="preserve">Never order anything higher value product from this. No customer
                support is available to share your concern. I had order Philips
                air purifier for 11k I received an damaged product. Pathetic
                service.</t>
  </si>
  <si>
    <t xml:space="preserve">It is having a very fast delivery service and all the things
                that I ordered was in a very good condition ðŸ˜€ loved their work
                will order things form blink itðŸ‘ðŸ‘</t>
  </si>
  <si>
    <t xml:space="preserve">One transaction failed on 4th December and money got
                deducted...it's been 7 days my money is not yet
                refunded...inspite of so many follow-up. Very bad experience</t>
  </si>
  <si>
    <t xml:space="preserve">I'm happy that you guys are finally in Mysore (though I realised
                it few months late). And yes, so far, very satisfied with the
                freshness and quality of the products and on time delivery.</t>
  </si>
  <si>
    <t xml:space="preserve">awful experience, no support, not given my rs. 50 coupon and
                they dont have any system of support, refused to cancell my
                order and overall, I felt that they are rigid.</t>
  </si>
  <si>
    <t xml:space="preserve">It was very good at the beginning.. Now a days receiving expired
                products.. About to expire products.. Very bad service.. No
                proper response from customer care also..</t>
  </si>
  <si>
    <t xml:space="preserve">Very fast quick, till today found the quality vegitables and
                fruits from blinkit, if they maintain the quality of vegetables
                and fruits I will continue from getting them from blinkit and
                recommend others too. Price is higher side if they maintain the
                price competitive no one beat blinkit.</t>
  </si>
  <si>
    <t xml:space="preserve">Worst experience with them, there delivery person told me that
                item can be refunded or exchanged before I make the payment but
                , now they are saying it's not possible.</t>
  </si>
  <si>
    <t xml:space="preserve">Totally worst customer service. I had ordered for 3 pairs socks
                and received only 2 pairs. I told the delivery agent and he said
                to raise the concern online. I took pictures and raised the
                concern. They made me wait for long and said that they verified
                it at their end and said they cannot do anything. I asked for
                further escalation and they called after an hour and said the
                same thing. They even cut the call while i was speaking. Totally
                zero regards for customers. Not at all friendly.</t>
  </si>
  <si>
    <t xml:space="preserve">I wish I could give 0 star.. horrible service I always get one
                or other product missing.. that too more expensive ones.. if you
                don't have or can't provide proper service why should you even
                establish such a service. Please shutdown and go home for God's
                sake</t>
  </si>
  <si>
    <t xml:space="preserve">I suppose nobody can think of a flaw for this fabulous app. You
                have a fast delivery, you must pay the same price and you do not
                even have to go anywhere.</t>
  </si>
  <si>
    <t xml:space="preserve">App is great. Best part about app is the automatic location /
                delivery address calibration. So there is no chance of error
                since i often forget to update delivery location. There is some
                issue regarding food quality. Sometimes the food i buy contains
                moisture. Till now I have got damp chips, damp soan papdi,
                damp/spoilt impact mints and i have given the review later. I
                think the west bengal store houses need to work on their
                moisture control. Otherwise perfect.</t>
  </si>
  <si>
    <t xml:space="preserve">Blinkit is really really super. It has got every item right from
                groceries , stationary fancy and what not, I even ordered
                earrings just an hour before my event. Shocked to see it has got
                everything and with good quality. Leafy veggies r also stil
                fresh. Al of these in jst less than 10mins.. appreciate it n
                hope they maintain the same</t>
  </si>
  <si>
    <t xml:space="preserve">I have been using this app since long time. Was quite satisfied
                with the service, but, from last few orders I have been facing
                issue with the items received. Even, if the the item is not
                available, they accept the order and send the different item.
                Apart from this, in my last order, I ordered 5kg rice instead
                they delivered 5kg sugar. They didn't even bother to refund the
                amount of the ordered item rather insisting me to take the
                differential amount.</t>
  </si>
  <si>
    <t xml:space="preserve">Once you ordered product and not suitable as per your
                requirement like size matter,etc.. than no return and exchnage
                policy blinkit have insort what you have ordered you have to
                keep with you only and you have to do new order what a way of
                earning blinkit...</t>
  </si>
  <si>
    <t xml:space="preserve">Very Bad experience in returning. They didn't accept their
                fault. Even if they deliver the wrong quality product. On the
                time of returning executive always use Al and close the chat
                with Auto Closing message. They don't even try to listen
                properly about your concern. Now again I am writing this review
                on 03 October 2024. They have really improved their system in
                every aspect. Good Luck.</t>
  </si>
  <si>
    <t xml:space="preserve">Sure, here's an excellent feedback review for Blinkit: --- "I
                recently started using Blinkit for my grocery shopping and have
                been thoroughly impressed. The app is incredibly intuitive and
                easy to navigate, making it simple to find and order everything
                I need. The delivery service is consistently prompt, with my
                orders arriving well within the estimated time frame. The
                quality of the products is always top-notch, fresh, and exactly
                as described. Additionally, the customer service team is respo</t>
  </si>
  <si>
    <t xml:space="preserve">I ordered two items. They supplied two different items and price
                is different for both. But they supplied both items with higher
                and delivered.</t>
  </si>
  <si>
    <t xml:space="preserve">This is so amazing platform for all the grocery with required so
                I will always say you have to check out this one . Thankyou</t>
  </si>
  <si>
    <t xml:space="preserve">My orders are delivered timely but today's order was delivered
                at lightning speed ! Seemed as if I just placed the order and it
                landed on my door.</t>
  </si>
  <si>
    <t xml:space="preserve">Don't use this app this fruad app I ordered something from this
                app and found products missing in my order. When I contacted
                customer care and complained about missing products, I was not
                helped at all and the customer care person spoke to me very
                rudely and did not even refund my money. tha aur</t>
  </si>
  <si>
    <t xml:space="preserve">Damage and expired product delivered by you. Many more time
                order place from one place and location showing wrongly. Refund
                is not immediately credited.</t>
  </si>
  <si>
    <t xml:space="preserve">This app is a really good app and nowadays I order a lot from
                this app so it has become one of my fav app. The delivery
                partners are very punctual so I love this app</t>
  </si>
  <si>
    <t xml:space="preserve">There are no offers, Zepto and Flipkart Minutes give better
                discounts and freebies. The only reason I gave a two star is
                that they do have some items, which I order.</t>
  </si>
  <si>
    <t xml:space="preserve">This is a very very useful app because whenever I order any
                thing â˜ºï¸ it comes in only 10 mins my dad also says it is a very
                fast service I love this app â¤ï¸ thankyou blinkit.</t>
  </si>
  <si>
    <t xml:space="preserve">Great. Needs some delivery area improvement and cash on delivery
                change issues. No doubt cash issues are everywhere if improved
                then it will be worth 5 star</t>
  </si>
  <si>
    <t xml:space="preserve">Very good app. Super useful and minimum delivery time. Thanks a
                lot to the entire team ðŸ˜„ðŸ¤ </t>
  </si>
  <si>
    <t xml:space="preserve">anytime better than Zepto. love to use this app - blink-it but
                please offer some best discounts for your regular customers.
                Cheers!</t>
  </si>
  <si>
    <t xml:space="preserve">As they said delivery in 10 to 15 minutes... It's a false
                promises Today in the morning emergency i tried to place order
                constantly showing order is not delivered to your address since
                3 hours showing same message... Earlier it was delivered and now
                it's not .. Don't give fake promises to the consumers.</t>
  </si>
  <si>
    <t xml:space="preserve">Very good app, fast delivery and amazing service.Delivers wide
                range of products,I would choose blinkit</t>
  </si>
  <si>
    <t xml:space="preserve">Veryy good also when we buy a chips packet from the market it is
                usually very less quantity but when you order it from blinkit it
                comes in so much more quantity I love blink it</t>
  </si>
  <si>
    <t xml:space="preserve">Good for packaged products but avoid for fruits, vegetables,
                eggs as they are exorbitantly charged plus and/or quality will
                not be at par with street vendors or mother dairy booths. If you
                don't believe just try for few months.</t>
  </si>
  <si>
    <t xml:space="preserve">Quick delivery though broccoli was not fresh but other items
                were good. The delivery guy was very polite.</t>
  </si>
  <si>
    <t xml:space="preserve">Worst Service. NO returns on defective products. No concrete
                Explanation. Big basket and Zepto are way better at resolving
                issues.</t>
  </si>
  <si>
    <t xml:space="preserve">Blinkit has consistently been delivering products for the last
                year to me on time without issue. Such a boon for busy people</t>
  </si>
  <si>
    <t xml:space="preserve">Best ever app, fulfills all the grocery needs and faster than
                you could get yourself.</t>
  </si>
  <si>
    <t xml:space="preserve">No option to add items immediately in existing order after
                payment made, it results in paying delivery charges one more
                item.</t>
  </si>
  <si>
    <t xml:space="preserve">They dont take care of their food inventories . I got sent
                moulded bread today. Also blinkit is expensive than zepto, whats
                the point if I can't even get the money's worth service. Quiting
                it today.</t>
  </si>
  <si>
    <t xml:space="preserve">This is a good app. With this, the goods are delivered at home
                quickly. But once when I ordered goods, I had booked cash on
                delivery and the delivery boy did not pay me the full amount.
                That is why I liked this app a little less.</t>
  </si>
  <si>
    <t xml:space="preserve">One of the best online service. They always come on doorstep....
                Not asking for address.. in every delivery ðŸ˜†.</t>
  </si>
  <si>
    <t xml:space="preserve">You have added too much extra cost. And delivery person is also
                very rude. If possible,then I would give you zeroâ­ï¸ .</t>
  </si>
  <si>
    <t xml:space="preserve">By lying on this application, delivery will be done in 10
                minutes. You are made to make the payment in advance and it
                takes 10 days to refund and even after 10 days the refund does
                not come. Lies are told. There are many scammers sitting on this
                application. Just look at the application and use it</t>
  </si>
  <si>
    <t xml:space="preserve">very useful app... alwaz received product on time . but the only
                thing is when it was grofers it was much reasonable... the price
                of the product is now much on higher side.. flipkart grocery is
                much reasonable... but when u are on hurry this app will be ur
                saviour</t>
  </si>
  <si>
    <t xml:space="preserve">It's not 10 min delivery. It takes time more than 15 min. But
                service is good. We are happy the service and application usage
                as well. Thank you blinkit</t>
  </si>
  <si>
    <t xml:space="preserve">Iâ€™ve been using this app for a while now, and Iâ€™m absolutely
                loving it! The interface is super user-friendly, and everything
                works so smoothly. The features are exactly what I need, and it
                has made my life so much easier.</t>
  </si>
  <si>
    <t xml:space="preserve">My Top 5 Favorite things about Blinkit Deliveries are quite
                fast. Good variety of products. Budget friendly options.
                Delivery executes are quite polite. Discount coupons when
                applicable are quite nice.</t>
  </si>
  <si>
    <t xml:space="preserve">I love this app. I mean sometimes items which is not available
                on instamart or zepto you definitely find here. Great app. Quick
                delivery but yes they should add some coupons or offers
                sometimes.</t>
  </si>
  <si>
    <t xml:space="preserve">Trustworthy, not faces any problem yet. On time delivery. Things
                which are not available on similar platforms are always
                available on BLINKIT.</t>
  </si>
  <si>
    <t xml:space="preserve">This app is good no doubt but it's rate is very high for example
                we order 3 frooti of rupees 30 but it's tip is 20 and no
                delivery charge but it's total bill is 104... And it's delivery
                is amazing..</t>
  </si>
  <si>
    <t xml:space="preserve">We use blinkit to save on time. We are in a hurry while using
                it. They secretly add items to the ordered items expecting us to
                be diligent. They surreptitiously added an item worth Rs 300 and
                now the support tells me that I ordered it. It's kind of
                cheating</t>
  </si>
  <si>
    <t xml:space="preserve">A real life saver! I had a maths exam the next day and I had
                lost my calculator somewhere..... Yikes! I ordered at 10:45 and
                got it at 10:55 5 minutes is all it took and I was ripping apart
                the packaging (cheers savagery) Thank you team Blinkit ðŸ˜Š</t>
  </si>
  <si>
    <t xml:space="preserve">Amazing service by Blinkit. Quick delivery and good quality
                products even if it comes to fresh food products. I have done at
                least 10-15 orders (big and small), with no complaints at all. I
                hope you keep the quality the same in future.</t>
  </si>
  <si>
    <t xml:space="preserve">Earlier we used to rely on BigBasket for our grocery needs.
                Delivery time was an issue. Blinkit has solved this problem with
                their instantaneous delivery without compromising on quality.
                You are doing a great job ðŸ‘</t>
  </si>
  <si>
    <t xml:space="preserve">Fraud - scam , 1st they were cancelled your order and refund
                your amount in form of coupon voucher with 1 month validity and
                when you placed your next order there is no option of payment
                thru coupon voucher code in mode of payment and no assistance
                zero support ,,ðŸ‘ŽðŸ˜¡ this is only sceme to make more money .
                Worst experience faced.</t>
  </si>
  <si>
    <t xml:space="preserve">Was very much excited, but all the reviews here have revealed
                the bitter truth. That's why I will stay away with this only.
                Thank you people. Edit: Extremely happy with their rapid
                delivery and beautiful diwali gift hampers. What a surprise.
                Loved it</t>
  </si>
  <si>
    <t xml:space="preserve">The blinkit app is become very easily to bought the groceries
                and it was a awesome and fast delivery and it helpful ðŸ‘ŒðŸ» now
                day's I never go to the super market ðŸ˜€ Thank you for our time
                saving..ðŸ‘ŒðŸ» Keep it up...ðŸ‘ðŸ»</t>
  </si>
  <si>
    <t xml:space="preserve">I'm extremely happy with their service. I usually receive my
                order within 14 minutes. It is helping me a lot. Their packaging
                and handling are also worth mentioning. Vegetables are pretty
                fresh and clean.. This app has made life much easier for
                customers like me</t>
  </si>
  <si>
    <t xml:space="preserve">customers care of the app is awful it took me 5-7 tries to get
                to talk to support executive....even retun policy of the app is
                not at all user friendly ,theres no contact number for customer
                care... u cant return the product even if its not used and is of
                no use to the customer ...</t>
  </si>
  <si>
    <t xml:space="preserve">The delivery charges for even bigger orders remain unchanged.
                Other apps don't even charge on smaller orders. Variety and
                Speed is great!</t>
  </si>
  <si>
    <t xml:space="preserve">Cannot use the service of I am in a different location, had an
                issue with return &amp; this is baaaad coz I had ordered from a
                different place Update after support team response. The mail had
                the invoice copy attached, the team still asked for the order ID
                &amp; date of transaction ðŸ˜ž</t>
  </si>
  <si>
    <t xml:space="preserve">Very easy and comfortable. Thanks, blinking. Be always. Please
                add plastic goods/ furniture/kids clothes/winter wear also.
                Dresses/ clothes, etc. Thanks .</t>
  </si>
  <si>
    <t xml:space="preserve">Once I order cold drink and even though I specifically mentioned
                to the delivery person that I needed it cold. It's was still not
                cold and it's very hard to contact customer support. Will
                uninstall it very soon</t>
  </si>
  <si>
    <t xml:space="preserve">It is better to buy it from any nearby store in the market.
                Because the quantity given here is very less. If we get 100
                grams of something for 40 rupees outside, then the same thing is
                sent from here for 50-60 grams for 40 rupees.</t>
  </si>
  <si>
    <t xml:space="preserve">scammers....I had ordered 2 items but received only 1...when I
                called the delivery guy he says the said item was not available
                in the store...I had done online payment....it's not my problem
                if it's not available in the store....if u are unable to get it
                then give my monet back.....</t>
  </si>
  <si>
    <t xml:space="preserve">Surprisingly the change in app seems to have impacted the
                deliverable locations as well. Now things seem to be back to
                normal.</t>
  </si>
  <si>
    <t xml:space="preserve">Been a blinkit user since it was called grofers and tbh I never
                ever have had any issues. But from last couple of months Jaipur
                blinkit is not being able to deliver most of the orders I place
                and taking more than 30mins for order completion. And when asked
                about it all delivery partners and staff start making excuses
                and empty promises. Really disappointed.</t>
  </si>
  <si>
    <t xml:space="preserve">Overall experience is good but i find that your cash on delivery
                option is always invalid unlike other quick delivery apps.u
                should open up this as an option specially for senior citizen
                who cannot handle UPI payments</t>
  </si>
  <si>
    <t xml:space="preserve">A very good and one of the best apps for instant delivery and I
                prefer to use blink it during emergency. The reason I give it 4
                stars is few more things should be added to it.</t>
  </si>
  <si>
    <t xml:space="preserve">The worst delivery app ever. My order is stuck for the last 1
                hour. The delivery agent is not responding. There's no customer
                support. The chat support is not helpful at all. It's not even
                letting me cancel my order. If the Zomato CEO is buying his cars
                from frauding people like this, then god bless his soul in hell.</t>
  </si>
  <si>
    <t xml:space="preserve">It's great to have a app that delivers products in 13 mins and
                it has many imported items like prime , mctivites etc... it has
                a option "to notify" which makes feel confidence and many
                recipes</t>
  </si>
  <si>
    <t xml:space="preserve">Blinkit becomes part of life. Rather it is becoming a phrase
                "blinking it", means complete any task within 10 minutes. Just
                like Nike's "just do it". No need to memorise list of groceries
                and going to kirana. Just order and enjoy. Thanks for making
                life silky.</t>
  </si>
  <si>
    <t xml:space="preserve">Be careful while ordering, cos once an order is placed you will
                not get back your money, you will receive a blinkit coupon and a
                timeline within which you have to spend it on blinkit no matter
                what. Think twice before placing an order !!</t>
  </si>
  <si>
    <t xml:space="preserve">I have not received my refund for the product that didn't send
                me after deducting my money. I tried to contact them, but
                nothing has been done. No delivery executive contact is been
                given anywhere...it's a very bad customer service to not refund
                the amount of unavailable product.</t>
  </si>
  <si>
    <t xml:space="preserve">Grocery delivery is good. But need to improve the fresh
                vegetables delivery, quality of the vegetables are not good plus
                need to maintain the cost according to local market, so that
                buyers get offers, you can't take same price for vegetables in
                all areaà¥¤</t>
  </si>
  <si>
    <t xml:space="preserve">Amazing but there's one thing they should fix. so I ordered
                something with cash on delivery but I canceled it, a day after I
                tried ordering again with cash on delivery again but this time
                it said disabled. I contacted them and they told me that I had
                to use another payment method to enable that again. I have just
                one question...........WHY?????</t>
  </si>
  <si>
    <t xml:space="preserve">Worst instant delivery app...believe me atleast for fruits or
                vegetables avoid buying from here....I wanted to give minus
                stars but there are no options for the same...let me summarise
                my last 10 orders....mangoes delivered wrong last 4 time
                different breed...rotten and returned for refund....ordered
                apples....rotten again but this time it came half the quantity I
                ordered...no standardisation....please avoid ordering or you may
                try other apps</t>
  </si>
  <si>
    <t xml:space="preserve">I am continously using this app from past 2 years. It's very
                easy to use and I get my deliveries on time. The riders are also
                very professional.</t>
  </si>
  <si>
    <t xml:space="preserve">It's great like I was ordering earphones from Amazon but it's
                showing that it will take 2 days for free shipping but if I want
                it today it says 90rs extra charges but in blinkit i got the
                same earphones at same price in 20 min that's a huge difference
                hats off blinkit ðŸ¤›</t>
  </si>
  <si>
    <t xml:space="preserve">I don't even know how they are still in market after doing fraud
                activities continuously i ordered three times from their end,
                they end up sending poor quality product everytime and they
                don't have chat support no agents are available everytime they
                reply with only one note we have surge, useless and fraud
                company in market.</t>
  </si>
  <si>
    <t xml:space="preserve">i have ordered amul kaju katli from blink it and I paid full
                amount they sent the product but it's going to expire in 10 days
                i would never suggest this app to my friends and family because
                they are ready to send about to expire products to people really
                worst service</t>
  </si>
  <si>
    <t xml:space="preserve">Never order fruits or vegetables from this app. Everything is so
                shady and blur, they first show that item will weight from 400
                to 600g, then they send item which is less than 250g and when
                raised the issue they are asking me for the proof. When I asked
                the same from them, they are saying only I have to provide the
                proof because store don't capture any proofs. They are doing all
                such frauds behind the scenes. This business is soon going to
                shutdown if all such fraud things will happen.</t>
  </si>
  <si>
    <t xml:space="preserve">I ordered some items on 31.10.24, but it was cancelled from
                blinkit, and today is 5th November and still I don't get refund,
                but blinkit application showing "refund completed". And worse
                customer care service, ever. I think this is my first one Star
                rating, sorry blinkit.</t>
  </si>
  <si>
    <t xml:space="preserve">While I love the app, they have recently started editing the
                order by themselves when orders are out of stock. Their app
                won't show u the items are out of stock. Nor will their customer
                support let u get help for it.</t>
  </si>
  <si>
    <t xml:space="preserve">Experience is good but disappointed with the carry bag. Whenever
                I receive the order the carry bag is torn always. Please work on
                it as all the items get scattered at the gate itself.</t>
  </si>
  <si>
    <t xml:space="preserve">This is poor service from your team. I received a fake order
                parcel, and I am not happy with it. I have now deleted the app.
                I have requested a refund many times, but I still haven't
                received it after a long time.</t>
  </si>
  <si>
    <t xml:space="preserve">Haha this is hilarious.....I have tried to place order three
                times now and all three times my order was canceled without any
                apparent reason..............today I placed an order, it got
                packed, the delivery boy called and asked me about the address
                too, and then in a blink the order was canceled. What the hell
                is wrong with you guys????</t>
  </si>
  <si>
    <t xml:space="preserve">I received mathri box which is literally "sila hua" damped and
                lack crunchiness. It's under 7 day return policy. I have been
                told by customer support to share pictures . In pictures, you
                cannot judge that the product tastes bad. They declined my
                refund request based on the picture. Also, the product received
                was close to expiry date (just 15 days). I would not suggest
                anyone to order from blinkit. It's a lot hassel in case you
                receive bad quality product as they don't have fair policies.</t>
  </si>
  <si>
    <t xml:space="preserve">Pathetic customer service. No human interaction and only bots.
                No option for refund for faulty products. They inflate prices
                and shows discount which is eventually expensive than market
                price. Now blinkit also steals in wights while purchasing
                vegetables. Ordered a kilo potato and onion and they gave only
                800gms</t>
  </si>
  <si>
    <t xml:space="preserve">After selecting to leave the package at the door.. They still
                call u every time for address.. We should explain every time...
                And sometimes order is not given in the bag... They just
                handover the items to your hand</t>
  </si>
  <si>
    <t xml:space="preserve">Pathetic service. Waited almost 20+ minutes for the order. Have
                to walk 500 meter to get the order. Received product in bad
                condition. Customer support are worst. Adamant. Denying for
                everything ðŸ‘Ž</t>
  </si>
  <si>
    <t xml:space="preserve">I ordered many items (including Sharma Ji ka Multigrain Atta)
                from this app on 31st October 2024 but while taking the parcel
                the atta item is missing from the parcel, I asked the delivery
                boy (Mr. Akash) why? So he told me that he doesn't know and
                please talk to customer care or take help from your order app.
                This app is not refunding my money or still I haven't received
                that atta item. Please don't ordered from this Blinkit app
                because They are fraud. Show more 359 / 5,000</t>
  </si>
  <si>
    <t xml:space="preserve">It's good to get the items at doorstep.. But the rates are very
                high for vegetables as compared to market.. The reason cannot be
                just because of fresh vegetables</t>
  </si>
  <si>
    <t xml:space="preserve">Good quality of products but some items description is mentioned
                wrongly and misleading. After complaining it again but still
                description is not corrected yet. So that needs to be fixed, I
                called customer care but there support system is pathetic they
                can't even understand the concern and I am also not able to
                escalate the issue to senior management, that is why I am
                posting here now.</t>
  </si>
  <si>
    <t xml:space="preserve">It is a very useful service. The delivery is always early and
                everything has become convenient with Blinkit. Thanks for the
                amazing service.</t>
  </si>
  <si>
    <t xml:space="preserve">I think it's the one of the best online shopping platform to buy
                product instantly. Good Service with well trained staffs and
                customer support team and also they are providing branded /
                Quality products with reasonable price. compare to other Online
                Shopping sites like Amazon, Flipcart, Jio,Big Basket and City
                mall Blinkit Customers care Support is best of all of
                themðŸ‘ðŸ‘ðŸ‘ðŸ‘.</t>
  </si>
  <si>
    <t xml:space="preserve">They are taking extra charges as handling charge delivery charge
                and other zepto is far better. And don't even provide option for
                cancellation within 5 min of order....</t>
  </si>
  <si>
    <t xml:space="preserve">Delivery charges are too high. They don't provide low charges or
                free delivery like all other online shops on ordering above 500
                or some more. It's ok when they were charging 4 to 5 rs but now
                they charge 20 rs approx. I have uninstall it and not going to
                order from it any more.</t>
  </si>
  <si>
    <t xml:space="preserve">Your delivery charges and surge charges are too much...we don't
                like these useless charges there is no use of discount given in
                menu because u cover all payments in these charges so stop using
                extra charges,charges must be in limits for example if I ordered
                product of 100 rupees that product costs me 145 + so nothing is
                profitable for me Secondly you said delivery in 10 minutes, I am
                ordering from last month everytime it takes 20 to 25 minutes for
                delivery..plz improve the timings</t>
  </si>
  <si>
    <t xml:space="preserve">I received a wrong product for which they did the refund in
                promocode which I couldn't use as there is no option for
                promocode redem during payment, can't understand why they didn't
                refund me through my payment method. Felt cheated ðŸ˜ž</t>
  </si>
  <si>
    <t xml:space="preserve">Best service as compared to other grocery apps and has more
                variety. Always on time. Happy with the service.</t>
  </si>
  <si>
    <t xml:space="preserve">Worst if you are ordering any item. Commitment won't be
                fulfilled despite the return policy available. Think twice while
                ordering, if they sent it &amp; you tool delivery then it's your
                fate what you ordered &amp; received!</t>
  </si>
  <si>
    <t xml:space="preserve">There were additional charges levied in the name of Paltform
                fees, on Zomato app I have got Blinkit coupons multiple times
                &amp; when I placed the order today using Blinkit app there were
                no coupons available. Definitely pathetic experience</t>
  </si>
  <si>
    <t xml:space="preserve">Totally Disappointed., Delivery takes more than 10 minutes, free
                delivery is a scam, only 1st few orders are free then they start
                giving customer's target purchase amount for free delivery....ðŸ™</t>
  </si>
  <si>
    <t xml:space="preserve">Awesome service.the accuracy of the delivery is same as the name
                of the app. Good quality of the products, reasonable and
                affortable prices .simply one can opt it. especially for a
                working officials this particular app saves lot of time.</t>
  </si>
  <si>
    <t xml:space="preserve">This is a very good app for incredible fast delivery of food or
                any type of items they also have many sections and variety of
                items and it is worth it because of its cheap prices and fast
                delivery</t>
  </si>
  <si>
    <t xml:space="preserve">I have been a regular customer. Blinkit takes Rs12 as delivery
                fees even if cart value is more than 199. While if I use my
                another number from which I have ordered very less, Delivery
                fees is zero. This discriminatory behaviour and price
                manipulation is unacceptable. And I have decided to boycott
                Blinkit from now.</t>
  </si>
  <si>
    <t xml:space="preserve">Blinkit is such a helpful platform. Delivery of grocery in just
                minutes at doorstep. Everytime got fresh vegetables and fruits!!
                This review I'm giving after trying blinkit and my experience
                till now is amazing! Keep up!!</t>
  </si>
  <si>
    <t xml:space="preserve">They're good for usual stuff. But at critical time when you
                order a gift, they have a 100% failure rate where they bring a
                damaged or wrong item.</t>
  </si>
  <si>
    <t xml:space="preserve">Poor quality gift items are kept in the store. Ordered 2 kids
                items today both had poor packaging, something you will never
                buy if see in front of you. Even after showing the video of the
                product they need uncertain time to make decision on
                refund/return.</t>
  </si>
  <si>
    <t xml:space="preserve">I've purchased an item trimmer and I've to return it back
                because of default peace and it was rs 850 rs and blink it
                message you'll get cash back but blink has no customer number
                and they didn't have proper manage system. So be careful you'll
                not get your money back</t>
  </si>
  <si>
    <t xml:space="preserve">Good variety to choose from and delivery is on time or before
                time..prices are extremely fair and drivers are very
                nice...would 100 % recommend this app..I love it!</t>
  </si>
  <si>
    <t xml:space="preserve">The delivery charges are getting higher and higher
                nowadays.....what's the point of having this kind of app if I
                cannot order something little or smaller amount without having
                to pay same amount of delivery charge as the product.... please
                do something about it so I can order more frequently</t>
  </si>
  <si>
    <t xml:space="preserve">I just placed an order but wrong address. Within seconds i went
                to cancel it. But no no no blinkit doesn't value its customers.
                It didn't even connect me to an agent to speak.</t>
  </si>
  <si>
    <t xml:space="preserve">Blanket is such a great application of ever used they just
                deliver anything anywhere at just 12 minutes so that's just
                amazing I have just started using blanket and it's just giving
                me a very great Experience so I am suggesting you to definitely
                use it</t>
  </si>
  <si>
    <t xml:space="preserve">It's actually very helpful for the working professional who
                doesn't get time to go out bring groceries. It's just 10 min
                solution to every needs. Thank you blink it.</t>
  </si>
  <si>
    <t xml:space="preserve">Great app, quick service. I wish they could include spend
                tracker or at least allow a financial statement to monitor
                monthly expenses.</t>
  </si>
  <si>
    <t xml:space="preserve">It is a very fast grocery app from were we can get all the
                things we need. And also, my papa say that why do I go outside
                and buy groceries when you have blinkit. He is now really
                becoming lazy and keep it up. From Aarna</t>
  </si>
  <si>
    <t xml:space="preserve">It's really banificial For us... This app is very useful and
                helpful... When all the relatives in the house fell ill and even
                the policeman became helpless to get service, we wondered how to
                tell someone... we got a lot of help from this app #blinkit...</t>
  </si>
  <si>
    <t xml:space="preserve">Fast n reliable. Early morning delivery. Many thanks to your
                delivery partners who helped me so much during my stay in
                Hyderabad when I was unwell and could not move out. Pls add a
                feature to update order if a few items could not be delivered
                due to stock unavailablilty. Pls add feature to refund or
                exchange if some product clears certain conditions as may be set
                by you. Thank you. Deepawali wishes to you all</t>
  </si>
  <si>
    <t xml:space="preserve">They deliver very close date of expiration product as well they
                don't even return that. half of the product are costly they
                don't even keep small amount product. There delivery timings are
                not as showing.. late delivery</t>
  </si>
  <si>
    <t xml:space="preserve">Can't order big quantities from blinkit because they have a rule
                that they'll either deliver on ground floor or they require
                lift. I live on the first floor and hence I am not qualified. 2
                men deliver 4 bags but they refuse to help me till 1st floor.
                Sorry team ... you may have done customer acquisition in numbers
                but you still are a big zero with customer experience</t>
  </si>
  <si>
    <t xml:space="preserve">Actually very very fast delivery and that also free of delivery
                charges, nice one I liked the service of blinkit very much. They
                deliver everything at anywhere in just few minutes.</t>
  </si>
  <si>
    <t xml:space="preserve">I ordered a product from amazon by making an advance payment and
                at the last moment they cancelled my order which was a very high
                ppriority one and then i looked for a delivery app and found
                blink it And this was a savior for me Recieved the package
                within 7 mins Thanks so much 5 stars for delivery and product</t>
  </si>
  <si>
    <t xml:space="preserve">Very fast n proper, secure delivery, easy payment method, quick
                return of money if anything is missing from store. Even delivery
                boys not disturb much by calling they easily track ocations. Vry
                time saving app.</t>
  </si>
  <si>
    <t xml:space="preserve">Hi all, This is the worst service which I have seen, these
                people send delivery partner who's phone pay and Google pay
                don't work, where I have paid twice to the delivery partner. And
                now blinkit is claiming they will not pay my amount which I
                paid. This is a scam. Please be alert with this service.</t>
  </si>
  <si>
    <t xml:space="preserve">Pathetic app I just downloaded this app and I can see that I
                cannot login OTP is not being generated I think they blocked my
                account I don't know how can my account be blocked when I never
                ordered from this app since it was not available in my location
                now when it is available in my location and I trying to login my
                account I am unable to do so. Worst app ever seen . Won't
                recommend anyone.</t>
  </si>
  <si>
    <t xml:space="preserve">The app is good and no complaints. Just one thing would be a
                bonus , if you add compare section for mobile accessories. It
                would be better.</t>
  </si>
  <si>
    <t xml:space="preserve">Amazing app!!! Live saviour. But one drawback charge a little
                extra everytime on dilvery either it is 4 rupess or 5...after we
                add a proper amount of free delivery. Should work on this.</t>
  </si>
  <si>
    <t xml:space="preserve">Please don't use the this app Written policy is very worst and I
                had never seen such like policy in my life I have purchased a
                item and i ant to replace it but they denied to replace the item
                I suggesting to purchase daily basis item from you near by which
                you can replace easily</t>
  </si>
  <si>
    <t xml:space="preserve">Blinkit team is not reliable and honest. I ordered 5 silver
                coins from them and it was promptly delivered, but one coin was
                tarnished/corroded. I asked the delivery boy and he said to
                raise a ticket for return/exchange. I tried doung it but
                everytime I was told that concerned team will look into the
                matter and resolve it in next 24 hours. Despite 3 days of
                follwing up and repeated complaints, no action was taken and I
                am stuck with a defective corroded coin. Not done. Highly
                unprofessional.</t>
  </si>
  <si>
    <t xml:space="preserve">The worst ever app coz u will receive all expired orders. So
                they send soon and deliver off the products.when you raise a
                chat support it tells u still have time to use and just stop the
                conversation and it's ended.so please don take the products ftom
                this.instead plz go to shop and purchase atleast u can check and
                contact someone when you take the products.</t>
  </si>
  <si>
    <t xml:space="preserve">Useless app. Don't buy anything from this app. All electronic
                gadgets are in poor, damaged, defective condition. No return or
                replacement or refund for any product. Useless customer service
                support. No voice support only chat. You car get any solution
                for your damaged or defective product. Don't waste your money, u
                can't get it back if the products are damaged or defective. Be
                aware of their return and refund policy.</t>
  </si>
  <si>
    <t xml:space="preserve">Cannot connect to the support for anything Update: Was able to
                get in touch with support and the issue was resolved. However,
                it took almost 24 hours to get in touch with the support as no
                one was available.</t>
  </si>
  <si>
    <t xml:space="preserve">Happy with Blinkit, order received on time. Only one Cons side
                here additional handling charge with delivery charge. Why 2
                charges ? if there is already a delivery charge then should not
                additional handling charge, when it will resolve will give 5
                star then.</t>
  </si>
  <si>
    <t xml:space="preserve">I had ordered 5 items 1 item is missing.but the blinkit even not
                confirm it that item is not available....when I call to the
                customer care then they said, ok the item is not available I
                will refund it....but my concern is if item is not available
                don't accept it or initiate refund automatically same time......</t>
  </si>
  <si>
    <t xml:space="preserve">Instant delivery, makes life easy. Thank you Blinkit for making
                things easier for the people. Anytime just order, eat and serve
                the guests smoothly.</t>
  </si>
  <si>
    <t xml:space="preserve">I order 3 or 4 times every time the product received is damaged.
                I can clearly see dust on the product and they don't even take a
                pain to clean it before delivery. Worst app ever seen.</t>
  </si>
  <si>
    <t xml:space="preserve">It's Very Easy for everyone if you are not able to going to
                outside take some groceries ya anything. But it's more expensive
                application.</t>
  </si>
  <si>
    <t xml:space="preserve">Best part is that Entire range of groceries are available
                always. Only issue is delivery charges incurred every time.
                Otherwise Blinkit is best amongst all. Thanks</t>
  </si>
  <si>
    <t xml:space="preserve">Worst experience my distance from store was just 100 MTR. And
                was showing just 3 min, But more than half hour passed not
                delivered item delry patner not responding, It's worst service
                better but from swiggy instamart. Price is also less as compared
                to blinkit.</t>
  </si>
  <si>
    <t xml:space="preserve">The delivery is in time as shown and it's so good like when you
                are unable to go out but blinkit is the solution delivers the
                order within 10 min but the only thing I didn't like this that
                where is no cash on delivery option available always</t>
  </si>
  <si>
    <t xml:space="preserve">They have the worst customer service. They won't deliver few
                items ordered and never accept that the items were not delivered
                even after connecting with delivery partner. The store manager
                is even more irresponsible they never respond even to the
                customer care calls</t>
  </si>
  <si>
    <t xml:space="preserve">Unable to see images of products in the app. Tried uninstall and
                reinstall, but issue not resolved. Issue is with app and not any
                particular order.</t>
  </si>
  <si>
    <t xml:space="preserve">I am very happy with Blinkit. We can get anything we want. I was
                very upset about not finding items on other apps like Amazon or
                Flipkart but to my surprise Blinkit delivered it in minutes.
                Love this app.</t>
  </si>
  <si>
    <t xml:space="preserve">product photos does not load at all. There's no issue with
                internet connectivity. When I go to a product page, only then I
                can see it's photo.</t>
  </si>
  <si>
    <t xml:space="preserve">Very bad app just a fraud I made a order placement on 5 nov and
                the just after waiting for the order for about half hour which
                was supposed to come between 18 min it was cancelled due the
                unavailability of the iteam . And after that they said we will
                refund till 9 nov and the payment should reflect on your gp till
                10 nov but it's 25nov and I haven't got my money back</t>
  </si>
  <si>
    <t xml:space="preserve">Excellent app to get food and other items instantly. Max time is
                8 mins for me. I now never run out anything. Quality of items is
                also good most of the times</t>
  </si>
  <si>
    <t xml:space="preserve">Extremely poor customer service I received an incorrect item
                  in my order. On raising complaint to customer service, they
                  assured a replacement for the item, but the replacement never
                  came. After waiting for many days and calling multiple times,
                  they keep saying that replacement will come, but it never
                  arrived. At last, they said that they don't have it in
                  inventory and will refund me and take back incorrect item. But
                  this too didn't happen. And now they are not even picking up
                  any calls.</t>
  </si>
  <si>
    <t xml:space="preserve">This is the worst e-commerce site ever. Every time I place an
                  order, it is cancelled within a few minutes, even though the
                  products are listed as in stock. On the rare occasion when
                  they ship, a return request is generated on their own during
                  transit without the customer's consent, and the merchandise is
                  returned. If you do not wish to sell, simply shut down the
                  company. For all the issues they have just one answer
                  :"TECHNICAL ISSUE". What a pathetic experience!</t>
  </si>
  <si>
    <t xml:space="preserve">I am highly disappointed with the service. My first order,
                  which was of a lower amount, was not delivered within the
                  promised 30-minute timeframe and is still under process. This
                  delay reflects poorly on the efficiency and reliability of the
                  service. Such experiences make it difficult to trust the
                  platform, and I cannot recommend it to others. Promptness and
                  consistency should be prioritized, regardless of the order
                  value .</t>
  </si>
  <si>
    <t xml:space="preserve">App has become super slow. It takes much more time to add or
                  remove any article to the cart. There is no option to remove
                  article from the cart. Even it operates very slowly. Jiomart
                  is at very infant stage as compared to amazon or flipkart. I
                  am many times unable to avail the 10 % instant discount offer
                  even after it is available. There are many technical glitches
                  in application.</t>
  </si>
  <si>
    <t xml:space="preserve">Rating is just for the user experience of the App. As there
                  are lots of improvements need to be done. For eg. 1. While
                  searching for anything it shows irrelevant things other than
                  what I searched for. 2. There should be a different section
                  for hyperlocal delivery items from which I can browse for
                  different items that I can get faster. 3. App is not that
                  smooth or fluid. 4. Items takes much time to load even when on
                  high speed internet.</t>
  </si>
  <si>
    <t xml:space="preserve">Improve your UX and UI. Its a matter of shame for so called
                  market gaints who can't make a working, aesthetically designed
                  app. Areas to improve: 1. Next to nothing in filter options 2.
                  Lags and annoying loading time 3. Tons of coupon yet nothing
                  apply 4. Gimmicky interface 5. Ugly colour and fonts choice 6.
                  Address using maps doesn't work always 7. Search is not
                  perfect</t>
  </si>
  <si>
    <t xml:space="preserve">App shows Hyperlocal delivery for Groceries within 10 to 30
                  mins It's been more than an hour....Order is still Under
                  Process. No option anywhere within the app to Cancel the
                  order. And it connects to a Chatbot, which is telling to
                  Select the non-existent Option You can't even talk to Customer
                  care as they are only available between 8 am to 8 pm... First
                  and last time ordering from this app. Edit...got an Update
                  after 2 hr saying my order will be delivered on 8th Dec.. 2
                  days later. Peak comedy!!</t>
  </si>
  <si>
    <t xml:space="preserve">This is absolutely the worst delivery app. I placed an order
                  after seeing the estimated time as 10 - 30 minutes. It's been
                  7 hours and now they have postponed the estimated delivery to
                  within 2 more days! They are not providing an option to cancel
                  either. I've been trying to cancel since it passed 1 hr after
                  I placed my purchase. Never order anything from Jiomart!!</t>
  </si>
  <si>
    <t xml:space="preserve">My order keeps getting cancelled and the reason given is
                  technical issue. If these guys can't fulfill the order why do
                  they accept it in the first place. Other platforms are much
                  better. Customer care is hopeless too. The guy from customer
                  care keeps saying order got cancelled due to technical issue
                  and he doesn't have more details. Edit: I was told to send an
                  email for resolution of the issue and they again say
                  "Technical issue". Waste of time. These people are not
                  equipped to solve issues.</t>
  </si>
  <si>
    <t xml:space="preserve">I bought vegetables that were delivered 2 items were missing,
                  while bill showed that they were delivered. I informed
                  customer care they put the money in my wallet. I cannot use
                  that money while shopping as the app doesn't show the feature
                  which they told me. I placed another order &amp; received
                  properly but money is still in wallet, kindly refund it in my
                  account so that i start using Jiomart again &amp; make the app
                  user friendly. If possible add time slot option, deliver
                  everything fresh n good.</t>
  </si>
  <si>
    <t xml:space="preserve">The local suppliers either deliveres wrong products or poor
                  quality substitutes or do not deliver another product where
                  buy one get one free is there. They pack order and their
                  delivery partner doesn't allow to tear the package cover to
                  check the ordered items. Their app is such a way designed that
                  you cant place return request easily. You keep on pushing
                  "submit request", but it will never get submitted. So
                  basically it seems that they are doing intentional fraud and
                  cheating. Very Bad.</t>
  </si>
  <si>
    <t xml:space="preserve">It is the worst all to order your grocery from. I placed an
                  order in the morning and it showed that the order will be
                  delivered within 10-30 mins. It has already been 5 hours and
                  my order status still shows under process. When I called up
                  the customer care, she mentioned that they cannot cancel the
                  order from their end because the order is already under
                  process. She also mentioned that the hyperlocal service has
                  not yet begun due to which the order is delayed. Terrible
                  service!</t>
  </si>
  <si>
    <t xml:space="preserve">Very poor design. So many products will be listed, and the
                  moment you go to product details, it says not available for
                  your pin code. Why can't only the products available be
                  displayed based on shipping zip code? There are several other
                  bugs. I've been using it for almost a year , but nothing has
                  been fixed. Did not expect this from Reliance</t>
  </si>
  <si>
    <t xml:space="preserve">App is super slow. It takes 2 mins to add an item and to
                  remove 4 mins. And its not my phones issue, your app is worst.
                  Search doesn't work properly. Do not copy paste replies,
                  instead work on your app. Check your network connection,
                  switch off your cellphone etc etc are old reasons to not solve
                  user issues.</t>
  </si>
  <si>
    <t xml:space="preserve">JioMart's customer service is undeniably poor. Their delivery
                  timelines are significantly longer than other online
                  retailers. I've personally experienced this twice. In my first
                  order, I purchased three items and paid in full. After a
                  week-long wait, one item was missing upon delivery, claimed to
                  be out of stock. It's baffling how a professional company can
                  accept payment for an item that's unavailable. The refund
                  process took an additional two weeks. My second order was even
                  more frustrating.</t>
  </si>
  <si>
    <t xml:space="preserve">I've had a consistently disappointing experience with my
                  orders. Every time I place an order, there's always at least
                  one item missing, or I receive a damaged product, or the
                  quantity is less than what I ordered. This has happened
                  multiple times, and it's incredibly frustrating. I'm not sure
                  if the problem is with the store or the app, but either way,
                  the service needs serious improvement. Very disappointed!</t>
  </si>
  <si>
    <t xml:space="preserve">Edit - No i can't write a mail. If u guys r serious abt
                  customers then solve the issues, rather than asking 2 write
                  mails. No improvement except the look, keeps updating the
                  search items by itself. App user interface is a task in
                  itself. Sometimes it goes back to the homepage in one click or
                  doesn't go back at all. Prices are good but user interface is
                  a PAIN. It's better to go to the nearby stores instead of
                  getting a headache in order to save a meagre amount.</t>
  </si>
  <si>
    <t xml:space="preserve">Worst service. Many times they are cancelling orders without
                  proper reason and intimation. At the time of placing order it
                  will show that product is avaliable but later after some days
                  they cancelled order. In recent order some products are
                  missing and still app shows it as delivered. Ticket is raised
                  for this issue. But still no response for that.Also delivery
                  agent is coming late at night. It seems there is no proper
                  management and they are not much interested in customer's
                  need.</t>
  </si>
  <si>
    <t xml:space="preserve">Worst app. I have ordered recently from this app.... First of
                  all delivery time shows next day for items including veggies
                  too... By evening i got ordered delivered. But there was a
                  wrong item and one item was missing also.... I tried to
                  connect with the customer support but no results.... And about
                  the interface its horrible.... try only if you have time for
                  your whole life.... app keeps re-start itself.... It's a worst
                  app i have ever seen.... Doesn't recommend!</t>
  </si>
  <si>
    <t xml:space="preserve">Have been using for long and sharing experience after at least
                  10 orders. Most of the time prepaid order get partially
                  cancelled ( after taking full money) saying that stock not
                  available, not sure why they take order itself. Secondly if
                  they ship it in full, the delivery boys will bring some items
                  missing and claim that the refund will be issued later. looks
                  like a fraud that they are not able to control. Completely
                  disappointed.b not recommending to use at all and I am
                  stopping.</t>
  </si>
  <si>
    <t xml:space="preserve">After this last update there are many problems in this app.
                  This is an update or a downgrade. Earlier the pictures of the
                  items were clear and representative of actual product. Now the
                  many products are invisible after the update. Whenever we go
                  for the filter (low to high pricing) , it shows irrelevant
                  products. The previous version was far better. The available
                  product inventory is not updated regularly. Specially in big
                  cities , why the products are not available inter pincode .</t>
  </si>
  <si>
    <t xml:space="preserve">Does not allow cancellation after order is placed. Hyperlocal
                  delivery showed 2 days for delivery. When I tried to cancel,
                  the app and website did not allow cancellation. I called
                  customer service but they also said that cancellation is not
                  possible. The app shows the cancel order option but the button
                  does nothing. This is a fraud app. Better not to trust them at
                  all. I am going to uninstall.</t>
  </si>
  <si>
    <t xml:space="preserve">I ordered some products from the app and proceed to payment.
                  However, on delivery day status is showing as 'returned,' even
                  though I have not received any call from Jiomart. When I
                  contacted customer care, they suggested I make a new payment
                  and assured me that the payment for the previous order would
                  be credited to my account within 7 working days. This happened
                  2-3 times before I finally found a solution â€“ I just had to
                  uninstall the Jiomart app.</t>
  </si>
  <si>
    <t xml:space="preserve">Common! Spend a little and Have it designed by some
                  professional. It is quite frustrating to use this worst app!
                  Everything is fine! Network is super fast and handset is
                  working fine for every other app. Jut look into your app!
                  Returning to home page requires 15-20 click of back
                  button..... While it takes just one for other apps.</t>
  </si>
  <si>
    <t xml:space="preserve">Worst experience. They have cancelled a majority of my order
                  twice due to "short delivery". Their chat and support is
                  extremely slow to respond but keeps spamming me with "are you
                  connected" if I don't type something after 30 odd seconds. The
                  refund and complaint process is also extremely slow. They are
                  nowhere near their competitors.</t>
  </si>
  <si>
    <t xml:space="preserve">New review - They give you expired/broken products and then
                  refund in Jio wallet. This wallet is not available in payment
                  modes on both app and desktop website. They mention discount
                  on Twid payment. But that payment mode itself is missing.
                  Complete scam. Old review (still valid) - There is no way to
                  enter phone number for linking Paytm wallet. People can have
                  dual sim and may have different Paytm number. But they did not
                  feel the need to add a simple option to enter phone number.</t>
  </si>
  <si>
    <t xml:space="preserve">They don't have half hour delivery. I had to cancel the last
                  order after waiting for a considerable period of time. (I
                  bought the vegetables from outside, as i had to cook dinner).
                  I got email confirmation for the cancellation, but they came
                  to deliver the order NEXT DAY, at 9:45 pm! They could have
                  called and told me about the delivery re-attempt, but there
                  was no proper communication about delivery. It was my last
                  mistake to try to do buy things from them yet again. ðŸ™</t>
  </si>
  <si>
    <t xml:space="preserve">Its just the app that looks good. Most products are expensive
                  than in other platforms. You can hardly see delivery ETA while
                  ordering. Plus your order gets split into multiple parts and
                  every part had a different ETA. And some even take 8-10 days
                  to get delivered. Also their customer service executives are
                  rude too. These guys don't even know what quick commerce is
                  all about. Advertises that they deliver in 10-30 mins but they
                  can't. Kindly learn it from Zepto, Instamart, Blinkit &amp;
                  Big Basket.</t>
  </si>
  <si>
    <t xml:space="preserve">Worst Delivery Experience Ever I had the most frustrating
                  experience with Jiomart. I ordered household products, and the
                  app promised delivery within 10 to 30 minutes. However, the
                  delivery took a staggering 2 days, and to make matters worse,
                  the products still weren't delivered. When I contacted
                  customer care, they were unhelpful, stating there was no
                  option to cancel the order and offered no follow-up. This app
                  is completely unreliable. The shop is 1km away.</t>
  </si>
  <si>
    <t xml:space="preserve">Very bad experience. I ordered first time and I did not
                  received my hyperlocal deliver even within next day. It was
                  showing delivery in 10-30 mins. I ordered and paid in advance
                  also refund not issued. Don't have enough money to buy another
                  order. Very bad experience with jio. Also the app is not
                  working properly loading all time and lag issues. I suggest
                  people to use blinkit. It is far better and fastest.</t>
  </si>
  <si>
    <t xml:space="preserve">They don't deliver anything on time. They don't provide
                  support when u have missed items in ur order. I am following
                  up 1 week for missing items which cost around rs 1000, I am
                  not getting refund or I am not getting delivered missed
                  products too. Don't trust this app. This is being more than
                  week I raised complaint against missing items. But nothing
                  resolved. Most frustrating service</t>
  </si>
  <si>
    <t xml:space="preserve">Definitely the WORST groceries app with zero customer support.
                  So called hyper local delivery of 30 mins became 3 days for
                  me. No way to cancel the order also. What's the point of a
                  delivery app if it needs 3 days to deliver?? Do NOT INSTALL.
                  Customer support is pathetic and you'll lose all your patience
                  and money with them.</t>
  </si>
  <si>
    <t xml:space="preserve">Update1: Worst experience from app and customer support. There
                  is no way to cancel the order,neither from app, nor from
                  support. Support is saying that you just don't collect the
                  order then it will be cancelled automatically. Wow. App has
                  option but app don't cancel it. Waste app and support.
                  Update2: it seems developer didn't see my message fully. I
                  called customer care first on the same so called customer care
                  but strange part, they denied saying not able to cancel the
                  order.</t>
  </si>
  <si>
    <t xml:space="preserve">This app is very disappointing. It runs extremely slowly, most
                  items are out of stock, and orders are canceled from there
                  side without any valid reason. Even after placing an order,
                  they inform at the last moment that the location is in a
                  hyper-location zone. Itâ€™s just a waste of time</t>
  </si>
  <si>
    <t xml:space="preserve">Very bad experience... Half of items are not delivered...
                  Unorganised... App shows delivery with sharing OTP... Many
                  missing items.. After many updated updates no use.. still many
                  time many of the items are not delivered ... We started
                  restoring to FK, AZN other apps which are precise in
                  delivering items....</t>
  </si>
  <si>
    <t xml:space="preserve">Worstest Shopping one. I ordered for 13 items they only
                  delivered 11 items total cost was 526. Remaing two were cost
                  200 Rs. After the delivery person came, all the items packed
                  in a covered, believing all items were there I paid 526. After
                  I found 2 items costing 200 were missing amd that I paid 200
                  extra. I did chat with them on Jiomart app, they said for the
                  items that were not available that amount is considered as
                  servive charge. Worst fellows. Robberers. Cheaters.
                  Plunderers...</t>
  </si>
  <si>
    <t xml:space="preserve">The worst app ever. Very bad pricing and customer service is
                  the most worst thing. I'm trying to return a product from so
                  long but no proper response at all and very difficult to
                  connect to the agent for any queries. Never going to order
                  anything ever from this site.</t>
  </si>
  <si>
    <t xml:space="preserve">Very cheap service in Aluva..It's been 3 days since I ordered
                  the groceries and I still haven't received the delivery. The
                  delivery date has passed. Now when I look at the app, I see
                  that the delivery date has been extended.. When I contact the
                  customer care, the language is different.. I will never order
                  groceries from Jiomart again.. ðŸ™ðŸ¼</t>
  </si>
  <si>
    <t xml:space="preserve">This was the worst experience I ever had in using eny
                  e-commerce platform. They never deliver on time and always
                  cancel the order for reasons best known to them. Very
                  irresponsible company. Had I the option to give them minus
                  stars, I would have done that.</t>
  </si>
  <si>
    <t xml:space="preserve">It's like a scam..when we are trying to order one or more item
                  below 500 they'll reject our order after 1-2 days. If we
                  purchase bulk one or more items were missing,i complain it to
                  customer care and their response like it's normal we are
                  trying to repay you, repayment done before,i checked my
                  statement and nothing is credited till now no amount is
                  credited,loss is our loss only no sincerity in selling, very
                  bad service of jio</t>
  </si>
  <si>
    <t xml:space="preserve">Fake app. For 24 hours it didn't allow to login. Next day
                  tried to place order, on every product it is asking me to
                  select location. But after turning on the location it doesn't
                  recognise n Even nt allow to manually enter. Waste of time.
                  Don't download no use</t>
  </si>
  <si>
    <t xml:space="preserve">It says that my order will be delivered in 10 to 30 minutes.
                  It's been over an hour, no update whatsoever, unable to track,
                  no chat support, no customer support, no call support. Even
                  the number at store is a toll free number, so no contact.
                  Won't order from here again. Useless and pathetic app.</t>
  </si>
  <si>
    <t xml:space="preserve">Fraud Company: I ordered XXL and XL size thermal wear
                  products. However, they delivered only XL size product and in
                  the packaging, they mentioned both XL and XXL size products.
                  Also, they marked both products as delivered. I contacted
                  customer centre, but they are not giving proper response
                  inspite of giving all relevant information. This is really a
                  fraud company. Please do not order anything from this company.</t>
  </si>
  <si>
    <t xml:space="preserve">The return policy of JioMart is absolutely terrible. I
                  received a defective product and immediately applied for a
                  return on the very same day I got it. For the past three
                  months, their customer service has done nothing but give me
                  false promises without taking any real action. Despite
                  repeated follow-ups, there has been no resolution, and the
                  defective product is still lying with me. This experience has
                  been extremely frustrating, and I would not recommend JioMart
                  to anyone.</t>
  </si>
  <si>
    <t xml:space="preserve">Very bad experience with Jio, used it for u hr first time and
                  it's pathetic service I wanted to cancel prepaid oder on the
                  same day but it did not allow me to o cancel due to tech issue
                  which was confirmed by advisor also now half of th items from
                  the order is not available and i received directly refund and
                  not prior info given on that. Kindly cancel my entire order
                  and refund the paid amount</t>
  </si>
  <si>
    <t xml:space="preserve">The worst experience that one can have with online shopping
                  app. They promise delivery times that they can't meet. It's
                  impossible to speak to anyone on the phone. Their chats have
                  bots that run around on circles. I don't have words for my
                  frustrations</t>
  </si>
  <si>
    <t xml:space="preserve">Been a customer since the beginning of this app. Recently
                  delivered a broken product which was not visible during
                  delivery. Even if the product is not working, they asked me to
                  claim warranty from the company and did not replace/refund.
                  Guys please do not order from them anymore, amazon/flipkart is
                  far more better in return policies.</t>
  </si>
  <si>
    <t xml:space="preserve">They provided reliance prime credit card at 3000+18%gst ,
                  &amp; when I go to pay with it it doesn't gives 10% discount ,
                  the app isn't able to fatch the offer &amp; if mistakenly
                  fatched the payment got cancelled. When you launch any co
                  brand credit card please support card holders like tata neu
                  card does. Other wise it's called scaming to customer by
                  taking charge and not giving any value for it. Reliance is
                  worst then tata in the shoping experience &amp; for reliance
                  credit card holders too.</t>
  </si>
  <si>
    <t xml:space="preserve">The app accepts order for products which are out of stock. I
                  am facing that at the time of delivery multiple items are
                  missing and the delivery person asks for OTP even before
                  handing over the order, when you check there are items missing
                  and delivery person asks to raise the issue on app for refund.
                  Bad experience as they should automatically process refund for
                  items not sent in delivery.</t>
  </si>
  <si>
    <t xml:space="preserve">If you order an item, pay for it, and the price increases
                  before delivery, they will cancel it citing "technical error",
                  give you a refund and ask you to buy again at a higher price.
                  This has happened multiple times to me. Please be warned. This
                  is how they are scamming consumers.</t>
  </si>
  <si>
    <t xml:space="preserve">Very slow service than compitetor like Swiggy Instamart, Zepto
                  and Blinkit. No in-app order tracking features given. Takes
                  more than an hour to deliver the products after it has been
                  placed. Customers Care Chat feature in the app and via
                  WhatsApp is completely useless as it doesn't help in raising
                  the actual issue properly.</t>
  </si>
  <si>
    <t xml:space="preserve">Part of my grocery item were missing in delivery but invoice
                  it's showing and amount charged and Delivery boy refused to
                  check open the bag for correctness of product. Pls use other
                  platforms like Flipkart because theire primary business is
                  this one but for jio it's just a part of their business just
                  time pass and unprofessional service. If still want to use
                  this app then for every single item need create order so that
                  no item will miss.</t>
  </si>
  <si>
    <t xml:space="preserve">Use this app only for COD. Once the money is paid, the
                  delivery is no longer a guarantee. Three of my ordered items
                  were cancelled and i still have no clue, as to why it
                  happened. The app doesn't help in that. Of the three items,
                  refund was erected (after 5 days) and for one item, the money
                  is not refunded - it's a month already. Best options are
                  Zepto, Blinkit, Swiggy's insta mart.</t>
  </si>
  <si>
    <t xml:space="preserve">This app doesn't work. It shows areas for delivery, but
                  doesn't deliver. Refund shows the wrong amount, email Id
                  doesn't update to the customer service team. It's all just a
                  mess.</t>
  </si>
  <si>
    <t xml:space="preserve">Ordered items of one brand and getting them of other brands.
                  Not acceptable. Customer service is useless and close tickets
                  without resolution. Never observed this in other platforms, I
                  prefer this as it supports sodexo else I would have never.</t>
  </si>
  <si>
    <t xml:space="preserve">Very bad service. Some items are missing whenever the order is
                  placed. Then we have to make a request to their customer care
                  and convince them to get the money for these missing items. If
                  it is vegetable products, the damage will be more.At first one
                  or two items were missing, now up to 9 items are missing. I
                  would never recommend such an irresponsible app</t>
  </si>
  <si>
    <t xml:space="preserve">I ordered some item on 30 dec in morning but it is not
                  delivered yet in the night 8:45 and I had paid for that, there
                  is not any other option to connect with customer care in this
                  app, I didn't get any item and my money back and there is no
                  option for cancelling the order tell me what to do customer
                  care no. Is also not connecting</t>
  </si>
  <si>
    <t xml:space="preserve">Vegetable prices are low here compared to other grocery apps.
                  But the delivery is a luck based system. There is no guarantee
                  that it'll get delivered within the time mentioned in the app.
                  If you are lucky, you'll get it on time. Even if they don't
                  deliver on time, no option to cancel the order.</t>
  </si>
  <si>
    <t xml:space="preserve">I have not received the order. But your system shows it
                  delivered. How it is possible to deliver the item without
                  taking delivery code from me. It is a system fault or cheating
                  by the delivery rider. This is disgusting and painful to
                  customers ðŸ˜ž. It is a dent on high reputation of JioMart. It
                  appears to be the beginning of bigger fraud in deliverychain.
                  ðŸ¤”</t>
  </si>
  <si>
    <t xml:space="preserve">Even though I have purchased from Jiomart many times most of
                  time I faced issues.Sometimes small veg items went missing,
                  otherwise some items are not available after ordering. If you
                  are not in the city of nearby reliance smart store, order will
                  be delayed upto 3 days and those gettig delivered late in
                  night. Totally inconvenient approach. No use providing
                  feedback many times. 3 times they made my order undelivered
                  without any reason too after order confirmation on delivery
                  day.Pathetic service.</t>
  </si>
  <si>
    <t xml:space="preserve">Customer service and product delivery related so much problem
                  we are facing. I used jio mart in more than 4 years. Still
                  nathing improvement in Customer service and missing and wrong
                  item delivered in every order. Need to improve your service.
                  As of customer we have more than alternative open for my
                  location. Please try to improve your service.</t>
  </si>
  <si>
    <t xml:space="preserve">Its the worst shopping app. There is no proper customer
                  service. Every order is delayed for hours without any real
                  reason. Orders get cancelled from their end after many hours.
                  This is highly unprofessional of them.</t>
  </si>
  <si>
    <t xml:space="preserve">If there is a Negative Rating, that would have been more
                  suitable. Worst Service by Jio both at their store and on App.
                  I had ordered via Jio Mart during its earlier stages and it
                  was pathetic - Rotten Veggies were delivered. However I
                  thought they would have improved by now but there has been no
                  change. Their Delivery timeliness are unpredictable - while
                  ordering it says 60 minutes but once ordered delivery
                  timeliness get changed to 1 day and you have no option to
                  complain about it.</t>
  </si>
  <si>
    <t xml:space="preserve">jio mart's delivery service is worst among all the online
                  grocery service providers. It's delivery system is
                  unpredictable. Sometimes u may be lucky one to get the order
                  ontime but mostly delayed. If u really need anything in hurry
                  dont go for jio mart. Recently got 3 packet of expired milk
                  and it took 9 days to process the refund. However price
                  remains little less that other suppliers</t>
  </si>
  <si>
    <t xml:space="preserve">I am extremely disappointed with your service. I placed an
                  order for earphones on 27 Dec which was promised to be
                  delivered on 28 Dec. However, I received a false message
                  stating the delay was due to my unavailability. I raised a
                  complaint with customer care, and they assured me delivery
                  that night, but it did not happen. The same issue occurred on
                  29 Dec, and the delivery agent rudely refused to deliver,
                  asking me to pick it up myself. Despite my urgent need, the
                  product is still undelivered.</t>
  </si>
  <si>
    <t xml:space="preserve">Worst experience from last 2 orders. First they show that the
                  product is available on application but then the executive
                  calls and tell you that mam we have damaged pieces so we have
                  to cancel the order and then they cancel your complete order.
                  While on other hand you receive a message stating your order
                  has been dispatched. I am not able to understand what exactly
                  is going on here.my orders were cancelled due to
                  unavailability and issue at your end then you will process the
                  refund after 7 days.</t>
  </si>
  <si>
    <t xml:space="preserve">It was great shopping app before a couple of updates due to
                  availability of full range of regular brands in pulses, poha,
                  soaps, edible oils, detergents, biscuits, oils, rice, tea,
                  cosmetics etc but we now cant find even Parle-G, and who buys
                  1kg Poha for rs. 250/-. Cash on delivery option came back,
                  hence installed the app again but still missing almost all
                  regular brands on each category we usually like to buy and
                  trust since long.</t>
  </si>
  <si>
    <t xml:space="preserve">I really appreciate how they pack and deliver. mustard oil and
                  hit spray was double packed. Above was my old review, now they
                  are pathetic and service is worst. No update on order. Since
                  morning it is shipped whenever you call they say application
                  buy and not able to track order. Changing delivery boys.
                  Asking for cancel or receive order on ivr.</t>
  </si>
  <si>
    <t xml:space="preserve">The app is worst to the core ... Misleading users by showing
                  image with more quantity. But you get only 1 quantity.When you
                  try to return for the missing quantity, the delivery executive
                  will reject your package citing the product is not matching
                  with the image shown in app... For the past 1 month , I have
                  been talking with the customer care for my product to get
                  picked up.. Neither my product picked up nor the amount
                  refunded... Worst customer service... Horrible user
                  interface...Nevr recommend</t>
  </si>
  <si>
    <t xml:space="preserve">Such a worst app.. They say hyperlocal delivery initially, and
                  will deliver within 10-30 min, which will extend upto EOD.
                  Customer care people can't do anything in any way. They can't
                  even cancel the order. I trusted jio and placed prepaid order,
                  didn't get delivered even after 2 hrs. Contacted Customer
                  care, but they said to reject the items once the delivery guy
                  comes. But the delivery guy denied to do so, and marked my
                  order as delivered without my consent and OTP. I lost money
                  and product</t>
  </si>
  <si>
    <t xml:space="preserve">Very bad experience Few days back I ordered a weighing scale
                  but instead of it a lipstick was delivered and when I placed a
                  return request, the status of it only shows return processing
                  but no one come for its pickup. I called to their customer
                  care service 4-5 times, but they only keep filing my same
                  complaint again and again and say that the issue will be
                  solved in 3-5 business days, but no resolution provided yet!!</t>
  </si>
  <si>
    <t xml:space="preserve">This is the worst app i have ever used to order groceries. It
                  shows delivery in 10 minutes and they will deliver on next
                  day. This is the second time i am facing the issue. I called
                  customer support and they said we will definitely deliver
                  order before 9 pm. We don't have option to cancel the order
                  also. The last time i had terrible experience the order came
                  on next day and i was not available to receive the order and
                  the deliver guy started scolding me for not accepting the
                  order.</t>
  </si>
  <si>
    <t xml:space="preserve">The worst experience ever. Even after scheduling the delivery,
                  they are unable to deliver the products on time. There is no
                  information on their part why there is delay!!! Even when the
                  order is prepaid. Also there is no option to cancel. If you
                  cannot deliver on time, then what's the point of scheduling
                  the delivery?</t>
  </si>
  <si>
    <t xml:space="preserve">Totally not happy with the delivery service here. At this
                  moment(21/12/24) when I am writing this review I have not
                  received an order which was placed on 17/12/24 . In the app
                  interface it showed that my order will be delivered by 18th .
                  This is missed than I got another delivery date which was 20
                  th. But after repeated enquiry and complaint there is not any
                  result till now. It was a prepaid order . Totally disgusting.</t>
  </si>
  <si>
    <t xml:space="preserve">customer please never even give a try don't use this app.
                  total waste.. they give a call to resolve and no action will
                  be taken. without notifying they cancel the order.. not even
                  good for one rating. even in reliance store not much items are
                  there. other super market is coming up with Better service.
                  Delivery is toooo slow. Instead we can go and buy in store. My
                  orders reached me after a week that I ordered. That too after
                  repeatedly calling them. Hopeless app. No much items also.</t>
  </si>
  <si>
    <t xml:space="preserve">Iâ€™ve had terrible experiences with JioMart. Multiple times,
                  Iâ€™ve paid for items that were never delivered, with no prior
                  notice or refund. The products that did arrive were often of
                  poor quality and barely usable. Itâ€™s frustrating to deal with
                  such inconsistent service and lack of accountability. If
                  JioMart canâ€™t fulfill orders properly, they should at least be
                  honest about it. I wouldnâ€™t recommend this app to anyone
                  looking for reliable shopping."</t>
  </si>
  <si>
    <t xml:space="preserve">Very disappointed on the first order itself-ordered trackpants
                  for â‚¹500, app says delivered 3 days before expected, no call
                  from delivery agent or SMS message, attempted thrice for some
                  sort of resolution, nothing has happened, I just keep hearing
                  wait for 3-5 days. Please choose CoD or better yet, another
                  app for shopping. Terrible.</t>
  </si>
  <si>
    <t xml:space="preserve">Worst experience for groceries and fruit. The app says the
                  groceries will get delivered in 10-30 mins but once you order
                  you receive message that due technical issue your order is
                  delayed for 3 days. Also the app doesn't provide any
                  cancellation option. On top the refund takes 7 business days.
                  Hope they improve</t>
  </si>
  <si>
    <t xml:space="preserve">One of the most pathetic app. They don't have product then too
                  they take order . Once u place order they give u delivery date
                  of two three days then when delivery day comes they don't
                  deliver. Delivery date keeps on changing. After that product
                  automatically get return and they issue refund after kept u
                  waiting for 7-8 days. Worst app and worst store to buy groceri
                  products.</t>
  </si>
  <si>
    <t xml:space="preserve">Hello jio mart team... I'm using your app but can't logged in
                  app...while I click on sign in page then after OTP send
                  successfully but can't verify OTP and page is closed
                  automatically I have try this process 10 or 11 times but I
                  can't so how can I place my order without login</t>
  </si>
  <si>
    <t xml:space="preserve">This app is full of lies and false promises. They say it's a
                  hyperlocal 10-30 min delivery but the order is delivered after
                  2 hours or even next day. There is no cancellation option as
                  well. The customer support is only from 8am to 8pm and they
                  have no updates regarding the order, not can they cancel the
                  order</t>
  </si>
  <si>
    <t xml:space="preserve">Was Good but not now, i have never seen such a worst app in my
                  Life, dead slow, all search results are wrong, similar
                  products are showing irrelevant items Hi Developer, This is
                  not an order issue, please test the app in Jio Phone Next, you
                  yourself will find the difficulty</t>
  </si>
  <si>
    <t xml:space="preserve">I ordered a 3 piece kurta set but i got only 1 piece from that
                  set and i placed a return request and i returned the product
                  as well but i didn't get the refund from the past 4 days and
                  also in order status also not updated as i returned the
                  product it shows only delivered state and i contacted the
                  customer care twice they are saying 24 hours and 7 days and 10
                  days this is not correct they are responding neatly and this
                  is my first order from this app and this my worst experience</t>
  </si>
  <si>
    <t xml:space="preserve">I ordered 2 products and the estimated delivery date is over
                  by almost 12 days, which is really unacceptable. Other
                  platforms deliver within 3-5 days, but Jiomart has taken too
                  long. This experience is disappointing and this will be my
                  last order. I raised a query but received no informative
                  response. Worst experience.</t>
  </si>
  <si>
    <t xml:space="preserve">I really have worst experience using "JIOMART". I order my
                  products today but they cancel my one product saying that it's
                  not available. Like seriously if you don't have the product in
                  your store then why is it showing in the cart? And it's
                  showing that the cancel item money has been " REFUNDED " and i
                  haven't receive a single penny. This happen to me twice and i
                  still haven't received the money of the first one and it's
                  showing money refund. This is " Ridiculous ". No proper
                  Management.</t>
  </si>
  <si>
    <t xml:space="preserve">For those watching 10-30 minutes delivery. It is not real for
                  sure. I ordered on 17th and my delivery date is 18. So don't
                  fall for 10-30 minutes delivery. And moreover no customer
                  support. No cancellation of order support. Nothing.</t>
  </si>
  <si>
    <t xml:space="preserve">I have ordered for the first time on jiomart bypassing my
                  frequent grocery apps. But unfortunately the experience was
                  worst. Three orders place by me were cancelled by the delivery
                  partner. Within an hour of order placing, I got a call from
                  jiomart stating the order has returned by delivery partner and
                  subsequently cancelled by them. I don't think even they have
                  packed the items by then. Very bad experience from such a big
                  company.</t>
  </si>
  <si>
    <t xml:space="preserve">Complete scammers! When you cancel an order and request a
                  refund, they claim itâ€™s "successfully refunded" and even
                  provide a reference numberâ€”but it's just your original
                  payment, not a refund! Their delivery service is just as bad;
                  drivers ask you to come 1km away from your delivery address to
                  pick up your order. Why would anyone use their service if you
                  have to leave your home? Awful experienceâ€”never use them!
                  Youâ€™ll regret it.</t>
  </si>
  <si>
    <t xml:space="preserve">Dey show you products at cheap rate .. but never deliver the
                  products they keep on extending the delivery date and finally
                  cancel it on their own so you see a product at less price,
                  order it but you never get it. Jio Mart does gimmick with you</t>
  </si>
  <si>
    <t xml:space="preserve">Very bad experience Few days back I ordered a weighing scale
                  but instead of it a lipstick was delivered and when I placed a
                  return request, the status of it only shows return processing
                  but no one come for its pickup. I called to their customer
                  care service 4-5 times, but they only keep filing my same
                  complaint again and again and say that the issue will be
                  solved in 3-5 business days, but no resolution provided yet!!
                  Kindly do the needful.</t>
  </si>
  <si>
    <t xml:space="preserve">Very worst app, please don't use this app. If we return any
                  product on account of quality issue or on any other basis they
                  don't refund the amount they credit the same in jio mart
                  wallet and you can't use this amount for shopping on their
                  app. Very cheater company. Plj don't use this app for shopping
                  anything</t>
  </si>
  <si>
    <t xml:space="preserve">The worst app and facility I have ever used! They take the
                  order with assurance to deliver by certain date, keep on
                  changing the delivery date till you become disgusted and call
                  for cancellation (which is not available on the order page),
                  the order gets cancelled 'on your request '. What about the
                  time wasted in the process? I am not going to use it, neither
                  I recommend anyone to use it.</t>
  </si>
  <si>
    <t xml:space="preserve">Very worst shopping experience, worst shoping plateform,
                  delivery is always delayed some times for 10 days, after the
                  order, few items will be delivered and most of the items will
                  be delayed and after few days automatically cancelled. In
                  short either you will not get the items on time, mostly order
                  will be cancelled. Customer service is very pathetic. I have
                  experienced a lot and now I am not placing any order on
                  Joimart. It is better to order on other platforms. Ambani ke
                  naam pe kalank h</t>
  </si>
  <si>
    <t xml:space="preserve">Bad experience late delivery expired products no resolution .
                  I needed product on mentioned time of 15-30 minutes. Forget 30
                  mins, After placing order I waited 10 hours till night yet no
                  one came. Instead they change the delivery time to next 2
                  days. And best of all theres no option cancel the order too
                  after it is processed. Surprisingly the order came next night.
                  That even expired milk. When I raised complain, I got no
                  response and after 3 days they simply marked request as
                  resolved</t>
  </si>
  <si>
    <t xml:space="preserve">Have been ordering regularly for the past few years, but have
                  recently noticed that good brands are not listed... For eg, in
                  the detergent powder category, I cannot see Tide, surf excel
                  etc. Similarly, in the case of Chips, there are no pkts of
                  Lays, in ghee category, one can see many local sellers, not
                  the brandes ones.. And many more such examples. Pls look into
                  this issue.</t>
  </si>
  <si>
    <t xml:space="preserve">Payment is getting rejected via PhonePe, despite multiple
                  attempts. It's working everywhere else. Unable to see Wishlist
                  since more than 2 months. Please fix ASAP and include the
                  option to exchange product with different size at one go.</t>
  </si>
  <si>
    <t xml:space="preserve">Such a worst experience with Jio mart everytime we order.
                  Almost all of the times there's a product unavailability and
                  it doesn't get delivered. Secondly the products received are
                  expiry and have already crossed the due date. This kind of
                  carelessness is sheerly disappointing. The customer care
                  services are worst and it's really difficult to get to connect
                  with them over call.</t>
  </si>
  <si>
    <t xml:space="preserve">Name should be changed to WorstMart, I was a regular buyer but
                  nowadays it becomes worst online shopping platform, 90 percent
                  search grocery items are not available or higher price than
                  others and also ordered item delayed to deliver 3-4 days than
                  estimated, most of the products are near to expaire. Stopped
                  buying from this WorstMart</t>
  </si>
  <si>
    <t xml:space="preserve">Terrible Experience with JioMart App I'm extremely
                  disappointed with my recent experience on the JioMart app.
                  Despite making a successful payment, my order was not placed.
                  There's no record of a failed or pending payment in my order
                  history. I request the JioMart team to enhance their
                  application by incorporating more features and options to
                  address customer concerns. I urge you to reach out to me to
                  resolve this problem at the earliest.</t>
  </si>
  <si>
    <t xml:space="preserve">GodðŸ˜¤....... it is the worst app ever , never works no matter
                  how good the network is. Seriously fed up after a time period,
                  and don't even get me started on delivery people , at the
                  highest level of cringey and once you order some things it
                  cannot be cancelled at any condition. If you want to try it
                  believe me, just don't.....</t>
  </si>
  <si>
    <t xml:space="preserve">Unable to find items of my local. I tried everything but still
                  I see no items of my city whenever I'm trying to place an
                  order. I dunno what's wrong with your app. Whole month I tried
                  but no hyperlocal delivery items are found. Hence after this
                  review I'm uninstalling the app and will never install if
                  issue isn't resolved. Thank you</t>
  </si>
  <si>
    <t xml:space="preserve">I am extremely disappointed with JioMart. My recent order was
                  canceled without any prior notice or valid reason. I was
                  relying on the order to be delivered on time, and this
                  experience has caused unnecessary inconvenience.To make
                  matters worse, there was no clear communication about the
                  cancellation or compensation. This lack of professionalism and
                  poor customer service is unacceptable. I expected better
                  reliability from such a reputed platform. JioMart seriously
                  needs to improve its processesðŸ¤¬</t>
  </si>
  <si>
    <t xml:space="preserve">Worst service app I have ever encountered and the CUSTOMER
                  SERVICE is below 0. They do not know what they're doing and
                  they do not know how to treat their customers and provide
                  resolutions. WORST APP EXPERIENCE EVER. did not expect this
                  from JIOMART atleast. If the service was bad, atleast the
                  customer service must be eligible to provide resolutions, but
                  they have nothing to do.</t>
  </si>
  <si>
    <t xml:space="preserve">They send expired product then they have only 2 options for
                  raising complaint. Thru chat and their website. After logging
                  complaint they just mark it as "resolved". With no remarks
                  that how it is resolved, also they do not provide refund. Also
                  they mostly send kne or more items less in the order, they say
                  it was not available..if it is not available then it should be
                  mentioned while ordering. They definitely need to raise their
                  standards.</t>
  </si>
  <si>
    <t xml:space="preserve">Worst app ever and worst customer service. I ordered a vlcc
                  scrub it was damaged and I have raised complain for it no
                  resolution has been provided to me they just keep on sending
                  emails your issue has been resolved though no resolution has
                  been provided and now I am not even able to call the customer
                  service.</t>
  </si>
  <si>
    <t xml:space="preserve">Such a terrible app and customer support, i have order a sound
                  bar from them with prepaid order , and they automatically
                  cancelled the order without any reason When i reached out to
                  the customer support they have just keep on doing a copy paste
                  reply and ask me to reorder the product. When I ask them the
                  reason of cancellation they just reply reorder technical issue
                  copy and paste on chat, on email this is really terible Please
                  don't buy from them</t>
  </si>
  <si>
    <t xml:space="preserve">You'd think a shopping app would normally have a whishlist or
                  saved for later ,nope not here , This app is more than 10years
                  old yet looks like it was made by 10 years old , absolute pain
                  to go through the ordering process through all the bugs and
                  gitterriness.And their delivery process is even better
                  sometimes it comes next day other times you still see it in
                  packing stage three days later.</t>
  </si>
  <si>
    <t xml:space="preserve">The App has improved a lot. But I have suggestion. Can the
                  team add a fulfilled by Reliance stores filter to shower the
                  items that are available only in Reliance stores. It makes
                  searching very easy for the people who want to place orders
                  from stores</t>
  </si>
  <si>
    <t xml:space="preserve">Very bad, I had ordered milk with other items, at 6:18 PM, it
                  was mentioned that I will get the product delivered in 30
                  mins. It is 9:34 now and it is not yet delivered, also
                  customer service is very poor. No response, and support is
                  very poor. This is not the first time facing issues with this.
                  Earlier I had one issue with the bad quality dabur honey, I
                  had uploaded every details, the issue was not addressed
                  quickly, they took a long time to reply, and all time, they
                  were closing the request.</t>
  </si>
  <si>
    <t xml:space="preserve">Very bad experience, not delivered on time atlast moment
                  change the status to reschedule delivery, no option to cancel
                  the order. If you need help on chat , virtual assistant have 4
                  option only, always ask the same no matter what is your query.</t>
  </si>
  <si>
    <t xml:space="preserve">It has become worst.. they're accepting orders making it under
                  process for few days and order is only getting shipped after
                  raising request thru app. And in the end the delivery
                  associate doesn't deliver and put the returned remark.. In
                  between you have to continuously send emails for the updates
                  of the order. Disappointed with Jiomart. First they closed all
                  the nearby smart points and now Jiomart is also not working
                  properly.</t>
  </si>
  <si>
    <t xml:space="preserve">Edit: As you suggested I wrote to the mailid and I got same
                  reply stating as per the policy, resolution was accurate. It
                  is waste of time to report this issue further. So Happy
                  scamming !!! Deleting the account and installing the app.
                  Don't install this App.... Customer service is worst !! They
                  don't know anything, just says wait for 3-5 days. Ticket just
                  been closed after 5 days without resolving. Please don't trust
                  this app.</t>
  </si>
  <si>
    <t xml:space="preserve">shows hyper local while ordering and after ordering it becomes
                  a normal delivery order every single time. If the option is
                  not available don't show. And all reviews I scrolled I see 1
                  star and a generic response from the developer. Looks like all
                  fake reviews given to rate it higher by the reliance team.</t>
  </si>
  <si>
    <t xml:space="preserve">Disappointing Experience with Jiomart I recently ordered
                  groceries from Jiomart, but unfortunately, my experience was
                  subpar. Despite receiving a successful order confirmation, I
                  was later informed by Reliance Mart that the customer (me!)
                  was unavailable at home. What's disturbing is that I never
                  received a call from the delivery team to confirm my
                  availability. To make matters worse, there's no functional
                  customer care support to cancel or resolve the issue.</t>
  </si>
  <si>
    <t xml:space="preserve">Highly disappointed after making a purchase. No any direct
                  conversation is possible. Only system generated messages as a
                  reply. No any redressal of complaints. Only of seller's own
                  mistake, he rejected pickup. System generated customer care
                  number. I'll never recommend.</t>
  </si>
  <si>
    <t xml:space="preserve">Initially Jiomart was a good app, where a variety of options
                  were available and delivery experience was also good. Though
                  the product quality was not the best, atleast the delivery was
                  trustable. But recently I am seeing all the deliveries are
                  having a minimum of 2 missing items, and wrong products are
                  delivered. I have never got such an experience with any other
                  online app in my location, Jiomart is the first! Customer care
                  is really good for resolving the queries though, being a
                  saving grace!!</t>
  </si>
  <si>
    <t xml:space="preserve">Something wrong with this app. I call it their official fraud.
                  For last 10 times, I placed an order for premium fruits that's
                  supposed to be delivered very next day. No delivery happened
                  for 3 days. I raised a concern, they raised a ticket each
                  time. After that they generate delivery code and message me it
                  is getting delivered by evening. No delivery. At night, a
                  doorstep return message comes. Then apology message for order
                  cancellation due to technical glitch at their end and then
                  refund.Absurd</t>
  </si>
  <si>
    <t xml:space="preserve">Its job is to just sell the product to the customer and forget
                  about it. Its customer service is completely useless, firstly
                  there is no call option. I had ordered a product which expired
                  in two days, I got tired of complaining but my problem was not
                  solved. I will never order anything from this app from today
                  onwards. I am now thinking of giving an application in the
                  consumer court.</t>
  </si>
  <si>
    <t xml:space="preserve">Very disappointed...4 item missing from the shipment but there
                  is no refund recieved and in app complain showing as completed
                  but issue not resolved ðŸ˜• what is the purpose to bye something
                  from online store if you guys are denying to issue refund for
                  missing item ..people bye online groceries because of low
                  pricing and offers ðŸ˜” worst experience.</t>
  </si>
  <si>
    <t xml:space="preserve">Worst experience and misbehavior by delivery guy. I ordered
                  groceries from JioMart, which should be delivered in 30
                  minutes, but I didn't receive my order even after waiting 1
                  hour, so I called JioMart and asked them to cancel the order,
                  but they told me to cancel doorstep delivery. But when I told
                  the delivery guy to cancel the order, he started shouting who
                  would pay my petrol charges, and he denied to cancel the
                  order. Used many apps for groceries order but never faced this
                  kind of situation.</t>
  </si>
  <si>
    <t xml:space="preserve">This was the worst experience of online shopping I ever
                  had...the worst option in online shopping...the delivery man
                  cancelled the order and now I am not even getting the refund
                  soon it's showing refund completed on their app but it's not
                  credited to my account</t>
  </si>
  <si>
    <t xml:space="preserve">The Most unprofessional Delivery guys I've ever seen. They
                  steal stuff from your package every other order. If that's not
                  enough, they cancel the order without even attempting to
                  deliver and show it as failed delivery.</t>
  </si>
  <si>
    <t xml:space="preserve">Don't buy any electronic product from jiomart, they will
                  either send wrong product or they don't deliver and marks
                  delivered, and if you order something then order only by COD
                  and check the product during delivery then only pay. And
                  forget about customer service, its only for wasting your time,
                  they will keep saying that I am raising a complaint and issue
                  will be resolved but without resolving the issue they mark it
                  as resolved. Delivery executive from Xpressbees refused to
                  return the product.</t>
  </si>
  <si>
    <t xml:space="preserve">Worst delivery service I have ever seen. First time, I ordered
                  on jiomart. My products were cheese slice, burger buns and
                  refine oil. There are some problems I faced. 1) They send sms
                  of delivery received before sending actual product. 2) My
                  cheese slice was also missing in the package because there was
                  a small hole in the sealed packaging. 3) Burger buns was also
                  not fresh. So, quality of burger buns was so bad. Final
                  conclusion: Now, I will never order again on jiomart in my
                  life.</t>
  </si>
  <si>
    <t xml:space="preserve">I posted my review about the pathetic shopping experience I
                  had in September 2022. It's over 2 years now and instead of
                  improving customer experience on this app it has become more
                  worse than before. Shame on you people. I would never want to
                  use your app again as there are many many better options
                  available to me and million times better apps to order
                  whatever I need. Even after reading so many people's negative
                  comments nothing has ever been done on this app. Not worth
                  using your app seriously</t>
  </si>
  <si>
    <t xml:space="preserve">I dont know what to say, sometimes they are good and other
                  times they just do mischievous things, i hadnt got refund of a
                  cancelled order which i cancelled about 6 montgs back, now i
                  had ordered another product, and now they are telling new
                  deleivry date for second time, and there vendor is saying you
                  cancel the order. But if i will cancel it, then i am sure that
                  i will not get the refund.</t>
  </si>
  <si>
    <t xml:space="preserve">The interface of the application is very slow and glitches
                  quite a bit. Also at most times a product remains out of stock
                  for a very long time. Please fix it as I like using the
                  application</t>
  </si>
  <si>
    <t xml:space="preserve">Worst Experience.I ordered groceries amounting Rs 7000. They
                  split the order in to multiple orders. Then they cancelled
                  order amounting Rs 4718 saying they can not deliver so many
                  items in one single order. Also delivery partner person called
                  and asked to split the order in to 4 orders. Then they will
                  deliver the orders.Worst part is my amount got stuck as they
                  are saying as per refund policy amount will be refunded within
                  7 days. Now I can not buy groceries from local store. Don't
                  install app.</t>
  </si>
  <si>
    <t xml:space="preserve">Worst experience ever...they hire delivery agents without
                  screening.. Order is getting returned repeatedly without even
                  informing me.. You use grocery shopping apps to order grocery
                  from the comfort of your home and peace of your mind... God,
                  this app agitate the hell out of me..</t>
  </si>
  <si>
    <t xml:space="preserve">Bad experience from Jiomart. I ordered tissue paper to test
                  the service of jio Mart but I received one open packet.
                  Overall the external packaging is a very good but the product
                  is opened. But the timing of delivery is very good packaging
                  is also good. But I think service manager is not taking care
                  of the product that they send to the customer.</t>
  </si>
  <si>
    <t xml:space="preserve">I won't recommend to use this app or order from JioMart.
                  Complaint raised but without resolution they have closed it.
                  They have taken back the item but still refund is not
                  credited, you'll have to suffer if you order any items from
                  here. Worst service support. Not even deserve for single star.
                  Support, Senior and escalation team all are waste they won't
                  give resolution and won't solve the problem.</t>
  </si>
  <si>
    <t xml:space="preserve">Advertised delivery time is misleading and false. Very
                  unprofessional business policy and customer care team. They
                  don't understand what they say to the customer. My hyper local
                  delivery advertised with maximum delivery time of 30 minutes
                  is now over 6 hours and still not delivered. Kudos to Jiomart.</t>
  </si>
  <si>
    <t xml:space="preserve">One of the worst app by jio , order get delivered but some
                  items get miss ...and for that customer support team close
                  ticket without resolution and confirmation. Worst part is they
                  ask to check the details which are not available in app like
                  My Orders&gt;Need Help&gt;See previously raised
                  complaints&gt;View issues reported. You won't see previously
                  raised complaint . FALTU APP</t>
  </si>
  <si>
    <t xml:space="preserve">One of the worst in FMCG sector. Please do not order anything
                  from them. Better go for other trustworthy platforms like
                  swiggy or zepto where they deliver products as promised.
                  Ordered day to day routine stuff and they told will be
                  delivered in half an hr and now it's showing after 2 days. I
                  could have got it from nearby supermarket itself. Thought of
                  giving them a shot but proved to be not trustworthy</t>
  </si>
  <si>
    <t xml:space="preserve">You have removed the option to filter the product in
                  hyperlocal market which is kind of stupid ...add the filter to
                  select products available only in hyperlocal market...no one
                  has time to check the full List ...ðŸ˜ </t>
  </si>
  <si>
    <t xml:space="preserve">Worst ecommerce store is jiomart. Never purchase from here.
                  They provide all expired product. Worst product quality. They
                  don't even provide refund. Customer service is very poor. They
                  don't respond correctly. Just close this store. There are many
                  other options in market.</t>
  </si>
  <si>
    <t xml:space="preserve">Useless, use blinkit or Swiggy instamart instead of this app.
                  Was showing 10-30 min delivery...hyperlocal delivery.. still
                  it's 2 hrs, no one came to deliver.. you just wait if they'll
                  free and deliver your products.. if you are in hurry need to
                  order from other app or go to the market... Simply useless</t>
  </si>
  <si>
    <t xml:space="preserve">Bad experience.. it says 10 -30 min delivery but it's fake.
                  They fool us and we have to follow up for our orders.
                  Dissatisfied with service... No response from customer care as
                  well. Please improve and fix issues and then serve customer.
                  Poor management please think before placing order and make
                  sure you have much free time for follow up as well ðŸ˜•ðŸ˜•</t>
  </si>
  <si>
    <t xml:space="preserve">Worst quality veggies and fruits and price is high for the bad
                  quality. You would regret to pay that price for that bad
                  quality. When you raise a ticket or complaint to the customer
                  care by writing to them, they just close the issue without any
                  conversations or resolution. Its better not to buy
                  veggies/fruits/something which has less shelf life.</t>
  </si>
  <si>
    <t xml:space="preserve">Only purchase hyperlocal delivery item with open box never
                  purchase any other item. I have purchased weight scale but
                  received lipstick and now they don't have any helpline number
                  and upon return request delivery agent says we can't accept
                  the due to qc fail. They are trying to manuplate people and
                  wants to take money. Jiomart is a "CHOR" theif company.</t>
  </si>
  <si>
    <t xml:space="preserve">Ordered an item, I requested to return the item,Item scheduled
                  for pickup after 1 month after many calls,at last delivery boy
                  make unnecessary issue and not pickup the item .Now it is 3
                  months but no pickup of item has been done. very pathetic
                  service.</t>
  </si>
  <si>
    <t xml:space="preserve">Worst shopping app ever. Took back my return item and didn't
                  even give my refund back. Worst ever online shopping
                  experience. If there has been and option of giving zero, I
                  would surely have.</t>
  </si>
  <si>
    <t xml:space="preserve">Worst experience ever in online Grocery order. Platform shows
                  higher discounts and when i order product those only missing
                  form cart and helpline Simply take refund request they are not
                  having option to redespach the product. Not acceptable at all.</t>
  </si>
  <si>
    <t xml:space="preserve">Worst service I ever had, order takes a month to deliver but
                  they won't deliver on time, even some of my orders are not
                  delivered but i often get message as returned and some are
                  after few days they cancel by themselves,and sweets or food
                  items that they deliver have a expiry of last two days,couple
                  or my products were taken off but neither they don't respond
                  and refund the money, looting people money even it's not
                  replicating in the app as returned</t>
  </si>
  <si>
    <t xml:space="preserve">Unlike Zepto and other apps, this app delivers the orders in a
                  reasonable time and doesn't play tricks with customers. I am
                  sticking to this and flipkart Grocery for the foreseeable
                  time, the items we see are priced very reasonably. It would be
                  very helpful if we could actually schedule the delivery, but
                  since it usually takes 1 day to deliver, I just order stuff I
                  want on Saturday</t>
  </si>
  <si>
    <t xml:space="preserve">Worst "search" experience. When u search for an item, app
                  displays all other products except the one you are searching
                  for. Developers please work on your app.</t>
  </si>
  <si>
    <t xml:space="preserve">Customer support and delivery have gone down ðŸ‘Žfrom last 4-5
                  orders either their is missing item or they say item is not
                  available post order confirmation and payment debit and asking
                  for refund or products replacement takes more then 10-14 days
                  with no active customer support takes multiple follow up to
                  get money back. Done with ordering from Jio Mart there are
                  other options available Update 27/12/24 - Same issue again my
                  order placed 2wks ago is not delivered and no updated on
                  refund</t>
  </si>
  <si>
    <t xml:space="preserve">Horrible app , my order was supposed to come in 30 minutes
                  didn't arrive yet. I wanted to cancel it , but we couldn't
                  even cancel the order . Might as well pay extra on other apps
                  than use this..</t>
  </si>
  <si>
    <t xml:space="preserve">JioMart: A Masterclass in Disappointment JioMart, youâ€™ve truly
                  nailed the art of bad service. Promising 10â€“30 minute delivery
                  but taking over 3 hours with zero updates? Impressive! Your
                  customer support deserves a special mentionâ€”they couldnâ€™t care
                  less and told me to just return the order myself when it
                  finally arrives. Genius! Why solve problems when you can
                  create more? If you enjoy frustration and wasted time, this
                  app is for you. Bravo, JioMart, for setting new lows in
                  customer service.</t>
  </si>
  <si>
    <t xml:space="preserve">Poor service, they cancel order and say technical issue, there
                  delivery personnel don't even calls and puts status as
                  delivery rejected. Another delivery boy says they call me but
                  I didn't pickup, I never received a call, ordered same product
                  4-5 times, non of them got delivered. Trying to be flipkart or
                  Amazon? Lol, first learn to give proper customer service.
                  Delhi dur hai. JioMart nothing in front of flipkart or Amazon.
                  Even local market shopkeepers has promised delivery service.</t>
  </si>
  <si>
    <t xml:space="preserve">Worst delivery experience. I ordered in hyperlocal delivery
                  expecting the items in 30mins. But instead after waiting for 2
                  hours the delivery date itself changed to 2 days delay. Can't
                  buy the items in local shop also as I have already placed the
                  order and paid for it.</t>
  </si>
  <si>
    <t xml:space="preserve">worst service if you use it for your groceries only on my 1st
                  order get on time without any problem otherwise everytime in
                  my order gone something missing and some expires and sometime
                  gets delay not only that when your order will be out for
                  delivery it's gonna show failed delivery attempted just
                  because the person that ordered not in the given address
                  (bhale hi tum us given address par jhak marate raho). never
                  use for groceries .use Blinkit, zepto,swiggy instead of
                  jiomart atleast it's genuine.</t>
  </si>
  <si>
    <t xml:space="preserve">The customer care service is the worst. There are no agents
                  available, only bots and the bots are not at all useful. They
                  are not capable of solving the problem. I have encountered the
                  problem of missing items more than once and even filed a
                  complaint but there is no response from their side.</t>
  </si>
  <si>
    <t xml:space="preserve">The app is so slow, hangs, pathetic, and the Jiomart store at
                  Noida cancels paid orders back to back or deliver partial
                  goods only, but at the same time they even do not officially
                  reports for non delivered items, which messes up customers
                  life to run for refund. Their escalation team closes
                  complaints without resolution, or process refunds in Jiomart
                  wallet, denies money back to source account, which again
                  becomes a pain to utilise as the wallet balance doesn't shows
                  up on payment page.</t>
  </si>
  <si>
    <t xml:space="preserve">Every time I order something few of the items are always
                  missing. Later when I raise complaint issue is not resolved
                  promptly. And now this time it has been a blunder by Jiomart.
                  I have some amount and cash back pending in Jiomart wallet but
                  I am not able to login despite trying multiple times from many
                  days. Despite raising multiple tickets no use. They are not
                  resolving my issue. I guess due to complaints raised by me
                  related to missing items they have blocked my account.
                  Pathetic experience</t>
  </si>
  <si>
    <t xml:space="preserve">Its a scam site Horrible and buggy to browse Horrible delivery
                  service with wrong and replaced item on every order The
                  Delivery guys are the most annoying with so much attitude,out
                  of all the Delivery Services here in Hassan,Karnataka Customer
                  grievance call service is no where to be found on the app. or
                  other The AI assistant is garbage Being just patiently
                  shopping apart from all the issues,now i am out &amp; done.
                  Uninstalled Not buying again from Jiomart app.</t>
  </si>
  <si>
    <t xml:space="preserve">tooooo pathetic app even not ðŸš« worth for single star it's
                  opposite to another apps including all conditions like they
                  refund policy and coustomer service very very good but jio and
                  Reliance is opposite so be careful to shope, i done shopping
                  many time Flipkart, Amazon, Myntra, tatcliq they are excellent
                  ðŸ‘Œ also service never disappoint me, i deleted due to refund
                  reason my money is stuck in wallet can't use anywhere except
                  groceries then also have conditions should have to reliance
                  product</t>
  </si>
  <si>
    <t xml:space="preserve">Very bad experience ðŸ˜¡ I ordered the product but it was
                  cancelled by delivery agent after dispatch , I ordered again
                  same after dispatch the delivery partner cancelled . Why you
                  accept if you want to cancel . Very bad experience . I will
                  never order again And I live in hostel I will make sure no
                  body order . Very unhappy .</t>
  </si>
  <si>
    <t xml:space="preserve">Whenever you order, they are always short of one or two items.
                  They don't mention that they were out of stock but they put it
                  on customer that customer had returned. Their delivery agents
                  are liar. Why would I return the item if I have ordered it.
                  Don't even deserve a star.</t>
  </si>
  <si>
    <t xml:space="preserve">One of the worst service provider that I have ever went
                  through. They are providing false and fraudulent information
                  about the delivery timelines and after making the order the
                  delivery time is changing from 30 minutes to 2 whole days.</t>
  </si>
  <si>
    <t xml:space="preserve">Good service improvement changed my rating to 5 stars
                  â­â­â­â­â­ for free and fast delivery and products are
                  available at reasonable prices best shopping app. Also,
                  there's a little problem that the app is kinda slow like it
                  takes some in loading cart and previous orders.</t>
  </si>
  <si>
    <t xml:space="preserve">Nice services. Items received through fast delivery were in
                  safe condition. I'm deducting one star because of the
                  confusion in selecting offers and coupons. The application is
                  very tricky and time-consuming process of selecting which one
                  would be applicable. It is required to be user friendly.</t>
  </si>
  <si>
    <t xml:space="preserve">Wow, JioMart, hats off for redefining customer experience!
                  Ordered groceries, waited eagerly, and voilÃ â€”a cancellation
                  email with 'unforeseen circumstances' as the cherry on top. No
                  explanation, no alternatives, just my time wasted. Truly
                  innovativeâ€”cancel first, ask questions never. Can't wait to
                  see what other 'unexpected surprises' JioMart has in store for
                  loyal customers like me. ðŸ¥‚</t>
  </si>
  <si>
    <t xml:space="preserve">We cannot scroll continuously for a particular product
                  category. Example, if we need to search for detergent the list
                  is not continuous and then there is no way to look back the
                  previously loaded items.</t>
  </si>
  <si>
    <t xml:space="preserve">They are literally not delivering our products Its literally
                  groceries and it's taking so much time They keep changing the
                  delivery time This is seriously ridiculous I never received
                  the order and only got like 20% of my refund this is such a
                  scam I paid almond 4k for the products didn't recive the
                  products or the money This is worst service I have received
                  while buying products online.</t>
  </si>
  <si>
    <t xml:space="preserve">Total fraud.. they take payment and do not deliver your
                  product. Don't buy from jiomart go for any other option(this
                  was last year's review) this year again they did the same..
                  took payment and its been 15 days and yet not delivered my
                  product. Customer support are very rude and they totally
                  neglect our query.</t>
  </si>
  <si>
    <t xml:space="preserve">Fraud app. It's showing from past 6 days that you will get
                  order now. I ordered on 3rd November it was showing that it
                  will be delivered by 4 November. I am waiting and waiting till
                  now. On 6 November I got a call that your order was delayed
                  and it will be delivered to you by the end of 7th November.
                  But now it's 9 November and still not delivered. The app is
                  showing that it is arriving on 6th November when the date has
                  already gone</t>
  </si>
  <si>
    <t xml:space="preserve">Kindly don't show me that product unavailable in my address,
                  it's time wasting and irritating us to switch other shopping
                  site and your app is very slow, customer care not respond to
                  solve customer issue, I think your seller are want only local
                  buyer or you don't want sell in all India level, this app
                  mekar create this app like a coding student submit a project
                  app in 2015, it's not user-friendly in 2024, now I'm uninstall
                  this app</t>
  </si>
  <si>
    <t xml:space="preserve">Worst experience.The service is very bad .They are not able to
                  resolve a simple issue . Literally the worst app experience I
                  had. Definitely never going to use it again</t>
  </si>
  <si>
    <t xml:space="preserve">I have a different number in delivery address still call came
                  to me and i was unable to pick the call. Then they returned .
                  Now I have to wait for 7 days for refund. This has happened
                  earlier also. Can u not resolve this glitch? The delivery
                  agent should get the contact number of the person of delivery
                  address. Is this not a common sense ? If I am available at
                  home , why will I give other number ?</t>
  </si>
  <si>
    <t xml:space="preserve">No customer care. Only chatbot. I got an email that complete
                  amount has been refunded for returned/damaged delivery. My
                  account got credited for lesser amount. No accountability no
                  transparency. There is no place to raise a ticket only a dumb
                  chatbot giving genral advice. Another order Incorrect
                  quantities have been provided by seller. Also flavour is
                  incorrect. It only happening on jiomart that promised quantity
                  is not sent and no refunds are given</t>
  </si>
  <si>
    <t xml:space="preserve">, I ordered my groceries on 1st of November 2024, I got a
                  message confirming my delivery today But within few minutes my
                  delivery got cancelled by delivery partner. This is not the
                  first time my order is getting cancelled in a time period of
                  two months my order got cancelled for more than 5 times for no
                  reason. This service you provided is not acceptable and worst.</t>
  </si>
  <si>
    <t xml:space="preserve">Worst app and services ever ðŸ˜¡ Never buy any product from this
                  application. Firstly, the delivery is terrible, and even if it
                  gets delivered, only some products arrive, while others do
                  not. And then, the products that are delivered are of such
                  poor quality that you feel nauseous after consuming them. I
                  had ordered two 700-gram packets of Parle Monaco biscuits, and
                  when I opened and tasted them, there was a chemical smell
                  coming from them. After eating just one biscuit, I felt like
                  vomiting.</t>
  </si>
  <si>
    <t xml:space="preserve">Bad experience kindly please do not download even once you
                  paid money order cancelled by jio it's self and money is
                  refund after 7 days I think is my experience please check all
                  previous review they all are facing the same issue and one of
                  the main highlight is when we are ordering the items it shows
                  delivered in 10 to 30 min after order time rescheduled on next
                  day on next day sorry unfortunately your order has been
                  cancelled by unforseen circumstances for your prepaid order</t>
  </si>
  <si>
    <t xml:space="preserve">Hey guys!! Please don't use this aap for purchase anything. I
                  am facing very worst delivery experience and still i don't get
                  my product. I ordered a RPM Euro Games USB Wireless Gaming
                  Mouse on 1st November and today is 16th November and still
                  they failed to delivered ðŸ˜‘ please i request you guys report
                  to 1 star ðŸŒŸ and uninstall @jiomart</t>
  </si>
  <si>
    <t xml:space="preserve">Worst Service They takes orders and payment but do not
                  delivers or cancels it on delivery date and make you wait for
                  refund. After raising complaint ask you to place new order
                  (where prices are increased or products are generally out of
                  stock) and again do not deliver the new order also. Customer
                  care think that giving refund is only ultimate solution and
                  take no responsibility of delivery. If not able to deliver
                  then why take order and payments.Waste of Time and money.
                  Worst service Jiomart</t>
  </si>
  <si>
    <t xml:space="preserve">Delivery time is too long. In these days, other grocery
                  delivery apps are delivering products in 10 mins, JIO mart is
                  taking time off 3-4 days for delivery. Also, products are
                  delivered into part. For every delivery, we have to give OTP.
                  I'll not suggest anyone to buy from JIO mart.</t>
  </si>
  <si>
    <t xml:space="preserve">changing it to 1 starvfor a poor service by Jio. Delivery
                  partner rescheduling the order for no reason. customer support
                  has no clue how to help. that just want to close the ticket
                  without helping and all of a sudden delivery partner cancelled
                  the order and no one knows the reason.</t>
  </si>
  <si>
    <t xml:space="preserve">Pathetic App. In the age of BlinkIt and Zepto, Reliance has
                  come up with this sub-standard app JioMart. Bad customer on
                  boarding, cluttered features. It seems they bought it from
                  some novice Bengaluru start-up. Once you order something, no
                  updates are provided. No email about order. No cancel option.
                  No info on by what time the order will be delivered. Simply it
                  shows Delivery date - 15-Nov. Who will tell the time slot?
                  They claim to deliver in 10-30 min but still waiting even
                  after 4 hours.</t>
  </si>
  <si>
    <t xml:space="preserve">After last update showing product not available at your
                  pincode error to every grocery items. After a recent update,
                  now my all previous orders are not showing. This app is
                  completely useless now</t>
  </si>
  <si>
    <t xml:space="preserve">Frauding customer. I have bought mattress 17 days back, my
                  item was not delivered and money refunded today without
                  discussion or call. They are accepting large orders and
                  utilising customer's money and returning after 15 days. I have
                  already paid my credit card bill and now the refunded money
                  will be adjusted in future bills. Very poor response by
                  customer care. Totally FRAUD</t>
  </si>
  <si>
    <t xml:space="preserve">This is a fraud plateform, which takes order, receive
                  payments. But, no delivery, no update, no customer care, no
                  cancelling option. Wrong customer care number in app.
                  Developer of this app done all this to cheat and fraud. Google
                  &amp; Meta are the parters to manipulate rating. Mega Scam...</t>
  </si>
  <si>
    <t xml:space="preserve">I used this apk for kitchen groceries for last 2 years .
                  Initial it was very good apk till last month. But now we get
                  only limited products.....Many kitchen grocery products is
                  excluded from the list and now they only promote specific
                  products.. So it is very difficult for us to get our beloved
                  products........based on services and availability upto last 2
                  months we surely give 5 star rating....But now I only 3 star
                  rating.....If higher offical see this above problem, plz
                  resolves this ASAP</t>
  </si>
  <si>
    <t xml:space="preserve">This is fraud app i ordered iPad on 4nov and now the date is
                  11 nov but the still don't delivered. The customer support is
                  talking like a fraud company. They did not share any update on
                  message or WhatsApp. They don't give the number of logistics
                  delivery partner. Overall this a farud company don't buy
                  anything from here unstall the app as soon as possible.</t>
  </si>
  <si>
    <t xml:space="preserve">Nothing improved or solve by your giant shopping apps this is
                  very bad for this gaint company , bad experience for your app
                  all efforts done but nothing improved , prototype reply given
                  by your sidde so many tickets given but all efforts are null
                  and void, nothing improved,still problem not solved,
                  everything done as per your side guide ,all efforts done but
                  same prototype reply, surprise to see that no action has been
                  taken to solve my problem, as it is this situation</t>
  </si>
  <si>
    <t xml:space="preserve">Since last month l am suffering from very bad experiences with
                  this app, as I ordered some groceries as they have shown very
                  low and attractive prices and then they cancelled some items
                  and refund issue is apart, if you don't have any item why are
                  you accepting the order? It's very disappointing.</t>
  </si>
  <si>
    <t xml:space="preserve">1 star was also more to this app.This is the dumbest
                  e-commerce app that I have ever used. Customer service is
                  worst, what ever the status we can see in order details , they
                  can also access the same and nothing more information other
                  than that. My shipment delivery date was postponed two times
                  but they say we are trying out best. The startup e-commerce
                  sites are far better than this. My first experience have been
                  the worst experience.</t>
  </si>
  <si>
    <t xml:space="preserve">Never order from jiomart. Worst customer service experience.
                  No authorised person is available to refund your hard earned
                  money. They use it for months without delivering the product.
                  Use Amazon &amp; Flipkart only for online ordering which has
                  bettter system and customer support service.</t>
  </si>
  <si>
    <t xml:space="preserve">Useless developers and category managers. No orders were made
                  as nothing useful were listed. Getting bad to worst. Please
                  check my order history. No essentials are listed. Still no
                  veggies and local flours listed. I am switching to local
                  supermarket.</t>
  </si>
  <si>
    <t xml:space="preserve">I ordered one item, and the order was canceled by delivery
                  partner WITHOUT ANY notice after 2 days. There is No way to
                  contact customer care and speak to a person, everything is
                  automated by bots, VERY FRUSTRATING AND POOR PATHETIC SERVICE
                  BY JIO, never order getting fooled by free shipping.</t>
  </si>
  <si>
    <t xml:space="preserve">JUST WASTED MY TIME ON THIS APP I wasted my time placing
                  products in the cart for so long then much of the products
                  were out of stock, later after placing the order the delivery
                  date got extended on top of that it just got cancelled for no
                  reason after the order was shipped and out for delivery.</t>
  </si>
  <si>
    <t xml:space="preserve">Useless app! Worst customer support, being a Jio brand it's
                  not keeping its value, i placed order yesterday for groceries
                  in hyperlocal delivery it was supposed to deliver in 10-30
                  mins but still i didn't receive order when I raise complaint
                  they cancelled my order itself</t>
  </si>
  <si>
    <t xml:space="preserve">I recommend Don't use this app for purchasing any thing. I
                  repeat Don't use. Worst delivery process ever. It's takes half
                  months and still not get my product yet. They changed delivery
                  dates again and again. wft? I will report you and share your
                  screen shots on social media too</t>
  </si>
  <si>
    <t xml:space="preserve">Never ever order anything from this app.... Your payment would
                  be deducted and u wl receive misleading massages that,
                  delivery within 10-30 minutes, but unfortunately they'll not
                  deliver your order, there is no cancellation option available
                  also... it's a damm scam by Reliance, don't trust these guys,
                  if u don't wabt be cheated</t>
  </si>
  <si>
    <t xml:space="preserve">I just can't explain the happiness as the product is really
                  awesome. The price that I have paid was never expected. The
                  taste of the product is really nice. I would prefer to buy it
                  again and would suggest my fellow friends to buy the same
                  product at least once. The packing of the delivered product is
                  wonderful. I liked the product very much because of it's price
                  at the same time a quality products. I would like to thank
                  M/S. Hashmitha Enterprise and Jiomart for timely delivering
                  the product</t>
  </si>
  <si>
    <t xml:space="preserve">Suddenly jiomart has stopped grocery delivery in my area. I
                  can't see any products with hyperlocal delivery option in my
                  location in the app even after updating. hence uninstalling
                  the app.</t>
  </si>
  <si>
    <t xml:space="preserve">App is not working,,,after login its not able to fetch the
                  account details,,,I had to order from web...mobile application
                  has some bugs which needs to be fixed...it does not load ,does
                  not get the location etc..</t>
  </si>
  <si>
    <t xml:space="preserve">Again and again same issues worst worst app ever placed order
                  on 9th December still not even procced while placing order it
                  is showing hyper local order will deliver in 10 to 30mins but
                  almost 3days over no respo5 even not able to cancel order...
                  Cc is a big dumbo worst wors service ever I'm gonna uninstall
                  this app and surely not recommended to anyone</t>
  </si>
  <si>
    <t xml:space="preserve">Worst service in the entire e-commerce system. The customer
                  service is poop, they donâ€™t resolve complaints neatly or give
                  clear answers. I contacted them about returning a product, and
                  first, they told me over the phone that the return would be
                  processed. Later, after I followed their instructions to raise
                  a complaint, they gave a different response entirely! They
                  keep contradicting themselves and donâ€™t seem to know their own
                  policies. The app shows the product as returnable, but
                  actually return</t>
  </si>
  <si>
    <t xml:space="preserve">I've been trying to order on this app...Initially it worked
                  well but recently I couldn't place an order even though it is
                  signed in...I couldn't place the order. I'm getting same popup
                  like sign in to place the order.</t>
  </si>
  <si>
    <t xml:space="preserve">Worst app ever. No customer support is there, only chat bots.
                  My groceries were supposed to be delivered in 30 min, but
                  waiting for 2 days now, it just automatically shift forward
                  the expected delivery. Not even refunding the money.</t>
  </si>
  <si>
    <t xml:space="preserve">O m g such a bad UX/UI. Not easy to search products anymore
                  showing all irrelevant products. worst experience with
                  jiomart. please go to previous version else I will delete and
                  won't order anything anymore</t>
  </si>
  <si>
    <t xml:space="preserve">This is a scam. Their ad says they deliver within 30 minutes
                  but delivery only happens the next day. Unable to cancel the
                  order and non-existant customer support.</t>
  </si>
  <si>
    <t xml:space="preserve">Wrost commercial app.... Even customer care is not aware about
                  my product location. Not expected from team Jio. This kind of
                  service is not tolarable. Its almost 12 days for an order and
                  7 days of delay but then also no action had been taken...
                  Repeated lines of customer care executive. Even they are not
                  able to cancel my order.</t>
  </si>
  <si>
    <t xml:space="preserve">Not trustworthy for food items. Packages are opened, qty
                  reduced and replaced by inferior quality items. This is what
                  we can see. Who knows what else their sellers do to food items
                  before delivering them to you. Don't eat anything delivered by
                  this app. And their customer support chat bot is useless. It
                  is only good for timepass if you are getting bored. It is not
                  there to solve issues.</t>
  </si>
  <si>
    <t xml:space="preserve">I done my payment through online but for some reason i
                  cancelled my order and after order get cancelled the app show
                  me that money is refunded but it is not, i sended mail to
                  coustomer care but not get any response do not use this app,
                  worst e-commerce app. Don't buy anything online from this app.</t>
  </si>
  <si>
    <t xml:space="preserve">Worst app and Service. No customer care support. Few items in
                  the order are not being delivered and in the app they are
                  showing as delivered. When the issue is raised, they are
                  simply closing the issue without any comments. Even sending
                  mails or calling the customer care is of no use. Lost money
                  because of this issue. All are requested not to use this app
                  for ordering. You will lose money and peace as there is no
                  support from them. we will not get the money for the
                  undelivered products.</t>
  </si>
  <si>
    <t xml:space="preserve">False coupons showing. You can't apply any shown coupon. Since
                  launch I have not able to apply a single coupon on the app.
                  Third class app</t>
  </si>
  <si>
    <t xml:space="preserve">Iâ€™ve had a disappointing experience with JioMart. I ordered
                  rice, which arrived after two days, and then ordered onions
                  and tomatoes, but they still havenâ€™t been delivered. Despite
                  their promise of a 10-30 minute delivery window, the service
                  has not met expectations. Based on my experience, I wouldnâ€™t
                  recommend this app to others.</t>
  </si>
  <si>
    <t xml:space="preserve">delivery is late if u complain about any issues no one will
                  help just log a complaint and do nothing, for same city it
                  take 3,4 days for delivery,delivery service is very bad,go
                  only for cash on delivery,do no tt place prepaid order,if u do
                  payment online u will get order delivry let</t>
  </si>
  <si>
    <t xml:space="preserve">Why it opens perticular items everytime even though i clicked
                  in overall everytime getting back is irritating do something
                  ordering in app worst experience... Irritating app performance</t>
  </si>
  <si>
    <t xml:space="preserve">Not good, zero customer service, returning our order without
                  contacting us, on top of that lying about the cancelled order
                  with the silly reason as out of stock, when infact they were
                  available as shown by the app ðŸ¤¬ðŸ˜¡ðŸ‘Ž</t>
  </si>
  <si>
    <t xml:space="preserve">Worrest app ever seen send all expired product and with out a
                  experi date on product all send and product don't buy worrest
                  app shows all online product send fake products Please awar
                  consumer it's better use any other app or go to store. ***This
                  is a scam app they will ask otps and may also take you info be
                  careful full ***</t>
  </si>
  <si>
    <t xml:space="preserve">There are two essential feature that needs to be added , those
                  are sort by delivery time and rating filter other then that
                  its good enough , gets the work done .</t>
  </si>
  <si>
    <t xml:space="preserve">Dont know what happened to app... it just stop delivering to
                  my pincode and even after so many mails they are not getting
                  and resolving the issue..suddenly stopped my area delivery</t>
  </si>
  <si>
    <t xml:space="preserve">Everytime I order groceries, some items are missing, and when
                  I raise a ticket, without any further inquiry, I get a reply
                  that problem is resolved.! Isit a joke? Delivery agents very
                  unprofessional attitude.</t>
  </si>
  <si>
    <t xml:space="preserve">JIOMART is the WORST Shopping App. It deserves minus 100
                  Stars. NEVER install this AWFUL App (1) JioMart often accepts
                  Orders for Out Of Stock Products. So after few days they
                  CANCEL our Order. Most Undependable (2) JioMart often sends
                  Damaged Products or Products are Missing. JioMart does not
                  allow us to Open the Sealed Packet at time of Delivery &amp;
                  check the Products. JioMart should follow Open Box Delivery
                  like Flipkart , where we are allowed to check all the Products
                  at the Time of Delivery</t>
  </si>
  <si>
    <t xml:space="preserve">Order placed is not being delivered. Cannot contact any human
                  person in customer service on call or chat. Automated chat box
                  doesn't give any details and keeps postponing the delivery
                  date. Terrible experience!</t>
  </si>
  <si>
    <t xml:space="preserve">Very slow app with improper designing, never ever search bar
                  found the items you're looking for. Sorry but you need to work
                  on that. They replied check your internet, you better check
                  your team. Go and do some R&amp;D instead blaming customers.</t>
  </si>
  <si>
    <t xml:space="preserve">Never delivers in time. Very bad customer support service. No
                  option to cancel from the app. Worst experience</t>
  </si>
  <si>
    <t xml:space="preserve">âš ï¸ JioMart Issues â€¢ Often Popular Brand products are
                  unavailable. Very limited options. â€¢ Sometimes Search, Filters
                  don't work properly â€¢ Lags âš ï¸ Delivery Issues ðŸ”» Hyperlocal
                  Delivery Agent calls for the OTP way Before actual order
                  delivery! Highly risky! Because upon raising such concern in
                  WhatsApp Chat, it replies "JioMart and its Group Companies
                  will not be responsible for any losses incurred due to such
                  fraudulent activities." ðŸ‘ Otherwise, overall, pretty good.
                  Thanks, Team. Take care..</t>
  </si>
  <si>
    <t xml:space="preserve">Service is good . but please make the app more user friendly.
                  separate hyperlocal market items from the schedule delivery
                  items . Make going back while browsing easy it is going one
                  step back at a time. Also improves your app its very buggy .</t>
  </si>
  <si>
    <t xml:space="preserve">This app is not like before which used to sell branded house
                  hold items of daily need at discounted price. Now it is
                  selling unknown products on higher prices. Earlier this app
                  was useful for everyone but now it has became unknown product
                  selling platform.</t>
  </si>
  <si>
    <t xml:space="preserve">not showing necessary items, only imported items are shown
                  don't know what have you updated. I want to add items but
                  everything is showing unavailable.I am searching for lotion it
                  is showing me saree .</t>
  </si>
  <si>
    <t xml:space="preserve">Previous app application is good easy to find things... Before
                  it's best for buying vegetables... After updating new version
                  vegetables are not showing... Fruits are also not there
                  ðŸ¥²ðŸ‘ŽðŸ‘ŽðŸ‘ŽðŸ‘ŽðŸ‘Ž</t>
  </si>
  <si>
    <t xml:space="preserve">So many glitches on app there is no order status &amp; no
                  information about used wallet funds Agreed prices are lesser
                  than others but there are so many glitches if no changes i
                  don't have any other option then go with other platforms</t>
  </si>
  <si>
    <t xml:space="preserve">It is going to be 4 years but this app is not at all improved.
                  It is still like a webpage being opened. Still lots of bugs.
                  Are devs sleeping for 4 years or what?</t>
  </si>
  <si>
    <t xml:space="preserve">Worst experience... Earlier whichever products were available
                  for delivery in my pincode are suddenly not available and
                  worst part there app gets updated every now and then but the
                  search feature is worst. Very disappointed</t>
  </si>
  <si>
    <t xml:space="preserve">It requires high bandwidth data i guess. I am using jio sim
                  but not able to access the app properly everytime. Development
                  of app is worst.</t>
  </si>
  <si>
    <t xml:space="preserve">Scam alert!! Jiomart never does any delivery and the delivery
                  guy just marks the order as delivered or rejected by customer
                  within 3-5 minutes of dispatch. Customer care doesn't help and
                  your money gets stuck.</t>
  </si>
  <si>
    <t xml:space="preserve">Recently I returned 2 products but didn't get any refund. I
                  also have picked code as a proof but there service is very
                  poor and specialy there customer care agent. O My god it's
                  worst experience ever . I will never Shop on jio mart</t>
  </si>
  <si>
    <t xml:space="preserve">Worst App Ever.. I have a Jio mart Gift Card of rs 297 and
                  today I made a purchase of Rs 258.. But jio mart didn't give
                  me my rest of 39 rs to my jio mart wallet.. Worst app..
                  Flipkart Amazon Myntra or any app do not have such problems..
                  But Jio Mart has!!! Never gonna use that app again..</t>
  </si>
  <si>
    <t xml:space="preserve">Worst experience with this app,every time when we are placing
                  a order they are accepting and but after few minutes they are
                  cancelling it not only one time they are doing it every time .</t>
  </si>
  <si>
    <t xml:space="preserve">At the time of delivery they say item is not available so it's
                  missing and than they don't even refund in original mode which
                  customer has used for payment and say well will add those on
                  app wallet.</t>
  </si>
  <si>
    <t xml:space="preserve">Very bad services. Only sometimes it comes ontime. Mostly
                  don't know why it delays. Without our knowledge the delivery
                  gets returned by their own n we keep Waiting for them.</t>
  </si>
  <si>
    <t xml:space="preserve">Very bad experience. Mistakes in quantity delivery. Then no
                  returns, converts the missing items into refunds.</t>
  </si>
  <si>
    <t xml:space="preserve">Navigation not working properly in iPhone. No search option
                  found. No back button found. So trying to install in android
                  let me see</t>
  </si>
  <si>
    <t xml:space="preserve">While placing the order, the delivery estimate shows up as 30
                  minutes. Still the order does not get delivered even after 5
                  hours with no option in app to cancel the order.</t>
  </si>
  <si>
    <t xml:space="preserve">All mail response is automated. My refund still pending from
                  Nov. they say resolved. If contact customercare they redirects
                  to app.</t>
  </si>
  <si>
    <t xml:space="preserve">Most useless app in the world. They show product is available
                  and when ordered they notify product as not available. Then
                  when checking the app it still shows product is available.
                  Useless fraudsters.</t>
  </si>
  <si>
    <t xml:space="preserve">It is very useless because when you try to enter an address in
                  it, nothing else is visible, where to enter which address, it
                  is not there itself, there are many bugs in it</t>
  </si>
  <si>
    <t xml:space="preserve">Worst app. Delivery is never on time. Poor customer care.
                  Nowhere they are close to Amazon or Flipkart. Order ,
                  cancelation or tracking everything is poor at their site.</t>
  </si>
  <si>
    <t xml:space="preserve">Amazing.....highly recommended.....no delivery charges and
                  even no minimum order bound. Today morning I ordered tomato
                  sauce by paying just 13rs and no other extra cost. I have not
                  experienced better than this, online order of just 13rs with
                  no extra charges. Thanks a lot.â˜ºðŸ¥°</t>
  </si>
  <si>
    <t xml:space="preserve">l purchase micro charging cable.. products iis good.but some
                  changes in physical product and shown in page product..
                  intelligent LED light is not in physical product.. some fauls
                  information about the product in product page or Sending
                  product by Jio Mart. Product quality is good. Thanks Jio Mart.</t>
  </si>
  <si>
    <t xml:space="preserve">Horrible experience As only few items delivered Basic items
                  like rice,oil,soap shown as unavailable on delivery.Guess the
                  packing team do not know how to search and pack the order as
                  when order is placed all items show as available,but when
                  delivered most items unavailable. Indeed very frustrating
                  especially when there are better and quicker services now from
                  competitors.</t>
  </si>
  <si>
    <t xml:space="preserve">Please improve the UI of the app. Its look gittery and infos
                  are missing. The sizes of the clothes in the filter option is
                  missing.</t>
  </si>
  <si>
    <t xml:space="preserve">Very poor service.. I had ordered 14 Oct but till date Not
                  received my order and refund.. I wait for 15 days from date of
                  order.. but they cancel my order and told me wait for 14 days
                  more for my refund cash.. It's very poor service I have raised
                  complaint but they not even respond on it &amp; or sms or
                  app.. plz don't order on jio mart.. Very worst experience</t>
  </si>
  <si>
    <t xml:space="preserve">Too bad quality things are providing even cheap quality than
                  street goods They provided a product which didn't not shows in
                  website, then returned they rejected because of not matching,
                  already they provided different things, how can trust you?????
                  And your delivery partner also without information things are
                  returned</t>
  </si>
  <si>
    <t xml:space="preserve">Off lately the app is not working fine. Very slow. The orders
                  even placed are not getting updated, so tracking is also not
                  possible.</t>
  </si>
  <si>
    <t xml:space="preserve">This app is really too slow It consume too much time it was a
                  good grocery shopping app but unfortunately it take time for
                  to showing the product. So Please speedup the app Otherwise no
                  one install this app.</t>
  </si>
  <si>
    <t xml:space="preserve">Worst grocery shopping app. Every time when I place order more
                  than half of the items are unavailable. Whereas dmart gives
                  each and every item always at my location. When you people
                  don't have groceries than why you are running your online
                  store? Why wasting our time. We select all the items by
                  spending alot of time on this app. And when time comes to
                  place an order more than half items are unavailable. Such an
                  unprofessional and pathetic service. And delivery boys are
                  also unprofessional.</t>
  </si>
  <si>
    <t xml:space="preserve">Just a horrible experience with your app. This is the most
                  disgusting app and service I have ever known. Firstly, they
                  cancelled my order without the prior information, and then
                  they were not ready to refund my money, which I prepaid at
                  your app. The customer service is not ready to pick up my
                  call, and they have no interest in solving my problem. I just
                  want to say I want my money back as soon as possible.</t>
  </si>
  <si>
    <t xml:space="preserve">One of the worst online store. I had very bad experience and
                  lost money also.I have mailed,twitted and spoken to customer
                  service, but no refund happen after receiving all details..It
                  is better to always order through other online store ..I want
                  to give negative star only for this online store</t>
  </si>
  <si>
    <t xml:space="preserve">Worst experience I have been JioMart user since last 3 years
                  and never faced any problems But this time when my order was
                  delivered, few items were missing and when I asked them for
                  refund they completely denied it This is really shameful</t>
  </si>
  <si>
    <t xml:space="preserve">Order gets cancelled automatically just before delivery time.
                  Need to call customer care for the refund. What are you guys
                  upto. Many startsup are building business and you being
                  Reliance giant, unable to code a simple application</t>
  </si>
  <si>
    <t xml:space="preserve">Fraud app : The app is just a fraud. Whenthe items were added
                  to cart that time it shows no delivery charges and when the
                  item came it was only one product and there was delivery
                  changes included in that. Worst experience till now that too
                  with Jio ! Below there is a question Does this app have a
                  loyalty program ? It does not have any loyalty. Total Fraud
                  application.</t>
  </si>
  <si>
    <t xml:space="preserve">Totally worst experience by jio mart. Most of the times they
                  either don't deliver some product or they will deliver some
                  different product. You have to go through a very long so
                  called processes. Not advisable for ordering. I have already
                  raised multiple requests. Like here the response is just
                  automated.</t>
  </si>
  <si>
    <t xml:space="preserve">Recently, I ordered a triply pan n cast iron skillet. After
                  some days the pan order got cancelled by supplier but skillet
                  showed updates of delivery. It got delayed twice or thrice,
                  finally one day it showed returned, eventhough no delivery
                  person called or came they showed out for delivery n NXT day
                  product retd.Very unprofessional!! Prices also vary now n then
                  If u can't operate properly then shut it down</t>
  </si>
  <si>
    <t xml:space="preserve">Awful app, their delivery executive cancel themselves giving
                  reason couldn't deliver without even attempting delivery, and
                  their customer care executive can't cancel the order so that a
                  person can place another order. Oh another incident on
                  17/11/2024 i have received 334 refund for gift card amount of
                  1000 and they galloped rest of the amount</t>
  </si>
  <si>
    <t xml:space="preserve">Worst ui, when open categories for any grocery, and if you
                  scroll then page keeps refreshing itself, I have tries website
                  and app, both has same issue, you can only see 6 to 10 items
                  properly in categories, after that if you scroll more then
                  page will refresh itself and then you will start with first
                  item in list. Not good, they are not interested to Make there
                  UI better, Worthless.</t>
  </si>
  <si>
    <t xml:space="preserve">Items always out of stock after ordering and they deliver less
                  what you order. Their delivery executive don't want to deliver
                  at door step. Some of them even say that please don't put a
                  big order next time.</t>
  </si>
  <si>
    <t xml:space="preserve">Had a worst experience with this app. You order something from
                  app, the system shows it's a hyper local product and will be
                  delivered within a day. The deliver person will call you and
                  ask you to share the otp (in a rude and unprofessional
                  manner), which is supposed to be share after the delivery
                  saying they will deliver after sometime. When you refuse to
                  share the opt before had they will just cancel you order.....
                  sometime will cancel your order if you are the only one to
                  oder from that area..</t>
  </si>
  <si>
    <t xml:space="preserve">Good app, reasonable price for grocery items. Not able to
                  redeem gift card. Horrible customer service. App needs
                  improvement compare to the competitors.</t>
  </si>
  <si>
    <t xml:space="preserve">The product delivery prices are very good but after making the
                  app you left it, it is not worth updating it or making it
                  worth using properly, every time a technical issue comes up,
                  the app automatically closes and goes back Work a little on
                  the app and there are many products in the market, add them to
                  your store too and please correct the search option too choose
                  and get the image featured in it</t>
  </si>
  <si>
    <t xml:space="preserve">Wrost compare to others. They don't accept the returns and ask
                  us to upload the Products images and Also Bank Passbook. Even
                  after uploading all the images they didn't accept the return.
                  Everything is outdated here. Not going to shop here anymore.</t>
  </si>
  <si>
    <t xml:space="preserve">They can never delivered the complete order, there is always a
                  missing Item or diffrence in quantity, you have to go through
                  a stupid system which has limited option and dose not address
                  the actual problem login a complaint. The process is so
                  tedious that you can actually go and get the item from the
                  store in the same time. You should at have a direct helpline
                  number to call and explain because. Ai can not understand
                  everything. They close tickets without resolving them.</t>
  </si>
  <si>
    <t xml:space="preserve">Order Cancelled: Very disappointed with the service. My
                  shipment J for order A was cancelled by Jiomart due to
                  unforeseen circumstances. This has caused a lot of
                  inconvenience. I was looking forward to receiving my items,
                  but now I have to wait for a refund. Extremely dissatisfied
                  with the experience. For prepaid orders, they say the refund
                  will be initiated shortly, but this entire process is
                  frustrating</t>
  </si>
  <si>
    <t xml:space="preserve">Have been using this app since years. But now it seems like
                  they r not really responsive and even there is no proper
                  customer care. The boy keeps talking eith no sense. Recently
                  I've ordered some stuff and I've not recieved one item.
                  Although I've been charged for that item. This has also
                  happened before. I tried contacting them, no response. I
                  raised tickets, no response. I've tried bloody everything. And
                  even now after doing it twice, bloody people are not
                  responding. Useless</t>
  </si>
  <si>
    <t xml:space="preserve">Extremely bad and scam app Customer service is extremely
                  pathetic and they only delivery expired product. Also it's
                  extremely bad delivery experience. They show up at any time,
                  no time slot to book, even after showing hyperlocal they
                  deliver it after 24 hours. It's extremely cheap packaging as
                  well and entire process is scummy. Extr and pathetic of an
                  excuse this app.dont install it you're not going to get refund
                  or replacement ever. They send expired product knowingly.</t>
  </si>
  <si>
    <t xml:space="preserve">Bad UI, make grocery section separate with electronics when
                  searching grocery all unrelated products are coming, rating
                  system is so bad I can't change my rating. Hire a good
                  frontend developer</t>
  </si>
  <si>
    <t xml:space="preserve">I really faced most horrible service after getting completely
                  different and wrong product from fashion segment.And while
                  returning the delivery boy didn't accept the item and he
                  marked returned and left and now I am badly struggling to
                  search any other return option which is nowhere as my products
                  are showing Returned Status.Feeling completely cheated by this
                  type of Fraud.I will never use Jio mart online service.</t>
  </si>
  <si>
    <t xml:space="preserve">What a useless idea of Hyperlocal delivery which will deliver
                  on next day charging delivery fee whereas we have other
                  options with delivery in minutes with free delivery. There is
                  no separate section for Hyperlocal or later basket, if u add
                  products of rs 500 it will separate some products in cart page
                  and shows u delivery charges for some Hyperlocal delivery
                  products and there is no section to search for Hyperlocal
                  products u need to make it free delivery. Totally useless
                  idea.</t>
  </si>
  <si>
    <t xml:space="preserve">Worst delivery app.. please don't buy anything in the
                  jiomart... Poor customer care service... I hv bad experience
                  in the last week.. still my problem is not solved... Last week
                  I placed ordered in one product it's take 21 days to deliver
                  but still not receive the product... I was unable to cancel
                  the product.. customer care service in only available Hindi
                  and English.. they are not understanding my problem...</t>
  </si>
  <si>
    <t xml:space="preserve">very bad experience from jio Mart. I ordered and paid the full
                  amount in advance. They postponed the delivery date two times
                  and after 14 days they cancelled it without any information.
                  Now I have to wait another 7 days to get my refund.</t>
  </si>
  <si>
    <t xml:space="preserve">Jio's delivery service has been extremely disappointing. Many
                  of their products are not delivered on time, and they
                  frequently send messages stating that items are unavailable
                  after payment has already been made. This results in a wait
                  for refunds. Over the past three months, these issues have
                  persisted, making the app unreliable.</t>
  </si>
  <si>
    <t xml:space="preserve">First order placed today delivered with missing items, rotten
                  vegetables and dirt smeared wet packets. They will not refund
                  to your bank account, but only to your JioMart wallet to make
                  ypu repeat the same experience. Trust me. I consider this a
                  scam. Big basket and Amazon is a million times better
                  including customer service.</t>
  </si>
  <si>
    <t xml:space="preserve">Jiomart is just looting customers. Most of the times complete
                  orders are not delivered and you are still charged. Then when
                  contacting their support they say that it was sent already and
                  deny replacement or refund. Jiomart is just a scam. Please
                  improve your support. The app algorithm is also pathetic, you
                  search for something and it shows options completely different
                  even though the same products are available. The developers
                  needs to look at it.</t>
  </si>
  <si>
    <t xml:space="preserve">Bad UX, experience of voucher redemption, no way to go easily
                  back. Such sub par product from Ambani who just thinks this is
                  his pet project ðŸ¤¦ðŸ»â€â™‚ï¸. Be careful of scam where vouchers are one
                  time redeem regardless of order amount and can't be easily
                  redeemed across platform</t>
  </si>
  <si>
    <t xml:space="preserve">Worst delivery system. Ordered groceries and made payments,
                  status shows shipped but even after One day the delivery
                  hasn't been made. Local Jio mart is just 500 meters away and
                  all items were on hyperlocal availability. This is the 3rd
                  consecutive time it's happening. Very disappointing delivery
                  system. Never ordering again from this app or store.</t>
  </si>
  <si>
    <t xml:space="preserve">This app is not use in my whole life this app is very worst
                  online shopping app they show something else and deliver
                  something else when we rise complaint they just send a mail
                  and after that denied to return or exchange tooo they didn't
                  even exchange the product wrost app don't install this and
                  don't use this if you love your money</t>
  </si>
  <si>
    <t xml:space="preserve">3rd class .. They don't have items to be delivered, but they
                  show in their app that it's available After a few days of
                  using the money, they return the amount with the zero benefit
                  that the item is not available . They even don't apologize to
                  the customer. Adv : Don't use the app and if your using than
                  don't buy the cheapest item because it will not delivered.</t>
  </si>
  <si>
    <t xml:space="preserve">My Jiomart account is automatically signed out, and now I have
                  logged in, the error is show again and again, can't access my
                  Jiomart account, I have complained to customer care several
                  times, but no solution has been found, even after so many
                  times, problem is still here.</t>
  </si>
  <si>
    <t xml:space="preserve">Worst delivery experience Delivery of product in Pune, not
                  attempted and it is marked as return stating door step not
                  accepted and customer did not receive call. What a service
                  experience, not contacted from jio mart and delivery partner
                  even after raising multiple complaints Thank for experience, I
                  will delete app</t>
  </si>
  <si>
    <t xml:space="preserve">The app is not working properly when i press on place order
                  after singing in the app it keeps on asking for it again im
                  not able place a single order .</t>
  </si>
  <si>
    <t xml:space="preserve">Horrible experience. Twice I've placed prepaid orders and on
                  both instances the orders were cancelled by the store due to
                  unavailability of the products, though the app shows the
                  products were in stock. Lack of coordination between the App
                  and the store. Refund is also a problem.</t>
  </si>
  <si>
    <t xml:space="preserve">The app doesn't provide delivery estimates, only after
                  contacting customer support you learn that it's close of day
                  one day later, rather than instantly. Would they show that
                  right away, I wouldn't have ordered. Customer support is also
                  aggressively closing chats, giving users hardly 30 seconds to
                  process and reply.</t>
  </si>
  <si>
    <t xml:space="preserve">Recently ordered few items from the app amounting Rs. 1000
                  approx and out of this 2 items are missing of approx 300 plus
                  and they are showing it as delivered. After raising complaint
                  multiple times no proper response received. And they
                  automatically deactivating the complaint. Its pathetic if from
                  1000 rs purchase you are not delivering 300 rs plus items than
                  what about if someone buys higher amount product. The same
                  issue happened previously as well.</t>
  </si>
  <si>
    <t xml:space="preserve">My first shopping experience in Jiomart site a week ago was
                  not as expected as the bulb ordered from a seller wasn't
                  packed properly and it was already broken when it was
                  delivered. I have to wait for the item to be returned to get
                  my refund. There's a risk that any seller on this site (except
                  maybe for Reliance) may not pack the item well for your order.
                  Update: Return of item was scheduled 2 days ago and the person
                  hasn't yet picked up the item also.</t>
  </si>
  <si>
    <t xml:space="preserve">I ordered an item from Jiomart on 26th September with an
                  expected delivery date of 4th October. The delivery date has
                  been changed twice, and I still havenâ€™t received my order. The
                  item was important, and since I didnâ€™t get it when I needed
                  it, there's no point in sending it now. Please cancel the
                  order and refund me, as this delay is due to Jiomart's
                  inefficiency. Very disappointed with the service!</t>
  </si>
  <si>
    <t xml:space="preserve">I purchased a few T-shirts on 30th September, and the delivery
                  was initially promised by 10th October. However, it was
                  delayed to 13th October and now pushed back again to 19th
                  October! This kind of service is unacceptable. On top of that,
                  customer support has been completely unhelpful in resolving
                  the issue or giving a proper explanation for the delays. I
                  expected better from JioMart. Please improve your delivery
                  system and customer service.</t>
  </si>
  <si>
    <t xml:space="preserve">Title: Poor Delivery and Delayed Refunds Review: I had a very
                  disappointing experience with JioMart. My recent order, which
                  included urgent daily needs items, was not delivered on the
                  promised date. Instead, the delivery was delayed by two more
                  days without any proper explanation or updates. This is not
                  the first time this has happened; past orders were also
                  delayed, and after waiting for extended periods, I had to
                  request a refund, which took an additional week to process.
                  This level of servic</t>
  </si>
  <si>
    <t xml:space="preserve">Worst app and worst service ever seen in a mart app ever. I
                  ordered the same thing twice and it showed order canceled both
                  the times because aur some technical issue and yet I was not
                  contacted for the delivery or any kind of updates. I would
                  suggest to not to order from this app.</t>
  </si>
  <si>
    <t xml:space="preserve">Don't ever buy anything from it worst experience, I have
                  return order since 15 days and yet no one is coming to pick
                  up, and end of the putting orders status, you were not
                  available, address is incomplete.. they have delivered the
                  product on same address.. no one is contacting..worst
                  experience, not suggesting to anyone.</t>
  </si>
  <si>
    <t xml:space="preserve">Worst app and worst service i ever served. Every time i order
                  i get refunded and the order was cancelled by saying the item
                  is short picked if it is not available then why the product is
                  avilable on jio mart app simply show that out of stock. And
                  even the refund system is so poor the refund came in parts.
                  Very disgusting. Can't expect these silly things from brands
                  like reliance. This was my last order after that i will never
                  gonna shop from reliance.</t>
  </si>
  <si>
    <t xml:space="preserve">Pathetic app. Lot of technical issues. Frequently products get
                  returned because of technical issues. Customer cannot check
                  transaction history. Your money in wallet will be gone if you
                  don't use it immediately and when you ask them when was it
                  used, they have no data with them. Customer service is also
                  worst as they don't have courtesy to understand from the
                  customers point of view. Jiomart please shutdown your service</t>
  </si>
  <si>
    <t xml:space="preserve">This app is very good and useful. Service is also good. But it
                  needs lots of improvement like this app is so slow. Even after
                  updating the app , pages don't open or start searching again..
                  pages disappears. Please improve the quality of app.</t>
  </si>
  <si>
    <t xml:space="preserve">There customer service is really really bad ,there's no means
                  to directly call the customer support and they are not
                  interested in hearing you at all. I had a package delivered
                  with missing items and i tried to repeat it to them again and
                  again but apparently jiomart replies it with simple 'products
                  had been delivered from our side ' they should opt for open
                  box delivery if they are so sure . Honestly avoid jiomart
                  because one day or another you are going to experience this
                  stuff .</t>
  </si>
  <si>
    <t xml:space="preserve">This app used to be little better, but now it hangs after
                  every 2 minutes. Secondly, delivery is mostly in parts, the
                  last one may take 3 weeks, as it is happening with me right
                  now. Expected delivery date for the order placed on 1st
                  October is 19th October.</t>
  </si>
  <si>
    <t xml:space="preserve">Got spoiled food item for jio mart, I have checked the
                  delivered items but no opened after delivery as it was packed
                  item. I have checked after 4 days and found it was spoiled, I
                  have mailed them with all the details and images, but no use
                  that I got reply from them that I missed the return window.
                  Very bad experience from jio mart.</t>
  </si>
  <si>
    <t xml:space="preserve">Only fake offers. They don't give the instant discount in
                  payment page. Uninstalled I had ordered earbuds costing
                  Rs.1999. I paid via UPI. They cancelled order next day. It has
                  been 5 days. They still did not refund my money. No way to
                  contact customer support. You can only contact chat bot.
                  Edited: Finally they refunded after I contacted customer care</t>
  </si>
  <si>
    <t xml:space="preserve">I ordered groceries, it's showing delivered in the app but no
                  one tried to contact for delivery i called the customer
                  service there is no response from there side, i didn't even
                  share the OTP but still they have managed to show the product
                  delivery even the service agent is aware about this and said
                  nothing can be done.</t>
  </si>
  <si>
    <t xml:space="preserve">Very disappointed, they don't refund for a return. Better keep
                  your order even if you don't like it's quality.. even after
                  report they don't refund.. my order is not reached to vendor
                  yet.. it is still in transit though It was picked up from me
                  26 days ago. On app they show refund credited but no transfer
                  of money to my account.. I wish I could give 0 star</t>
  </si>
  <si>
    <t xml:space="preserve">Worst App, previously my location used to show all required
                  grocerys now it doesn't. All non branded items or expensive
                  items are showing in the app at my delivery location. I have
                  to visit the smart store near me for shopping.</t>
  </si>
  <si>
    <t xml:space="preserve">Firstly the app is slow which completely ruins the customer
                  experience. Secondly the delivery time is incredibly slow, a
                  snail would probably deliver my order faster than Jio Mart. If
                  other platforms can do it why can't Jio Mart? Is there
                  something fundamentally wrong which can't be solved? It said
                  my order will be delivered in 2 days after which my money got
                  refunded after which I had to place my order again which still
                  hasn't arrived. Terrible experience.</t>
  </si>
  <si>
    <t xml:space="preserve">Kindly hire some responsile delivery persons. Recently had a
                  terrible experience where the delivery guy promised to deliver
                  missing item, but never did. Due to his commitment the
                  complaint window also got lapsed. Not I'm left with less
                  quantity delivered for which I have paid already.... Also the
                  jio mart customer support is practically not available.</t>
  </si>
  <si>
    <t xml:space="preserve">Most useless app i ever have use. The customer service is very
                  poor. I returned my item 10 days ago but in app they are still
                  showing delivered and there is no refund from their side. And
                  when I tried to seek help from customer service they suggest
                  me to wait more 7-15 days to resolve it. I know I am not
                  getting my money back . I never expected this kind of fraud
                  from a app like this. Very disappointed with this kind of
                  fraud Surely not gonna trust this app again.</t>
  </si>
  <si>
    <t xml:space="preserve">I could see the items are missing in the packet. It has
                  happened to me multiple times. We need to open the packet
                  always and ensure all items are present before providing OTP.
                  But jiomart doesn't open the package any time but they ask for
                  the OTP. Since we are busy with our schedules, jiomart should
                  be avoided.</t>
  </si>
  <si>
    <t xml:space="preserve">Worst experience. I ordered groceries but few of the product
                  were missing. They returned the money in my wallet. Next time
                  again I ordered for same product, my order was cancelled by
                  the delivery guy. 2nd time also due to some glitch it got
                  cancelled.The delivery guy never delivers all items . They are
                  fraud.they stop picking up your call. He also used some
                  abusive language. I raised a ticket in it but nothing happened
                  nd my account got suspended.</t>
  </si>
  <si>
    <t xml:space="preserve">An amazing shopping experience through the app. However, the
                  app has a pathetic user interface. Seldom loads the pages
                  completely and uses a a lot of time to move steps towards
                  ordering stuffs. Kindly look into this and fix it ASAP.
                  Thanks!</t>
  </si>
  <si>
    <t xml:space="preserve">Cons first: All products and pack sizes available in reliance
                  fresh and Mart is not shown on app. Unknown brands are mostly
                  made available on app. Limited card discounts. Return process
                  is complicated and takes too much time. Prices are higher than
                  Amazon fresh and flipkart grocery. Pros: 2 hr. delivery is an
                  welcome feature. Accepting food cards is good feature too.</t>
  </si>
  <si>
    <t xml:space="preserve">Random Cancellations and Late Refunds. Jiomart randomly
                  cancelled an order on 27th of October. And I was Refunded my
                  money Today, that is 4th of December. Both of these are a
                  Regular Feature with Jiomart. It's VERY UNRELIABLE.</t>
  </si>
  <si>
    <t xml:space="preserve">Earlier this app was only lagging.. But now got even more
                  trashy.. U can't even find basic grocery, comman use
                  brands...all which was avaliable previously has been removed..
                  At this point... Just close this app service</t>
  </si>
  <si>
    <t xml:space="preserve">From all through being no. 1 this app has declined to the last
                  spot. With majority of branded products unavailable and non-
                  familiar and/or unbranded stuff up for grabs at exorbitant
                  prices. The worst part, the App is so irritating and lags too
                  much. Upon raising the latter issue it is being counterblamed
                  that network at my side needs to be checked.</t>
  </si>
  <si>
    <t xml:space="preserve">Order delivery is rescheduled on delivery date and postponed.
                  Completely unreliable. If you attempt to raise a complaint,
                  their chatbot will take you in circles and frustrate you
                  further. My delivery was rescheduled 3 times. Will cancel the
                  order and uninstall app.</t>
  </si>
  <si>
    <t xml:space="preserve">*3rd class service. Usually They take 4-5days for delivery but
                  on last day they cancel order even product is in stock which
                  is very disgusting and frustrating. And it happens number of
                  times.* *Worst service yet* Worst experience with delivery.
                  When we want to order something it gets cancelled or withdrawn
                  at the last minute. You can not rely on this app to get your
                  groceries .</t>
  </si>
  <si>
    <t xml:space="preserve">Do not buy any reliance good life products, all are low
                  quality. I placed an order for groceries on 2nd Dec, &amp; in
                  which idli rawa(good life) , I opened the packet on 6th &amp;
                  found full of insects, when called customer care,they denied
                  to refund/replacement. As per there statement, I have to check
                  all the products including rawa, aata, etc &amp; has to raise
                  concern within 2days. i was surprised with the answer.
                  Usually, we preserve the packets in a storage box &amp; will
                  open when required.(may be a week</t>
  </si>
  <si>
    <t xml:space="preserve">In the app, i was unable to go back from the colddrink menu,
                  it was landing on the same page. The quick home button is more
                  helpful. Overall a good app experience.</t>
  </si>
  <si>
    <t xml:space="preserve">I am uninstalling this app because it has very poor service.
                  They cancelled order automatically after shipping without
                  explaining the reason. Finally I get my refund I'll never use
                  this app again.</t>
  </si>
  <si>
    <t xml:space="preserve">I'm disappointed to say that this app has no customer service
                  other than a bot. I haven't received my refund in two weeks
                  and I constantly have to mail for the same. Never buying from
                  this app again.</t>
  </si>
  <si>
    <t xml:space="preserve">ðŸ‘‰There are bugs in the app... My mobile is hang out many
                  times when I use it..... ðŸ‘‰ Invoice can't be downloaded from
                  the app... Please fix it.</t>
  </si>
  <si>
    <t xml:space="preserve">This shows hyper local delivery but don't provide it it says
                  to deliver in 10 to 30 min but it almost take 6 hours and
                  coustomer support is very bad they don't take any action
                  towards it doesn't use this app for ordering</t>
  </si>
  <si>
    <t xml:space="preserve">Waste app . Full bugs. JIO mart pls consider to keep good
                  products. Can't able to submit a review at all. Got irritated
                  after typing fully can't able to submit.</t>
  </si>
  <si>
    <t xml:space="preserve">It is showing delivery time between 10 to 30 minutes. But
                  after 5 hours also I don't received my order. Currently it is
                  showing under process. Worst app.</t>
  </si>
  <si>
    <t xml:space="preserve">The worst online store in India. Here your orders will get
                  cancelled again and again citing Technical glitches. Even in a
                  big city like Bangalore basic grocery items also cannot be
                  delivered. Hyperlocal order will get delayed by 3 days and
                  cancelled. Canned scripted response from customer support team
                  with no intention of improving. Please uninstall this garbage
                  if you have already installed</t>
  </si>
  <si>
    <t xml:space="preserve">Don't buy any product, Very poor customer service, I have
                  place return request, due to low quality and send refurbished
                  product, but today is 7th day but still no any response, very
                  disappointed With this app</t>
  </si>
  <si>
    <t xml:space="preserve">Worst app ever. Second time my order got cancelled cancelled
                  with reason 'returned'. Such a waste of time and money. I
                  would suggest everyone not to install this app and buy
                  anything.</t>
  </si>
  <si>
    <t xml:space="preserve">Worst app and delivery service. The local delivery took almost
                  a week and they cancelled my products without asking or
                  informing. I recommend not to use this service.</t>
  </si>
  <si>
    <t xml:space="preserve">After opening up the app, its stuck asking for permission, but
                  the window asking for it, is below the entire app window,
                  making it inaccessible.</t>
  </si>
  <si>
    <t xml:space="preserve">Delivery people are head ache they cancel order them self and
                  the mark it as delivered when it is not delivered and missing
                  items in order its been happening to from past 5 orders to me
                  in past 1 month I'll not order again</t>
  </si>
  <si>
    <t xml:space="preserve">Please improve your product search option in your app,
                  pathetic experience, everytime showing inappropriate things,
                  please learn something from Flipkart or Amazon, that's why
                  they are far away from you.</t>
  </si>
  <si>
    <t xml:space="preserve">Due to asking sms and location permission, I don't want this
                  app. It is showing mandatory for opening app. This is not
                  acceptable one.</t>
  </si>
  <si>
    <t xml:space="preserve">Why is this app so irritating.. wasting customer's time. -
                  When pincode is entered... Why still half of your list shows
                  product not delivered to this pincode ... Don't show then
                  simple ! - Also, Back means we need to go back not scroll
                  up... Such irritation it is... Complete waste of time using
                  this app. Don't you test your App UI - Even your Chat with us
                  is useless... And report an issue Submit button dosent work...
                  Complete waste and non organised Support and UI... Please
                  Updated this soon..</t>
  </si>
  <si>
    <t xml:space="preserve">Totally waste.... booking time waste and at least no stock
                  available ðŸ˜”ðŸ˜” app is working very slow ðŸ˜”... totally time
                  waste ðŸ˜•..bad experience ðŸ˜”</t>
  </si>
  <si>
    <t xml:space="preserve">Very bad experience, i have ordered a lower but due to size
                  issue i returned it. It was cod order before ordering it was
                  not mentioned that if i would return it ill get money back in
                  jiomart wallet not in upi if it would have mentioned than in
                  might have ordered it with upi. The customer staff is also bad
                  not understanding the issue not helping properly. Even they
                  don't have popular brand clothes on their app.</t>
  </si>
  <si>
    <t xml:space="preserve">So pathetic performance of this app i have ordered 3 times
                  through this app Tata gold tea 500 gm but it repeatedly failed
                  to deliver me the product on the scheduled date. Very
                  frustrated about this app.</t>
  </si>
  <si>
    <t xml:space="preserve">Items delivery is ok ok. Nothing special. Im ok with it. But
                  if you face any complaint regarding the delivery or items,
                  there is less chance to get it addressed (though many IVR
                  options given, they have limited capability). I raised same
                  complaint 3rd time now, awaiting for their kindness to resolve
                  it, cos i bought from them by paying my money.</t>
  </si>
  <si>
    <t xml:space="preserve">If there was an option to give zero star rating I would gladly
                  choose that because they have literally cancelled my order 4
                  times in a row and I'm really frustrated about it, it takes
                  more than a week to get the money refunded and the customer
                  care don't even care like bruh remove the platform if you
                  don't want your customers to use it</t>
  </si>
  <si>
    <t xml:space="preserve">I had the worst shopping experience with the JioMart app. I
                  placed an order, and the payment was successfully debited from
                  my account. However, within just 15 minutes, the order status
                  changed from 'shipped' to 'cancelled by the delivery partner.'
                  When I contacted JioMart Customer Care, the agent, Basu, was
                  utterly unhelpful and seemed completely clueless. Please don't
                  use this App. Refund amount INR 4600/- is showing as processed
                  and ironically I have not received it yet in my account. ðŸ¤¬</t>
  </si>
  <si>
    <t xml:space="preserve">It doesn't deserve 1 star. Disappointed. 3rd class grocery
                  platform and worst service. First you Take order on prepaid
                  payment, then the order gets auto cancelled. If you can't
                  deliver the order then why you take the order in first place.
                  It's just discounted price scam to take orders and then cancel
                  and ask to wait for refund. Amazon fresh is way better than
                  Jio Mart, atleast it doesn't cancel the order.</t>
  </si>
  <si>
    <t xml:space="preserve">FRAUDLENT BUSINESS PRACTICES. I ordered products from this
                  app. They delivered damaged and expired products (rs 1010) and
                  I raised complaint but till now amount has not been credited
                  moreover complaint got closed. Then again I raised a separate
                  complaint then customer care executive forced me to settle it
                  with discounted money (rs 299) in jiowallet only means loss of
                  rs 711. I refused but rs 299 added in my wallet and for
                  utilising wallet, now I have to buy product (brand reliance
                  retail) only.</t>
  </si>
  <si>
    <t xml:space="preserve">I ordered cucumber and paneer from JioMart, but I only
                  received cucumbers. The paneer packets were missing, even
                  though the order status shows 'delivered.' The package was
                  sealed, so I couldn't check the items at the time. I provided
                  the delivery OTP, which confirmed the order as delivered, but
                  some items are still missing. When I contacted customer care,
                  they simply said the order was delivered because I provided
                  the OTP.</t>
  </si>
  <si>
    <t xml:space="preserve">Recently, whenever I try to search an item, the app crashes.
                  Already the app is very lagging from the beginning and now
                  this. Poor!</t>
  </si>
  <si>
    <t xml:space="preserve">only one worst problem is your item can go out of stock even
                  after placing order . They dont have any value of customer
                  time. Means such a irritating thing tgat you will not get one
                  inp item for which you added all unnecessary items.</t>
  </si>
  <si>
    <t xml:space="preserve">Useless service order on 26 Oct24 for Deepawali Gift. First
                  it's was confirmed delivery on 30th. On midnight of 30th it's
                  is rescheduled for 4th November. There is no cancellation
                  order provision in application. Customer care also show
                  helplessness is cancelling the order. Please don't trust this
                  app</t>
  </si>
  <si>
    <t xml:space="preserve">Worst app . Wether its the icon size, layout,design or
                  navigation experience, you will feel cramped. Very confusing
                  and boresome.</t>
  </si>
  <si>
    <t xml:space="preserve">Worst app ,app doesn't show that the item is not available
                  during purchase after payment they just cancelled it by saying
                  that it's not available and refund also not done , even they
                  didn't clarify if we have any questions regarding refund</t>
  </si>
  <si>
    <t xml:space="preserve">Worst shopping application ever. Don't download it. There is
                  no return/exchange policies and no customer support service
                  available. No revert of mail and chat support. No revert of
                  complaint raised.</t>
  </si>
  <si>
    <t xml:space="preserve">The packaging of product is very standard, and product quality
                  is very good but jioMart apps need to improve many features
                  like's product tracking options as where is product reaching
                  at current time.... in this app only showing order details,
                  shipping details, aspects diliver date and product out for
                  delivery...</t>
  </si>
  <si>
    <t xml:space="preserve">Services are worst as like accepted from Jio specially at the
                  time of festive deals. Support function over call and WhatsApp
                  are worst and they are not helpful. I have reach out on below
                  mention email. But the issue is not resolved yet and always
                  received damage products specially biscuits.</t>
  </si>
  <si>
    <t xml:space="preserve">Poor app support i ordered but the delivery boy cancelled
                  order and saying he is unable to deliver more then 2/3 km.
                  They have to show this before order. It's such a worst app I
                  used ever</t>
  </si>
  <si>
    <t xml:space="preserve">No, it has not. Still it is not reinstated. It says after
                  login OOPS SOMETHING WENT WRONG and not picking up my account
                  2 months I am waiting with huge wallet balance. Useless
                  support your cs is also not supportive.</t>
  </si>
  <si>
    <t xml:space="preserve">Now a days your service is really poor !! After online
                  payment,I got SMS that order got dispatched and received OTP
                  after 5 mins it says order is successfully delivered but I
                  have not received the product till now. Raising issue with
                  chat they say complain raised for refund will be credited in 7
                  working days. Who will follow-up with bank and you.. such a
                  hassle in placing the order with your application. I will
                  escalate this in social platforms !!</t>
  </si>
  <si>
    <t xml:space="preserve">One of the worst app, I ordered few groceries in the morning
                  and it's a prepaid order but I didn't received the my order
                  it's just says under process this really fraud there is not
                  customer service. Please don't fall for this kinda trap</t>
  </si>
  <si>
    <t xml:space="preserve">Superb product. it's truly stereo sound. battery backup good.
                  but not good for long distance from mobile or any other
                  gadget.</t>
  </si>
  <si>
    <t xml:space="preserve">Fraud app. Totally fraud. I have ordered some items from this
                  app. They are delaying it day by day. And also not able to
                  cancel my order.Also the customer service is not good ðŸ˜ ðŸ¤¬</t>
  </si>
  <si>
    <t xml:space="preserve">I don't like this app you can't search for a grocery without
                  scrolling they should simply tell us it's out of stock in the
                  search bar on the right side I now it's not possible for every
                  product but do it atleast with top products</t>
  </si>
  <si>
    <t xml:space="preserve">the app is super slow, even on a 5g or broadband internet
                  connection, work on it guy., After launching it have the
                  developer not tested it?Even it crashes frequently.Try too
                  mend it</t>
  </si>
  <si>
    <t xml:space="preserve">Number 1 froud app in India they are cheating customers and
                  they are not properly maintained app please be careful of jio
                  app and company I want to give negative 100 stars but not
                  possible they are cheating customers spam discounts and
                  cancelled our orders my last 3 orders got cancelled if o asked
                  customer service they have say technical issues waste app</t>
  </si>
  <si>
    <t xml:space="preserve">Most user friendly shopping app than amzon and flipkart.......
                  Excellent shopping app for groceries and daily house hold
                  usage........easy navigation and search option.....and search
                  suggestions are great......... U can find exact product u
                  search for...... Great app enjoyed it a lot.......</t>
  </si>
  <si>
    <t xml:space="preserve">Jiomart suddenly stopped delevering to my location. They have
                  been delevering for the past 2 years but since OCT they
                  stopped delevering to my location. May I know the reason for
                  this please And when will the delivery service will be renew.</t>
  </si>
  <si>
    <t xml:space="preserve">Worst shopping app i ever used. Most of time product are out
                  of stock or not displaye in search. A lot of time taking. How
                  one can shop conviniently.</t>
  </si>
  <si>
    <t xml:space="preserve">Add option to open home tab directly. If i surf more it's
                  getting hard to get the home page. I have to re-open the app
                  &amp; that's not the task I want to do.</t>
  </si>
  <si>
    <t xml:space="preserve">Worst app, sh owed hyperlocal delivery by10-30 mins, after 7
                  hours still under process, cannot cancel, cannot reach anyone,
                  and standard bot responses. Regret using this app</t>
  </si>
  <si>
    <t xml:space="preserve">Worst. I ordered groceries item. On 16th Oct, After ordering
                  nd payment done,u said 2 it's unavailable. Then I dnt receive
                  money for my two items. In app showing refunded. But I do not
                  receive my money, if I call customer care they ask me to wait
                  fr 7 days. After 7days again 3 days. R u cheating? Why should
                  I wait? 7days,3days? Whether u will return my money? R
                  cheating? Worst app, never open fast. Too much slow,I do not
                  why I ordered? It's a punishment for me without getting items
                  nd my money</t>
  </si>
  <si>
    <t xml:space="preserve">Can't signin to the app. Oops, something went wrong, please
                  try again later. This has been happening for over 24 hours,
                  tried reinstalling the app... same result. Jiomart dev team is
                  sleeping.</t>
  </si>
  <si>
    <t xml:space="preserve">Third class support. I returned item 31st oct and they are not
                  picking item not providing refund. Product quality is third
                  class and their support teams have unproffesionals they never
                  resolving your issues and keep giving false promises. Only buy
                  item from Jiomart if you want to begger against them</t>
  </si>
  <si>
    <t xml:space="preserve">Pathetic experience. Ordered for 2 quantity received only 1
                  quantity and took payment for 2 though. And didn't gave refund
                  also after following up every day. Very disappointed</t>
  </si>
  <si>
    <t xml:space="preserve">It's been more than 10 days, they have stuck my order in under
                  process which has to be delivered in 1day under hyperlocal
                  delivery, and now when I'm trying to canceling it through
                  customer care they do nothing.</t>
  </si>
  <si>
    <t xml:space="preserve">Worst possible service for hyper local delivery. Would
                  recommend to not order even if they givenit free, as it will
                  never come on time. Customer service is absolute waste, they
                  are human tape recorders.</t>
  </si>
  <si>
    <t xml:space="preserve">I placed a grocery order, but just 5 minutes later, I received
                  a call from the delivery agent saying he couldn't deliver
                  because he didn't have a bike to travel 5 km. He canceled my
                  order. My question is, why is the service available in my
                  pincode if you can't fulfill the delivery?</t>
  </si>
  <si>
    <t xml:space="preserve">Initially it was good for 3-4 months but after that no product
                  is showing at my pincode useful. They show only irrelevant
                  products which are of no use.</t>
  </si>
  <si>
    <t xml:space="preserve">I have ordered before on Jio mart There service is good,but
                  recently I ordered a product, And the deed was to pay â‚¹349 at
                  cod, But the delevery guy charged â‚¹20 extra in the name of
                  Survey charges.He wasn't even able to explain me what was the
                  survey for. Anyway the product delivered was Good.</t>
  </si>
  <si>
    <t xml:space="preserve">Extremely horrible, I ordered two items and received only one
                  . Upon asking this to customer care, their reply is sorry.
                  Still, I have that order fully packed, I haven't opened the
                  packing also.</t>
  </si>
  <si>
    <t xml:space="preserve">Hypermarket is a big flop. Products ordered don't get
                  delivered every time and getting a refund is a pain even after
                  contacting customer care. I have stopped using Jiomart after
                  being a loyal customer for more than 6 years.</t>
  </si>
  <si>
    <t xml:space="preserve">Delivery time is more then other &amp; they are not sending
                  all the items together, every time we need to give OTP, rate
                  is also high compare to other.</t>
  </si>
  <si>
    <t xml:space="preserve">Pathetic app at all and their customer service also a joke.. I
                  have ordered and that order cancelled without any reason by
                  jio mart.. and when I called to customer service they ask me
                  to reorder again and then again wait for order to deliver and
                  for refund as well</t>
  </si>
  <si>
    <t xml:space="preserve">Pathetic service... First they accept order and share wrong
                  delivery information.. Then called back and says material is
                  out of stock..ðŸ˜¡ Also refund will be credited in wallet, such
                  a bad app, don't use it...go with Amazon or Swiggy instamart</t>
  </si>
  <si>
    <t xml:space="preserve">Pathetic service ordered grocery but items are missing inspite
                  of complaints since there's no proper way to contact them,they
                  have resolved the matter without any resolution no point in
                  using this kind of app uninstalling it</t>
  </si>
  <si>
    <t xml:space="preserve">Superb fraud app. Every time my prepaid order would be
                  cancelled without any reason and the order ammount is hold for
                  7 days. Don't buy any product from this platform.</t>
  </si>
  <si>
    <t xml:space="preserve">I loved this app, but they suddenly stopped delivering those
                  products which I ordered previously. And now I didn't find a
                  single thing which I can order. Really disappointedðŸ˜ž</t>
  </si>
  <si>
    <t xml:space="preserve">I have raised complain, instead of resolving Jio is asking too
                  much information like photo, brand, manufacturer and all that
                  to resolve it. And after a day, status changed to resolved
                  Without resolving the ticket. You lost one customer today.
                  Poor show.</t>
  </si>
  <si>
    <t xml:space="preserve">Totally fraud app- don't order-they provide expiry product
                  &amp; rejected products .no.refund..no replacement. And they
                  update it as case resolved. Beware of the fraud</t>
  </si>
  <si>
    <t xml:space="preserve">awesome and quick service..it really implemented the feedback
                  that was shared..only concern was they didn't provide d bill
                  receipt during delivery.</t>
  </si>
  <si>
    <t xml:space="preserve">Worst app don't loose your money fraud app worst app
                  management so called bambani should learn from zepto or zomato
                  my order was not delivered the delivery agent behaviour is
                  worst I have to travel 3 kilometers to collect my order. If u
                  want loose your patience or money please go ahead</t>
  </si>
  <si>
    <t xml:space="preserve">Order placed but product not delivered after that in app
                  status showing as cancelled, this happened twice in a week,
                  very bad experience need to improve service.</t>
  </si>
  <si>
    <t xml:space="preserve">Refund Policy is very Bad I am afraid 2nd Time prepaid Order
                  If Unavailable Items Refund will Receive or not It's not
                  Confirm. They Always Missing One or 2 Items &amp; Showing
                  Refund intiatated But never Receive, Customer Care Executive
                  also Waste, They every time tell lie,</t>
  </si>
  <si>
    <t xml:space="preserve">The only reason and writing this review because it's happened
                  more than 2 times with me. If I am Ordering for XL why would
                  you send me M size. If you can't tell the difference between
                  XL or M then there's no point to have your store online. I can
                  understand if it happens Once or twice. Third time ?. It
                  clearly shows you guys are not serious about you work. And
                  don't value your customers at all. Worst experience ever.
                  Would never ever recommend this to any one.</t>
  </si>
  <si>
    <t xml:space="preserve">Very worse experience every time i ordered on jio mart... Got
                  frustrated with customer service, delivery service and
                  damaged, poor quality &amp; missing item too... Not enen
                  deserve a single star.</t>
  </si>
  <si>
    <t xml:space="preserve">App is not refined. There should be a option to filter out
                  SmartBazaar items from other items. This is a basic need but
                  don't know why the developers have not included it.</t>
  </si>
  <si>
    <t xml:space="preserve">Totally disappointed with products availability. Now nothing
                  is available at my location what I used to purchase from one
                  year in Vadodara. All the branded products and essential
                  products are available in only milk basket. And it's not
                  delivered to my address. Also I want to change my address in
                  milk basket but I'm not able to do so. Do milk basket deliver
                  in vadodara or not. Please reply.</t>
  </si>
  <si>
    <t xml:space="preserve">Application is not working, can't find big brands like parle ,
                  britania etc in the search bar. Other brands are also not not
                  showing.</t>
  </si>
  <si>
    <t xml:space="preserve">The UI needs a improvement, the UI is not smooth as it should
                  be, the products takes time to load after searching</t>
  </si>
  <si>
    <t xml:space="preserve">Even after accepting the OTP the app is not staying logged in.
                  Without it you are unable to check out. Tried this on the
                  website too same issue.</t>
  </si>
  <si>
    <t xml:space="preserve">Good improvement in delivery time, but availability of
                  products is a issue and app interface is unprofessional.</t>
  </si>
  <si>
    <t xml:space="preserve">Can not see all the items which are available in smart
                  bazar,all the leading brands products are unable to see
                  through app,but are available in smart bazar.</t>
  </si>
  <si>
    <t xml:space="preserve">The app is slow and no it's not my network (100 mbps should me
                  more than enough). That was a very stupid response on last
                  complaints, release an update to fix the app</t>
  </si>
  <si>
    <t xml:space="preserve">jio mart is better than all and I like it very much..delivery
                  fast and items are very good ..I will do recommend to everyone
                  that will purchased all items jio mart is the
                  no.one...vegetables and fruits are fresh....</t>
  </si>
  <si>
    <t xml:space="preserve">Respected sir/ma'am, This is to inform you that i ordered a
                  jio phone next mobile bettery from my end but this mobile
                  phone bettery is not charged properly. Its a defective
                  product. Not charged properly. I called your customer service
                  executive and he told me you need to go to jio service center
                  but its 3.5 km far away from my house. Kindly send someone to
                  pick it up or replace this product or refund my money back. If
                  my issue is not resolved from your end i will file a legal
                  case against your</t>
  </si>
  <si>
    <t xml:space="preserve">They didn't deliver my order nor returned the my money there
                  is no option for cancelling order I reached out to customer
                  care they also didn't help me at all Im so disappointed And
                  probably would never use this aap again</t>
  </si>
  <si>
    <t xml:space="preserve">Actually just today right now I installed this jio mart app ,I
                  didn't know about this app very well, so I searched it on
                  YouTube nd watched some videos about this app ,I like it
                  ....like its convenient grocery nd in our monthly budget so I
                  thought let me try .....nd I actually worried about the city
                  problem cause I lived in J&amp;K ðŸ™‚but they also delivered
                  hereâœ¨ðŸ˜ŒðŸ›ï¸.....so hope it's goes wellðŸ¤žðŸ»</t>
  </si>
  <si>
    <t xml:space="preserve">Very bad app.I m trying to sign in from last 2 days to order
                  jio set top box remote,but it's so bad app that it doesn't get
                  sign in.</t>
  </si>
  <si>
    <t xml:space="preserve">Worst store app nothing is in stock. Give a button to delete
                  cart items. It's a painful process reduce the quantity of each
                  item to delete them from cart. Seriously?</t>
  </si>
  <si>
    <t xml:space="preserve">Return policy of jio mart is very very bad, they donot accept
                  return request of the product and reject return of their own,
                  I have nightmare shopping with jiomart, if you buy anything
                  from JIomart forget you can also return the same.</t>
  </si>
  <si>
    <t xml:space="preserve">It shows Product out of stock when I try to buy anything on my
                  location and standard branded grocery products goes
                  disappeared when I searched. Talked customer care they also
                  not responding</t>
  </si>
  <si>
    <t xml:space="preserve">Bad service . Wrong website description for products.Items
                  won't deliver on time. Untimely pickup and refund . It's been
                  30 days and I still haven't received my refund</t>
  </si>
  <si>
    <t xml:space="preserve">Very Bad service. The orders are first delayed and then
                  cancelled. There's a reason why Amazon and big basket lead in
                  grocery you'll come to know when you use Jio Mart.</t>
  </si>
  <si>
    <t xml:space="preserve">Worst app I had ever seen like this , customer care doesn't
                  responded the customer and whenever I add to cart , showing
                  (Oops something went wrong )and so I can't use the app now ðŸ˜¡</t>
  </si>
  <si>
    <t xml:space="preserve">Worst quick commerce app ever. If your order was prepaid they
                  never returned the money for your cancelled orders. Delivery
                  agents cancelled the order and they didn't take any actions
                  against them.</t>
  </si>
  <si>
    <t xml:space="preserve">I placed one order and paid online....I got message that my
                  order got dispatched through delivery agent name with delivery
                  code but after few minutes I got any message that order got
                  cancelled.... Waste of time by placing order in jio Mart which
                  will get cancelled automatically</t>
  </si>
  <si>
    <t xml:space="preserve">my first expression on this app....worst app, I'm ordered
                  cetaphil pro clay mask 748/- , i recieved a ayur rose water
                  75/-, and there is no placed returning option.. disgusting
                  app.... don't install...there are sending a fake products...
                  additionally I'm loosing 748 rupees.</t>
  </si>
  <si>
    <t xml:space="preserve">very bad experience, app is automatically logout and not login
                  again, every time showing unable to process your request.</t>
  </si>
  <si>
    <t xml:space="preserve">Very bad experience, they just cancelled my 2 orders without
                  any communication. Better shop with amazon.</t>
  </si>
  <si>
    <t xml:space="preserve">Waste apps don't order from Jio Mart I ordered 4 items and
                  received 1 item wrong, but they customer is saying no full
                  item is delivered. This is a very disappointing worst service.
                  The worst app pls don't order from Jio Mart.</t>
  </si>
  <si>
    <t xml:space="preserve">Great shopping app! Far better than Flipkart and Amazon! Just
                  one suggestion is there that make JioMart Lite for slower
                  connections like Jio! I quit JioMart because it belongs to Jio
                  family! On festive season, they are giving products at high
                  prices, such as rice and other groceries!</t>
  </si>
  <si>
    <t xml:space="preserve">Whenever we cancel an item or return they always refund after
                  we raise mutliple tickets and that too not the whole
                  amount........if they cancel any item also they don't refund
                  without us raising tickets</t>
  </si>
  <si>
    <t xml:space="preserve">Get the original one in lowest price with no delivery charges.
                  It is a100 time better than the local and duplicate
                  batteries.must buy</t>
  </si>
  <si>
    <t xml:space="preserve">Waste app. I ordered groceries on Nov 2 morning. Items
                  expected to deliver on same day. But till today I,e Nov 5
                  items are not delivered.</t>
  </si>
  <si>
    <t xml:space="preserve">I am extremely disappointed with the customer care service of
                  this platform. They are completely useless and don't provide
                  any support. It's very clear that they do not prioritize their
                  customers at all.</t>
  </si>
  <si>
    <t xml:space="preserve">Deals are great but the app sucks they cancle the order most
                  of the time, gives great offers on pre paid orders but when
                  you place order they will cancle the order &amp; your money
                  will be stuck. and the reason for canceling orders will never
                  be"canceled due to unforeseen reasons"&amp; when you call
                  support they'll say canceling reason was product not available
                  at your pincode. So why am I able to order if it isnâ€™t
                  available at my pincode? hope they'll fix this! till then
                  flipkart grocery is way better!</t>
  </si>
  <si>
    <t xml:space="preserve">On my very 1st order, I received one different product than I
                  ordered, and the expiry date of that different product is also
                  within 7-8 days. When I called them for my concern, they told
                  me that they could give a refund in Jio Mart wallet only and
                  not in the original source of payment. Even on their mistake,
                  they are not listing me.</t>
  </si>
  <si>
    <t xml:space="preserve">Good app for shopping but definitely a zero star for refund
                  it's been almost a month have called the jio care thrice but
                  still haven't gotten a refund of my order that was cancelled
                  because of the error of their own delivery partner! Would
                  definitely not recommend!</t>
  </si>
  <si>
    <t xml:space="preserve">Worst experience ever. I ordered a few items, those were
                  cancelled by the Delivery partner before one day of delivery.
                  I have not received my refund yet. And when I tried contacting
                  customer care, bot replies and there is not any contact
                  details of any person. If you call on the number they have
                  provided, it is again bot speaking with nothing happened. Not
                  recommending to anyone! I hope they refund my money.</t>
  </si>
  <si>
    <t xml:space="preserve">Very bad experience.... They don't deliver the item and send
                  the item back to the supplier and give wrong reasons</t>
  </si>
  <si>
    <t xml:space="preserve">Jiomart never delivered me any grocery, everytime it shows
                  either delivered (without delivering) or cancelled by delivery
                  partner. And it's not happening with me only, this happened
                  with many person I know. Worst online ordering app I have ever
                  seen.</t>
  </si>
  <si>
    <t xml:space="preserve">I was finding this app very useful but now there is some issue
                  where I am not able to buy pouch of gold winner oil more than
                  1. This is very annoying right now. I have been using this app
                  for more than a year or 2. This issue was there for more than
                  a month. I kept patience thinking that it might change but
                  there is no changes. I really want this issue to be fixed as
                  soon as possible.</t>
  </si>
  <si>
    <t xml:space="preserve">App has been changed no brand has been shown,which were
                  earlier there,what happened with the app,do it fix ,otherwise
                  we have to shift other app.</t>
  </si>
  <si>
    <t xml:space="preserve">Dont ever purchase from here they wont give you full product,
                  i ordered ghee pot and product was missing, on raising
                  complaints they give me future resolution dates and asked me
                  to follow up instead of any resolution or help. One of the
                  worst app with no return policy and poor customer care. I
                  would like to rate -ve if possible. Will never ever purchase
                  and advise others too. Please don't buy from Jiomart. It is a
                  scam site /app.</t>
  </si>
  <si>
    <t xml:space="preserve">Their hyperlocal is highly unreliable they will automatically
                  change the date of delivery and you cannot cancel so items you
                  need now can be delivered in two days ðŸ˜¤</t>
  </si>
  <si>
    <t xml:space="preserve">Very poor experience. They are literally fraudsters. Delivered
                  stale and bad quality products and didn't replace them even
                  after multiple requests. Their team just closes the requests
                  without giving any resolution. Eventually the time period from
                  the order delivery within which you can raise a request will
                  get exhausted and you won't be able to raise further requests.</t>
  </si>
  <si>
    <t xml:space="preserve">I would give it five stars but since the issues which I'm
                  facing with my last few orders which I have ordered being
                  cancelled everytime and if I chat with the agent in the app,
                  they always ask me to reorder and I am frustrated with these
                  issues. Please tell the delivery partner not to cancel my
                  order every single time. Improve your delivery service. It was
                  working nice previously but now I am sick of this app</t>
  </si>
  <si>
    <t xml:space="preserve">Search Menu needs to be more refined and need to filter a
                  plethora of not so relevant items which create a lot of
                  clutter &amp; make search selection so time consuming &amp;
                  difficult. For instance, wanted a shampoo &amp; tried under
                  Hair care, which displays so many hair oils etc, first, filter
                  option lacked many brands &amp; same with search option with
                  Shampoo as key word., overall too many results in search
                  complicated selection.</t>
  </si>
  <si>
    <t xml:space="preserve">Horrible User experience. Purchasing item was tough on the
                  platform but receiving the item is even worse. No updates,
                  delivery date is wrong (already overdue 5 days and no Info on
                  app) Then delivery partner sends message they are delivering
                  but later don't sending falsemessage " I refused delivery''!!!
                  Delivery partner will never pick up phone. No way trusting Jio
                  Mart again, Amazon is best !!!</t>
  </si>
  <si>
    <t xml:space="preserve">After updating the app I am not able to see the items I have
                  wishlisted. When l click on wishlist, I can see "Our
                  Recommendations" items not the one which I've wishlisted.
                  Recently my orders have been cancelled after rescheduling the
                  delivery date multiple times. I think it's better to uninstall
                  this app. As I am facing issues everytime when I order
                  something.</t>
  </si>
  <si>
    <t xml:space="preserve">Never order online from Jiomart. They are cheaters. The
                  products they deliver are all nearing expiry. Even they open
                  and remove the stuff from boxes and repacked items with lesser
                  quantity is delivered. The inventory details are not updated.
                  No efforts they take to procure unavailable products and
                  simply cancel order for the products without intimation.</t>
  </si>
  <si>
    <t xml:space="preserve">Worst experience. Orders simply gets cancelled without any
                  reasons. There is no way to talk to customer care, everything
                  needs to be done via app only. Even if you raise complaints,
                  they close without even contacting the customer. It is kind of
                  a bogus app.</t>
  </si>
  <si>
    <t xml:space="preserve">Now a days it is showing error while ordering "hyperlocal
                  delivery is not available in your area". I am ordering from
                  app for last 4 years and never got this problem. If not
                  hyperlocal then deliver by normal method. BTW Never got
                  delivery in one day anyway. Now I switched to Blinkit.
                  Jiomarts loss.</t>
  </si>
  <si>
    <t xml:space="preserve">Don't download it. It's a fraud app. They show many items in
                  cart while ordering. Once paid they failed to deliver ordered
                  items. Then they don't pay back for the non delivered items or
                  the refund amount. Online support is completely useless. They
                  are big cheater.</t>
  </si>
  <si>
    <t xml:space="preserve">search entry font and background is same color, no contrast.
                  Not trust worthy mart they simply cancel order on the day of
                  delivery. Not customer centric. Even after taking payment
                  order is cancelled repeatedly. Another useless department is
                  customer care, except hearing 'sorry' nothing is delivered. If
                  this is the scenario for Bangalore imagine for other
                  locations. Looks like customer is taken as granted without
                  giving service, I am stopping using Jio APP after repeated
                  worst experience.</t>
  </si>
  <si>
    <t xml:space="preserve">Frequent Missing Items and Inconvenient Refund Process I've
                  ordered from this app several times, and on multiple
                  occasions, items have been missing from my order. This has
                  become quite frustrating as I have to contact customer care
                  every time to request a refund. I hope the app improves its
                  order accuracy.</t>
  </si>
  <si>
    <t xml:space="preserve">Watage of time in placing order. Delivery time is abruptly
                  poor. Show delivery estimate post placing the order. On a
                  worst condition one can use the app and will wait for couple
                  of days. I am sure they have not heard about Blinkit. Another
                  worst thing is items get out of stock any time in between of
                  their delivery time... I placed the order of cookies, biscuit
                  chocolate. It's been more than 24 hours and I have no clue.
                  What a waste! I would have bought in less than 30 minutes if I
                  was not well.</t>
  </si>
  <si>
    <t xml:space="preserve">Do not shopping from JIO Mart. They are cheating with you .
                  ordered placed (many items) and amount debited from your
                  account but the order is not showing (all items are not
                  showing which was ordered and only one item is showing but the
                  amount was debited for many items) JIO Mart app and they are
                  saying the amount will be refunded with original payment mode
                  within 7days. But the actual scenario is you will not get the
                  refund. is is once type of scam. Better to use Amazon and
                  Flipkart.</t>
  </si>
  <si>
    <t xml:space="preserve">Jiomart's service is very bad... In the payment option, only
                  the cash on delivery option has been removed... I contacted
                  the customer service many times... they said they will solve
                  it soon... After a few days I got a message that your query
                  has been resolved...after checking again the same problem
                  occurred, cash on delivery option was not shown..this is my
                  problem that I want cash on delivery option as soon as
                  possible</t>
  </si>
  <si>
    <t xml:space="preserve">My experience with JioMart has been incredibly frustrating.
                  Despite rescheduling my order multiple times over the past two
                  days, I have not received any communication from the delivery
                  agent. I contacted customer care and requested the delivery
                  agent's details to collect the order myself, but was assured
                  it would be delivered today. That promise was not kept. I am
                  now requesting a full refund and will never use JioMart again.
                  This was my first experience, and it has been the worst
                  possible.</t>
  </si>
  <si>
    <t xml:space="preserve">Don't ever purchase from this platform. Worst shopping
                  policies ever. They sent me a defective shoe. I asked for an
                  actual money refund, and they denied it and told me that they
                  could only give a wallet refund just because I had paid
                  through cash on delivery . Beware people, this platform is a
                  total scam</t>
  </si>
  <si>
    <t xml:space="preserve">Just shut your shop if you are unable to run business.
                  TECHNICAL ISSUE has been going on forever now. Don't you feel
                  ashamed repeating the same old absurd reason. Items go out of
                  stock even when order is processed, the order is out for
                  delivery and within a few minutes gets cancelled altogether.</t>
  </si>
  <si>
    <t xml:space="preserve">I was using this app for the last many years but recently, it
                  had unlogged me automatically and whenever I want to login
                  into it through OTP sent on my mobile, it shows a popup
                  message "ops something went wrong" and not logged into the
                  app. I am trying it for last few months and after many times
                  reinstalling. Need the help from the jiomart. After few days
                  logging my complaint via email as suggested by the jio team my
                  problem resolved. Thanks.</t>
  </si>
  <si>
    <t xml:space="preserve">Worst experience with delivery. Status was showing that the
                  product delivery will be after 2 days but the order got
                  returned . I talked to customer service , but they couldn't
                  resolve my query . They told me that you reorder the product
                  after some time . After that I have ordered one more time and
                  it was also cancelled my the delivery associate . One more
                  thing , if some items are not available , then they should not
                  get listed or some remark should be there.</t>
  </si>
  <si>
    <t xml:space="preserve">This app becomes worst nowadays when we are ordering anything
                  it shows available and at the time of delivery it shows out of
                  stock. I have faced this problem 7-8 times till now. Anything
                  we needed on time and we can't get then it's only wastage of
                  our time. If you don't have availability then don't shows it
                  in stock...</t>
  </si>
  <si>
    <t xml:space="preserve">Worst app. They don't deliver any product. All fake display
                  items. They will take orders, keep the amount for 1 week by
                  keeping us in dream of delivery. After 1 week they will cancel
                  the order and refund our money. This is a new financial fraud.
                  Taking other money and do business for 1 week and return.
                  Buyer will get nothing, seller means App promoters will get
                  benefit of prepayment money.ðŸ™ðŸ¤¦ðŸ»â€â™‚ï¸ðŸ™†ðŸ»â€â™‚ï¸</t>
  </si>
  <si>
    <t xml:space="preserve">App no doubt provides grocery in a click.. but is very slow,
                  keeps on hanging, and takes forever if you, by chance, wish to
                  edit your cart. Also even if you have your Jiomart store next
                  to your place, it WILL take 3-5days to deliver. On the
                  contrary, other grocery store mediums (be it local or
                  bigbasket etc.) They deliver the same on the same day, also at
                  same or sometimes discounted prices than reliance.</t>
  </si>
  <si>
    <t xml:space="preserve">There is always a missing item/items, they will send you a
                  wrong item and when you raise a complaint for the issue, they
                  closed the ticket as resolved and complete without resolving
                  the issue. Such a pathetic customer service and useless
                  platform to shop.</t>
  </si>
  <si>
    <t xml:space="preserve">The worst app ever to shop from! Never ever make a purchase
                  from here. They don't accept the order soon. If by chance they
                  accepted it, their delivery is way too late or if the order
                  gets cancelled, their refund process is pathetic. It takes
                  12-14 days to get the refund</t>
  </si>
  <si>
    <t xml:space="preserve">I am writing to express my deep dissatisfaction with the
                  delivery experience I've had with JioMart. From my very first
                  order, I have been receiving calls from the store before
                  delivery, asking for the OTP before the order is even
                  delivered. This has happened repeatedly, and it feels like an
                  attempt to cheat the system.Additionally, the delivery service
                  seem unprofessional, and there is a clear lack of proper
                  coordination among your staff.unintalling this app.</t>
  </si>
  <si>
    <t xml:space="preserve">App is fine but need improvement in some areas 1- Delivery are
                  getting too late as compared to your competitors work on it
                  and make possible a early early on the day itself when the
                  product is ordered 2-Discounts on product can be much better
                  3- Add more products in your app like muffins, milk (packets
                  of 1 ltr) etc. it will be more convenient for customer to
                  order everything at a time.In recent incident I ordered a
                  biscuit packet and facewash but u get delivery of one product
                  (out of stock)</t>
  </si>
  <si>
    <t xml:space="preserve">I would suggest to use swiggy instamart Or bigbasket.Jiomart
                  are worst in service. I ordered few vegetables and groceries
                  and 4 to 5 items are missing which is not in tolerable and
                  they make policy in such a way that within 2 days you have to
                  register a complaint otherwise they are not going to register
                  your complaint. I ordered from Instamart and Bigbasket they
                  also forget the orders to deliver but they will refund it or
                  reschedule the delivery which items were missing.</t>
  </si>
  <si>
    <t xml:space="preserve">Lots of issues also support system is very poor. Not
                  recommended. From more than one month I am waiting for my
                  refund for the order dated 29th June every time I am getting
                  false assurance....it is totally fraud team.... don't waste
                  time on this....there are other best option available apart
                  from this jiomart...</t>
  </si>
  <si>
    <t xml:space="preserve">The overall prices are good and lot of varities are there but
                  your app is too slow litrellay it takes too much time to load
                  One bad thing if i click on plus button to add to cart the
                  items it opens the whole item description that is so bad and
                  disguisting Please fix it and then i gave you 5 stars</t>
  </si>
  <si>
    <t xml:space="preserve">Earlier it was a good platform,now its useless to order on
                  this app..in delhi they take forver to deliver...i ordered on
                  1st may they were not able to deliver until 7 and finally my
                  order got cancelled..i again ordered on 7 may... expected
                  delivery was 9 and without any Valid reason they shifted it to
                  11 are prepaid order and i am not even able to cancel my
                  order. PS: now the co. Had started delivering short order.they
                  always take order and cancel half of your items and sends the
                  remaining.</t>
  </si>
  <si>
    <t xml:space="preserve">Their service is extremely bad. I placed an order, the payment
                  was made, and then suddenly they canceled the order without
                  any explanation. Now, I will only get my money back after a
                  week. DMart is much better than them, and from now on, I will
                  order my groceries only from DMart.</t>
  </si>
  <si>
    <t xml:space="preserve">Too much disappointed â˜¹ï¸ this this new version . I used to
                  order grocery from this app but now can't coz everything has
                  been changed. Very bad app . M using this app since four yrs.
                  But this time worst experience. Can't find out any items . Of
                  mine which I used to order on regular basis . All different
                  brands which I have never heard before .</t>
  </si>
  <si>
    <t xml:space="preserve">I am very disappointed with delivery service.I am using this
                  app from past two years and from last month i am facing
                  problem to get my order . Your delivery partner is cancelled
                  my order without reaching out to me as i waited whole day.
                  This service are you guys providing us? If you can't fulfill
                  are requirements on time so why are you taking order from us
                  and one more thing on app you are showing offers on products
                  after ordering the product will not get the product after
                  delivery.</t>
  </si>
  <si>
    <t xml:space="preserve">Such a pathetic app with even more pathetic service. They
                  didn't deliver my order then had to fight them for refund
                  which they would only credit to wallet and payment screen does
                  not have option to pay with jiomart wallet. I am sure the good
                  reviews here are paid ones.</t>
  </si>
  <si>
    <t xml:space="preserve">Sending expired items and getting refund is such a big pain.u
                  will get refund or not is also not sure. Useless app.they have
                  put a cap on quantity of items you can order and all fast
                  moving frequently ordered products come under that so you will
                  be forced to order unwanted products for free delivery. On top
                  of that they entice with offers but those are never in stock.
                  Basic items like milk curd is never there. As usual conning
                  and fooling people is what reliance is relying upon to earn
                  profits.</t>
  </si>
  <si>
    <t xml:space="preserve">Worst grocery app ever, last 5 orders returned without any
                  reason and no support from customer support, even the customer
                  care number you mentioned was not able to help fyi</t>
  </si>
  <si>
    <t xml:space="preserve">Please close your app if you cant work properly .this app is
                  worst shopping app .every time missing item in order. This
                  problem is from when the app is started I complaint many times
                  but every time .sometimes receive damage products also they
                  didnt refund on time. Very worst app in world.</t>
  </si>
  <si>
    <t xml:space="preserve">Only option is hyperlocal delivery but it doesn't let me place
                  the order saying hyperlocal delivery is not available in your
                  location. There is no option to select normal delivery.
                  Customer service just disconnects the chat without helping.</t>
  </si>
  <si>
    <t xml:space="preserve">I recently made a grocery order from Jiomart and 3 Balaji
                  snacks items were missing from delivery parcel. I called the
                  delivery guy &amp; he told to reach his senior who never
                  picked calls, last option a complain. I raised a compain
                  against that order &amp; I got a refund of 2 items and the
                  main item was not refunded. I raised a followup request,
                  assuming they might not have read my earlier request
                  correctly. But new request was closed without any action. Such
                  a fraud app &amp; people. 0*. Go 4 other apps.</t>
  </si>
  <si>
    <t xml:space="preserve">Worst app. Doesn't deliver product and instead cancels it
                  without the will of the customer and unknowingly. Then doesn't
                  refund money on time as well. Moreover takes so long to
                  deliver the product that it's just useless after that point.</t>
  </si>
  <si>
    <t xml:space="preserve">App is good. Delivery guys... not so much. The hyperlocal
                  delivery is a joke. This is the third day, and the stuff I
                  ordered is still not delivered. Update: now my order is marked
                  as RETURNED. All the items are still available and in stock.
                  Seems like the delivery guy didn't want to come.</t>
  </si>
  <si>
    <t xml:space="preserve">Worst app and services. Everytime there is some problem. Last
                  time unable to cancel an order. Even customer service
                  executives don't tell the reason and not able to cancel. Some
                  3rd class people are controlling the service. Delivery is so
                  delayed with respect to other apps.</t>
  </si>
  <si>
    <t xml:space="preserve">Earlier it was good but now my delievery are getting cancelled
                  everytime. First thing it's block my money, second thing it
                  takes my time and patience for waiting for my product, and
                  third thing it irritate when then take so long and then cancel
                  my product delivery with no reason.</t>
  </si>
  <si>
    <t xml:space="preserve">I was very happy when I first ordered from JioMart but the
                  product I received was not as shown in the photo and received
                  the product in very bad condition. There is no option to
                  transfer the amount to our bank account while making the
                  return. JioMart Wallet goes money. Its so cheating never want
                  to order on JioMart again. We like our Flipkart very well.
                  Thank you very much JioMart fraud company</t>
  </si>
  <si>
    <t xml:space="preserve">i ordered a watch for my daughter it shows that the order will
                  be delivered to me by 4-5 days later and now this shows it got
                  returned and even I didn't receive my order. And this has
                  happened many times when the item has discount we order it and
                  then suddenly our order don't get delivered to us or it shows
                  that the other is cancelled, returned when i didn't even
                  received the order then the stupid customer care says you can
                  reorder when discount is not available so what's the point of
                  ordering</t>
  </si>
  <si>
    <t xml:space="preserve">There was no negative star, that is why I had to give atleast
                  1 star to them. This shopping app is one of the most
                  unreliable, horrible and absolutely useless delivery apps. It
                  is better to get your local grocery shop deliver grocery to
                  you than them.</t>
  </si>
  <si>
    <t xml:space="preserve">PATHETIC I mailed with this - I had ordered 2 packs of 2
                  quantity adult diapers, but I only received 3 diapers in total
                  when there should have been 4 packs. I made the full payment.
                  When I raised a request, they just give automated responses
                  and close the ticket. They are neither issuing a refund or
                  delivering my missing item AND RECEIVED THIS AUTOMATED REPLY
                  As per previous interaction, we would like to inform you that
                  our return policy allows you to return a product within 2 days
                  of delivery.</t>
  </si>
  <si>
    <t xml:space="preserve">WORST APP! NEVER ORDER ANYTHING FROM JIOMART. Since, I didn't
                  have a good experience with Amazon, I thought of moving to
                  JioMart. But these jio people are at another level. I ordered
                  an AC but had to cancel it. There is no customer care, they
                  have an idiotic 90s era chatbot that gives BShit answers. I
                  have decided not to buy any jio product in my lifetime. Better
                  you save your money to and delete this App.</t>
  </si>
  <si>
    <t xml:space="preserve">Worst customer support, they can't even resolve a single
                  issue. Amount got debited, items still in the cart. Is that
                  customer should suffer till getting that refund. As per the
                  RBI guidelines, refund gets with in 7 working days. They even
                  don't think, if amount got debited and the customer should die
                  of hunger, for 7 days even for food /Groceries apps issues.</t>
  </si>
  <si>
    <t xml:space="preserve">App is damn slow to respond. UI is also not responsive.
                  Ordered Products take a lot of time to get delivered. Mismatch
                  between prices on their product page and what is actually
                  being delivered.</t>
  </si>
  <si>
    <t xml:space="preserve">They have a feature called hyperlocal delivery within 10 to 30
                  mins but they will not delivere the items within given time
                  when u will call their customer support they will say to wait
                  till 9 pm and no help from costumer care also instead go to
                  other platforms</t>
  </si>
  <si>
    <t xml:space="preserve">may i know why this app exist.. Order cancelled by the seller
                  always.. everytime i order it will be cancelled.. I didn't get
                  refund also.. Give my refund amount immediately</t>
  </si>
  <si>
    <t xml:space="preserve">jio Mart is just fantastic. best place for online shopping.
                  every service as customer care, delivery, products, refunds.
                  no issue in anything . best of best.</t>
  </si>
  <si>
    <t xml:space="preserve">No Customer Support only BoTS everywhere. I have ordered
                  product where I got less quantity but no use of raising any
                  tickets it got completed by them without giving any
                  resolution.</t>
  </si>
  <si>
    <t xml:space="preserve">SCAM! FRAUD! I ordered items from JioMarr but received wrong
                  items, when I contacted JioMart customer care, they asked me
                  to wait 2-3 days for replacement. There is no option to
                  exchange today. Also return and refund option is not available
                  with them. I ordered the item as there is a small function at
                  home and guests are coming today what will I do if i get these
                  items after 2 days. DON'T GO WITH THESE FRAUD APPS.</t>
  </si>
  <si>
    <t xml:space="preserve">Very poor interface and development of app, doesn't even have
                  a section for smart bazaar to order,needs improvement</t>
  </si>
  <si>
    <t xml:space="preserve">Very bad experience with JioMart. I have order the product
                  order confirm and payment also done but after 7 days
                  unfortunately the order canceled by JioMart.</t>
  </si>
  <si>
    <t xml:space="preserve">Pathetic experience. Order phone and was supposed to be
                  delivered the next day. But they keep rescheduling the
                  delivery date. They are not even allowing to cancel it saying
                  it is already shipped and you have to decline delivery if you
                  want to cancel and they are just rescheduing the delivery date
                  so I am niether getting the product nor the refund and my
                  amount is stuck. Shameful in name of Jio. DONOT USE JIOMART.
                  THEY ARE JUST DOING FRAUD.</t>
  </si>
  <si>
    <t xml:space="preserve">Worst service app. Since last 6 times, delivery agents are
                  cancelling my order by stating that I was not available at
                  home . Even customer care are saying that due to technical
                  issue your order is not delivered. What is the technical issue
                  please someone elaborate me. I'll never use this app again and
                  will make sure that my family and my known ones will not use
                  this app again. #Pathetic service #Careless staff</t>
  </si>
  <si>
    <t xml:space="preserve">Ordered 2 electronic products and 1 grocery item from
                  JioMart.The grocery item had fungus on it .The electronic item
                  was not working so had to be returned.Product quality is
                  extremely poor.Got money refunded in Jiomart wallet.But can't
                  use the money to buy products available on their app if it's
                  sold by third party.Wallet money can be used only if the
                  product is sold by Reliance.Not at all customer friendly
                  Edit:No reply on mail shared below.Its been 2 months already</t>
  </si>
  <si>
    <t xml:space="preserve">Worst platform...I don't know how Mr Ambani has built such a
                  huge business when his companies have scant regard for the
                  consumer.products are shown at very attractive rates and even
                  though the payment has been made upfront, all you get after
                  some time is cancelled order with a lie of a text " WE TRIED
                  CONTACTING YOU BUT YOU WERE NOT AVAILABLE". Now I am beginning
                  to understand their modus operandi... naturally you would add
                  other products also which gives them Huge margin so they Wil
                  send only..</t>
  </si>
  <si>
    <t xml:space="preserve">One of the worst app i never seen, my order was cancelled by
                  the delivery partner, poor customer care support.</t>
  </si>
  <si>
    <t xml:space="preserve">Very slow app and if a add something to the cart the
                  automatically the item will got double or more and very lagy
                  app ðŸ˜”</t>
  </si>
  <si>
    <t xml:space="preserve">Excellent range of items. But never ever pay in advance.
                  Refunds never happen.</t>
  </si>
  <si>
    <t xml:space="preserve">Please provide a mechanism within the app itself for the
                  customers to provide feedback and flag technical issues about
                  the app. Here I am referring to issues with the app itself.</t>
  </si>
  <si>
    <t xml:space="preserve">it's very worst app. bcoz after place order my order got
                  cancelled and my refund not initiated yet it's taking too much
                  time pls don't install this app ðŸ˜žðŸ˜žðŸ˜ž</t>
  </si>
  <si>
    <t xml:space="preserve">Worst app , offers are just for name and delivery doesn't
                  happen at all , delivery boys don't come to the location and
                  cancel the order.</t>
  </si>
  <si>
    <t xml:space="preserve">Easy shopping and great discount; with effortless payment
                  transaction. Thankyou kindly; much appreciated.</t>
  </si>
  <si>
    <t xml:space="preserve">They claim hyperlocal delivery of certain items in 10 to 30
                  minutes, I ordered such items today at 13:38 hours but still
                  not delivered now at 19:54 hours</t>
  </si>
  <si>
    <t xml:space="preserve">There is always some product missing from order placed. No
                  customer support available. Infact customer care is waste of
                  time.they do not support in anyway The delivery person doesn't
                  know about any order and they are able to connect to store.
                  Highly not recommended</t>
  </si>
  <si>
    <t xml:space="preserve">Worst ever customer service. They reject return request saying
                  that the product is good. Even won't respond to the customer
                  complaints.</t>
  </si>
  <si>
    <t xml:space="preserve">Don't use this app, I got broken product from the package.
                  After raised complaint they come and collect product but now
                  asked for refund they asked me to wait 15 business days and
                  it's over still I not received my refund. Poor customer care
                  service. My Product is showing as returned &amp; their is no
                  option to check refund status as well. Just money waste &amp;
                  time waste App. I ordered glass product, they wrapped that
                  glass product in plastic cover then how it will come without
                  broking.</t>
  </si>
  <si>
    <t xml:space="preserve">Don't store this app and never buy any item from this app...i
                  have very bad experience with this jeomart grocery shopping I
                  payment by GPay before receiving my items and when i received
                  my order almond pack was not there and when complain in
                  customer care everytime they said me pls waiting..but they are
                  not sending my items or my refund. 4 days gone but not solved
                  here is 1* in very big numbers i read some...and i feel all
                  customers compain is right...it is very very bad experience
                  with jeomart</t>
  </si>
  <si>
    <t xml:space="preserve">This is not a perfect app for immediate product, because it is
                  gate a log time to dilivery product, they show 10 to 30
                  minutes but dilivery we get next day so my humble request to u
                  is please don't download this app. If I am wrong so please
                  sorry about it ðŸ™ðŸ˜Š</t>
  </si>
  <si>
    <t xml:space="preserve">It's totally fraud They send the product which is about to
                  expire. you will see only 2 or 3 month will be left for
                  expire. They will not send a current date product. And when
                  you return their products they will not refund. Your money you
                  will have to. Purchase some. Other item</t>
  </si>
  <si>
    <t xml:space="preserve">Order was promised in 30 minutes but was not delivered even in
                  3 hours. Cannot cancel it since it is under process..</t>
  </si>
  <si>
    <t xml:space="preserve">All good but some products are not always available, it tooks
                  3-4 weeks to get your product available in reliance mart</t>
  </si>
  <si>
    <t xml:space="preserve">Never want to order except groceries, I received wrong product
                  with wrong quantity also. I raised complaint, call to customer
                  care butno use</t>
  </si>
  <si>
    <t xml:space="preserve">Bad experience from service delivery team.Mobile application
                  is accepting the order but delivery team is denying to deliver
                  the order at outlr place.</t>
  </si>
  <si>
    <t xml:space="preserve">Worrest experience recently i ordered groceries around 18
                  items it took so much time and their flat form is kept loading
                  and slow inspite all booked but surch wate of time and
                  energy... After some time they cancelled my few order items
                  and after 2-3 hours they even cancel around 18 items
                  ðŸ˜ ðŸ˜ ðŸ˜ ðŸ˜¡ðŸ˜¡ðŸ˜¡ What's the meaning keep it online &amp; booking
                  you guys only cancel order even though it's available in ur
                  App. That's your commitment towards the customer ðŸ˜¡ðŸ˜¡ðŸ˜¡ If
                  there are 0 rating i could hv given</t>
  </si>
  <si>
    <t xml:space="preserve">They said delivery in 30 min now it's been over hours and not
                  even under process, on top of that can't cancel the order as
                  well .</t>
  </si>
  <si>
    <t xml:space="preserve">App experience bad - slow even after updating, Pathetic
                  service , No option of selecting date , time delivery slots
                  for delivery of goods like all other grocery apps , dmart app
                  ,groffers app ,bigbasket , jio mart order arrives sometimes
                  before delivery date sometimes after delivery date no time
                  slot given ,like customers have no other work in life during
                  the day , but to wait for the jio mart order , customers
                  precious time and convience not taken in consideration by Jio
                  Mart team ...</t>
  </si>
  <si>
    <t xml:space="preserve">Very poor or irritating service city like gurugram. Every time
                  I ordered grocery, first they shifting the delivery date to
                  next to next date and last they cancel my items without asking
                  or informing me. Why should I take online platforms if I spend
                  all my day in such a grocery delivery frustration. I chose
                  offline grocery store is better than this at list it's take my
                  time only not my mental peace.</t>
  </si>
  <si>
    <t xml:space="preserve">Worst experience. U r making fool us. U sent small girl size
                  top . hardly can wear up to 3-4 yr girl. U r sending us
                  garbage in the name of not returnable product. It was my bad I
                  ordered from here. Pls don't buy any clothes from here. They r
                  not ready to take back as they r saying I sent what u
                  ordered.u can see the pictures with measurement. I mailed
                  grievance too but no positive response. They r saying that I
                  sent what u ordered. But they r not considering wrong size. I
                  wish I could attach</t>
  </si>
  <si>
    <t xml:space="preserve">very good service. loyalty points should be increased. its
                  very low. thanks.</t>
  </si>
  <si>
    <t xml:space="preserve">their return and refund policy are so bad..they cancel product
                  their own..if you prepaid the product.. it'll be so difficult
                  to get the refund</t>
  </si>
  <si>
    <t xml:space="preserve">Super fraud app.It showed delivery in 10-30 minutes on my
                  order.Once ordered they are still to deliver after 2 days...
                  it's in infant stage compared to Zepto,Blinket</t>
  </si>
  <si>
    <t xml:space="preserve">It is worst delivery app I have ever seen it takes lot of time
                  to deliver the order and you can't cancel the order wow ðŸ˜ </t>
  </si>
  <si>
    <t xml:space="preserve">need a lot of improvement you can't cancel the order , and it
                  is a waste of time to contact their customer care as they are
                  not attending call</t>
  </si>
  <si>
    <t xml:space="preserve">Is this an app or a scam ? Ordered 10 items on 25th sept 2024
                  and the delivery date was 26th of sept 2024 and still now
                  didn't recieve the items and amount was prepaid . If you guys
                  don't want to deliver then please don't take orders and please
                  change your app settings that once u place an order and if
                  it's shipped you can't even cancel it . Didn't expect this
                  from reliance group !!</t>
  </si>
  <si>
    <t xml:space="preserve">fantastic pocket friendly app.Very easy and convenient to
                  shop. Every thing available at an affordable rate. enjoyed
                  shopping. Thanks Jio.</t>
  </si>
  <si>
    <t xml:space="preserve">1/2 Package not delivered but marked as delivered. On raising
                  a complaint, was informed that delivery was OTP verified and
                  hence refund will not be done. 2nd package was delivered
                  successfully. Both cases OTP or delivery agent details not
                  recieved. In the age of big retail ecommerce, largely misses
                  the mark on customer experience wrt both pre and post purchase
                  support. Recommend to go with the alternate platforms. I
                  misplaced my trust in a known big name company/brand
                  (Reliance) here.</t>
  </si>
  <si>
    <t xml:space="preserve">I was ordering grocery through this app in 2020 but after some
                  time in mid 2021 I was facing problem in login then I was
                  registered a complain and mail in jio service centre but still
                  my problem is same. Every time I want to login a OTP is come
                  and I put that' OTP , I can't login because always Said this
                  OTP is wrong . I don't know what they are doing ( service
                  centre).</t>
  </si>
  <si>
    <t xml:space="preserve">Never delivers order ,Only accepts order,deducts money and
                  cancels at last moment.Every time they will say cancelled due
                  to unforeseen reasons. Then you have to contact customer care
                  and they will say we will return money.After 10 days money
                  will be returned. Don't know why accepting orders if don't
                  want to deliver. Was sending emails to cs and head, calling
                  customer care and raising tickets 10 times is not enough that
                  again asking for emails.</t>
  </si>
  <si>
    <t xml:space="preserve">3rd class... expired product from jiomart via Reliance
                  Retail...and also they don't exchange it...I was purchased
                  canon ink.. already called and mailed so many times..also
                  customer care executive not give proper resolution..please
                  don't cheat people like this... money earning not easy..</t>
  </si>
  <si>
    <t xml:space="preserve">The worst app. Products are not even delivered, but the app
                  will show it to be delivered, and the delivery agent's contact
                  number was also not shared.</t>
  </si>
  <si>
    <t xml:space="preserve">Investing time in placing an order is sheer waste of time.
                  Those people will simply cancel the order saying because of
                  technical reasons and it won't t repeat, even after repeated
                  cancellations. No more interested to order from JioMart.</t>
  </si>
  <si>
    <t xml:space="preserve">Jiomart blocked my account unnecessarily. When I tried login,
                  error pop-up "oops! Something went wrong". I addressed the
                  issue to customer support since one month but no use, they
                  didn't provide any resolution till now.</t>
  </si>
  <si>
    <t xml:space="preserve">Very poor interface and never refunds the full amount with 4-5
                  follow ups. No explanation about any query on their app.</t>
  </si>
  <si>
    <t xml:space="preserve">Everything is good but supply of few items from my order is
                  really pathetic and hectic and inflects a bad experience ,
                  while you accept the order then why did you not deliver the
                  whole items of my order , It is very old issue and still
                  exists before the customers , Pls draw your concern attention
                  for the aforesaid issue involved and resolve it earliest as
                  soon as possible ,</t>
  </si>
  <si>
    <t xml:space="preserve">App stability to be enhanced. listing to be fast. Need option
                  to filter "sold by".</t>
  </si>
  <si>
    <t xml:space="preserve">The worst app and service i came accross I placed order and it
                  didn't went away but my money got deducted I tried to connect
                  customer service soo many times for my refund and waited for
                  soo many days 15+ but got nothing and in end they log
                  complaint but closed by their own and still my refund is
                  pending and its not only 1time , more often this happens many
                  other times I will never buy online grocery from this app</t>
  </si>
  <si>
    <t xml:space="preserve">The service from Jio is very pathetic, I received a broken
                  sealed item (Sandwich Spread), I tried getting a resolution
                  from the customer team and haven't received any solution yet!
                  More so they have blocked me out of the account, I am
                  receiving my login OTP but when I am trying to login into
                  account they are showing "invalid credentials". The WORST
                  Shopping App you could ever find, Thank You Jio for your
                  abysmal services!!</t>
  </si>
  <si>
    <t xml:space="preserve">Delay in Delivery. Auto Cancel most of the Products. Super
                  Slow App. Unorganised.</t>
  </si>
  <si>
    <t xml:space="preserve">I cancelled my order, but it still showing order placed, order
                  under process, not even the cancelled invoice received at
                  email, no refund initiated.</t>
  </si>
  <si>
    <t xml:space="preserve">I order a product and after few days it's show returned. At
                  the same time, No source of contact with customer care. If I
                  call in customer care. They will say to file complaint on
                  website. What is the point then to contact directly if I have
                  to visit the website ( which I have already done) I swear
                  never seen such pathetic services low class app. Fraud people.
                  Don't waste your money in such app</t>
  </si>
  <si>
    <t xml:space="preserve">I purchased a atta packet from your website and when I opened
                  it after one week of product received this is totally waste
                  there is lot of insects inside the packet. Looks like this is
                  1 year before packaging product. Never expect from this big
                  platform. And when I complained they said sorry there is only
                  2 days complain link available.</t>
  </si>
  <si>
    <t xml:space="preserve">Very bad service experience from jio mart. If you don't have
                  any item with you, why do you display it? I understand that
                  one or two items are missing, but here half of the order has
                  been cut. Thank you jio mart keep up the customer service.
                  Does one come in for writing this review of yours? No calls or
                  massages are coming, why are you wasting your time? Please
                  stop such business Don't know where to buy 4.4 rating from
                  this play store.</t>
  </si>
  <si>
    <t xml:space="preserve">You should split this App in two.. Smart Bazar and Jiomart..
                  Smart Bazar is fine. No issues as it is delivered from the
                  nearby store.. but Jiomart is such a pain.. No tracking
                  available in the App or with the back hand team.. if the order
                  is delayed one do not know whether it will be delivered or
                  not.. I am fine with Smart Bazar but absolutely no for
                  Jiomart. Added this after receiving reply from the
                  Administrator. If your Customer Care is actually meant to take
                  care of customer, call me back..</t>
  </si>
  <si>
    <t xml:space="preserve">Application not working properly. Whenever I want to see any
                  product application on screen showing shaking up and down. But
                  not show the product details. When I click on the product it's
                  open easily otherwise product not show.</t>
  </si>
  <si>
    <t xml:space="preserve">Very bad experience from jio Mart this time I always buy
                  grocery from it but this time I bought a steel cloth dying
                  stand the quality was not good so I returned it. it's been 20
                  days and I still didn't receive my refund. Their customer care
                  is very poor and unhelpful, they have no phone call facility
                  so I cannot call regarding any issue which is worst. I'm not
                  buying from jiomart again</t>
  </si>
  <si>
    <t xml:space="preserve">No customer care number. They will close your raised tickets
                  without any results without informed you. Worst experience
                  with jio mart they send me expiry products and when i raised
                  the ticket they close it without informing me. Such a poor
                  customer support. For grocery shopping use D mart ready its
                  best. Thank you</t>
  </si>
  <si>
    <t xml:space="preserve">I have order same grocery 3 times and every time they have a
                  different BAHANA to say. 1st time it says cancelled by
                  dilevery partner, 2nd time it says returned but I didn't
                  return any things and the 3rd time after ordering they call me
                  and say that dilevery partner can't deliver to your location
                  even tho I live like 9 km away from the location of dilevery
                  partner. I hate jiomart more then any grocery app.</t>
  </si>
  <si>
    <t xml:space="preserve">There is a bitter experience, that I have ordered few
                  items,but not received one item , I enquired through chat box
                  and also customer care number, but those are only interactive
                  vioce, they cannot understand the problem. So I have changed
                  my opinion given single Star. if it is available minus Star I
                  am happy, worst service</t>
  </si>
  <si>
    <t xml:space="preserve">when u place the order it not showing estimated delivery time
                  and after placing order we know that they deliver groceries
                  after 3days and they shows it hyper local so I don't think
                  that's hyper local , any groceries online app deliver product
                  in 30min and this shows me 3 days after place we can't cancel
                  order from our end we need to contact support and they will
                  tell u it will cancel after 24 to 48 hours what it is? it's
                  joke? it's grocery platform?</t>
  </si>
  <si>
    <t xml:space="preserve">No customer service support. Everytime recorded voice come and
                  your phone call cuts Every time I have to complaint for pickup
                  and Refund Third class service providers.Refund service is
                  very poor . .Your delivery partner Xpressbees are the worst
                  delivery partner . It's nine days ago, I returned the product
                  but still pick up is pending Now today is last day of pickup
                  but no reply from your side I am going to delete this app
                  forever Now never shop from any of your app</t>
  </si>
  <si>
    <t xml:space="preserve">Worst service provided Never purchase anything from this app
                  .. particularly any clothes.... They will deliver in time but
                  if u request for return...they will never come to pick up
                  return and in some case even reject the return of wrong item
                  delivery without informing u... And one will have to make
                  multiple request which might month or more to listen ur
                  complaint ..</t>
  </si>
  <si>
    <t xml:space="preserve">Worst app ever even worst than meesho just keep Delaying in
                  the order delivery and keep shifting dilivery for 3-4 days
                  more! When we will call customer service they will just say
                  that we have initiated the request but at end same thing will
                  keep happening and no resolution will be done here just MOST
                  HATED BY US, I WON'T RECOMMEND THIS EVER TO ANYONE just stop
                  the service if can't provide product on the promising day and
                  just want to frustrate us</t>
  </si>
  <si>
    <t xml:space="preserve">Taking so much time in delivering an item. Customer service is
                  not satisfied. We don't want to chat with your fu**ing robot.
                  Customer service must improve.</t>
  </si>
  <si>
    <t xml:space="preserve">I'm extremely frustrated with Jio Mart's inconsistent service!
                  They display groceries as available, accept orders, and deduct
                  payment, only to fail to deliver the items. This is
                  unacceptable! As a customer, I expect reliable service and
                  timely delivery of my groceries. Jio Mart must improve their
                  logistics.</t>
  </si>
  <si>
    <t xml:space="preserve">I don't even want to give one star worst experience they add
                  the unavailable items in your cart and cut the total amount
                  from your bank they don't refund and fraud us and ask to
                  contact bank . Don't do the mistakes of buying from this
                  pathetic service app</t>
  </si>
  <si>
    <t xml:space="preserve">Terrible experience...worst app I have ever used, not at all
                  recommended to even install this...I have ordered grocery
                  products from this app, but some items were missing in the
                  order, there is no update even on complaining and no refund is
                  initiated.</t>
  </si>
  <si>
    <t xml:space="preserve">Hello, team.....give some minimal training for your delivery
                  partners as well......when I pinned the location for delivery
                  the pincode took automatically. Without this knowledge your
                  delivery buddy cancelled the order like a boss with out even
                  informing. And I had called customer support also to raise a
                  concern and yea what can I expect from them....even they
                  didn't had the knowledge I guess or they didn't want to raise
                  it......kindly teach your team minimal knowledge on customers
                  importance.</t>
  </si>
  <si>
    <t xml:space="preserve">Ugly service wastage of time, ordered 2 product on 21st nov, 1
                  was cancelled on 24th and 2Ã±d was rescheduled for 8th December
                  and was cancelled today, why they take orders if they're
                  unable to deliver after 15days of waiting, order cancelled it
                  was a kid's product my son waited long no delivery, bad
                  service, uninstalling app just now</t>
  </si>
  <si>
    <t xml:space="preserve">All these items and offers are superb. but why some items are
                  not available for my location 600039</t>
  </si>
  <si>
    <t xml:space="preserve">Order Cancelled by delivery person without any reason and I
                  contacted customer care support they were telling due to
                  technical issues order got cancelled. It was happened not once
                  to me, it has been multiple times.</t>
  </si>
  <si>
    <t xml:space="preserve">I am writing about an issue with my recent order. On 31.8.24,
                  a delivery person arrived and collected my OTP but delivered
                  items meant for someone else. My OTP was fraudulently used for
                  another order. Despite multiple complaints and calls, I have
                  not received my original products. This highlights a serious
                  flaw in your delivery verification and customer service. Due
                  to these issues and the lack of resolution, I advise against
                  using JioMart. I urge you to address this problem and improve
                  your p</t>
  </si>
  <si>
    <t xml:space="preserve">The website was easy to navigate and the product selection was
                  impressive. I was able to find everything I needed, from
                  groceries to household items, all in one place. The prices
                  were competitive, and I even found some great deals. The
                  delivery was prompt, and the items arrived in excellent
                  condition. The packaging was secure, and everything was fresh
                  and well-preserved. The customer service was also top-notch.</t>
  </si>
  <si>
    <t xml:space="preserve">Iam ordering from jiomart for soany years but this time I
                  received totally different product from the one which I
                  ordered and asked for return but from 4 th October till now
                  there is no update on the return and also the product has not
                  been picked up yet. Not expected from jiomart. I have emailed
                  you but still issue not resolved</t>
  </si>
  <si>
    <t xml:space="preserve">Order returned due to technical issue with your system on 12th
                  July 2024. It was a prepaid order for Rs 641/=. The order was
                  of hyper local status but not delivered. Inspite of several
                  chats, emails and calls to customer care, I have not received
                  the refund and also the raised tickets status shows complete.
                  " MAY I KNOW WHAT IS MEANT BY COMPLETED " when I have not
                  received any response against this. Height of carelessness and
                  irresponsibility. "NEVER EXPECTED THIS KIND OF CUSTOMER CARE
                  SERVICE</t>
  </si>
  <si>
    <t xml:space="preserve">One of the worst platform. Or I would say scamming platform. I
                  purchased a product but that product is damaged so they
                  returned the product and they add my money in there jio wallet
                  which I can't even use in anything. I am frustrated my money
                  is wasted and I can't do anything. I am thinking about filling
                  a complaint on consumer form</t>
  </si>
  <si>
    <t xml:space="preserve">The app is slow. Also they deliver anything they feel like and
                  then they will not return or refund the product because it is
                  their process. Not recommend, rather promote other small apps
                  or local groceries store.</t>
  </si>
  <si>
    <t xml:space="preserve">I have ordered Qty-01 Sarvotam Refined oil whereas I received
                  Good Life Refined oil. I have tried to complain the same but
                  there was a issue with the application in uploading the image
                  of the product. I have my words with Jio helpline, it was also
                  not helpful. Finally I have posted a email in this regard. The
                  reply of the mail is "whether item is available or not, tell
                  us in 48 hrs". If a person is complaining it means the product
                  is available with him. Why will he consume the cheaper
                  product.</t>
  </si>
  <si>
    <t xml:space="preserve">Worst experience from Jio Mart, They are cheater, took order
                  and cancelled in backend without informing me and refund. When
                  I raised complaint then initiated refund. Totally worst and
                  frustrated using this platform I never experienced such issue
                  with other e-commerce platform. Please be cautious while using
                  it. But can't trust in them.</t>
  </si>
  <si>
    <t xml:space="preserve">Completely useless app and worst customer service. I placed an
                  order on August 10th, 2024, but received only a partial
                  delivery. Despite sending 5-6 reminders, I'm still waiting for
                  the remaining items or refund.</t>
  </si>
  <si>
    <t xml:space="preserve">0 STARS! Serves me right for trusting an Indian company! Where
                  is the Indian principles of nyaya and dharma. Very unfair
                  trade practice of not converting gift voucher to wallet amount
                  but directly deducting amount and not refunding rest of the
                  amount. Example: I purchased 500/- voucher from Payzapp and
                  ordered groceries for 399/-. The remaining amount of 101/- was
                  NOT refunded to wallet. You are asking me to read terms and
                  conditions, how does it matter if those don't add value to
                  customer.</t>
  </si>
  <si>
    <t xml:space="preserve">Never deliver orders, waits for a day then send shipping
                  message then immediately cancels the order. The support
                  disconnects withing 30 secs Edit: your app/support doesn't
                  deserve even 1 star. You guys replied to share orderids but
                  there was no response to email even after 3 days</t>
  </si>
  <si>
    <t xml:space="preserve">Worst Experience I have ever had in my life time from
                  ecommerce platform. I have ordered 2 qty of grocery items and
                  pay the full amount on which they have delivered only 1 qty. I
                  have mailed and raised a request on their jiomart application
                  on 23rd Aug2024, but after passing 4 days no response received
                  from them. I strongly appeal to all not to book/order any item
                  from jiomart as they make people fool by doing all this and
                  not even bother to call back.</t>
  </si>
  <si>
    <t xml:space="preserve">I ordered some items in this app I paid via my card it shows
                  ordered accepted and my ordered was dispatched. When I receive
                  contact of rider he said I don't know about your order and
                  after some time it's showing rider cancelled my order without
                  any confirmation Very bad experience of this app and service
                  please don't use this......ðŸ‘ŽðŸ‘ŽðŸ‘Ž</t>
  </si>
  <si>
    <t xml:space="preserve">Worst experience 3 time in row my order got cancelled I don't
                  know due to which "unforcing circumstances". Even even after
                  cancelling order time and again they are not resolving this
                  issue this is third time on pyds in the same problem and on
                  top of that there is no way in which we can connect with the
                  customer care</t>
  </si>
  <si>
    <t xml:space="preserve">Supposedly technical glitches occurred in my recent order as
                  reported by jio help on phone on delivery issue. Now I have to
                  wait for refund of prepaid order n it will take minimum of 1
                  week hopefully. Atleast if credited to my jio account ( like
                  swiggy etc) Reorder is possible. 'This review is not on the
                  developers of this App who have done a reasonably good job -
                  But on Jio online shopping company's operations and systems.
                  pls pull up yr socks best wishes</t>
  </si>
  <si>
    <t xml:space="preserve">Delivery service is very very very poor if you want your item
                  short time am strongly suggests pls can't order through this
                  app .very poor delivery service ðŸ•â€ðŸ¦º very very very very very
                  poor</t>
  </si>
  <si>
    <t xml:space="preserve">Disappointed with the fact there is no option to change the
                  mobile number. I have a new mobile number to update but to no
                  avail there is any kind of customer support available</t>
  </si>
  <si>
    <t xml:space="preserve">Worst experience from Jio Mart. Received Damaged Product
                  trying to return since last 1 month. Nobody is bothered. Third
                  party delivery agent has cancelled the pickup multiple times
                  and customer care are not helping. Never buy any consumer
                  durable from Jio Mart. Dear Team Thanks for the prompt
                  response. I have been mailing since I received the delivery.
                  All the images and discription is mailed at least 15 times.
                  Every time new ticket is generated,but no resolution.</t>
  </si>
  <si>
    <t xml:space="preserve">One of the worst delivery apps that ive used. Ive ordered for
                  an item aftwr making payment, delivery date show was 23 july..
                  On the same day around 10pm, i got an sms saying delivery
                  postponed to 28July.. Again on 2 july, i got an sms saying
                  they are rescheduling delivery as i was not reachable..
                  However i didnt get any call..Upon checking the status, it was
                  shown that my parcel is 6km away from my home, at a center and
                  without confirming with me they initiated refund.. Ill never
                  use them.</t>
  </si>
  <si>
    <t xml:space="preserve">Totally disappointed with the application and the service,
                  most of the time product is not available and if the same is
                  available its not deliverable to the pin code entered.
                  Pathetic. Need to improve the application as well as the
                  availability of the products.</t>
  </si>
  <si>
    <t xml:space="preserve">Buggy app: very slow, please... 1. Improve the app's speed for
                  faster access. 2. Improve the filter options. 3. Add "smart
                  bazaar" to the filter options for easier access.</t>
  </si>
  <si>
    <t xml:space="preserve">No planned delivery schedule. One of the worst customer
                  service. Most of the products sent are old or refurbished
                  items. They will never publish genuine negative customer
                  ratings for products. Just taking customers for granted.</t>
  </si>
  <si>
    <t xml:space="preserve">Worst app ,I'm very disappointed and angry ðŸ˜  ðŸ˜¡ I went to
                  order something and then when I went for payment its took so
                  long after that my ordered wasn't confirmed and money got
                  deducted successfully without any transaction details nothing
                  also from upi ,I will never ever use this app I had already
                  told my details to employee ,telling me wait so long it's been
                  cross 1 month ,there want transaction ID which I didn't
                  received,I lost hope and seek to take further action</t>
  </si>
  <si>
    <t xml:space="preserve">Worst! Worst! Worst! Very Vary Bad grocery online shop.
                  Ordered from.Tarn Taran (Punjab). Items didn't get delivered.
                  Never , ever will order from jiomart , as they returned or
                  cancel order at their own .. 4 orders of mine get cancelled
                  back to back.. They cancelled the order without the consent of
                  the customer... Pathetic.. contacting customer care several
                  times... They making excuses of technical error.... What is
                  the technical error?? They unable to explain....Very Bad
                  service....</t>
  </si>
  <si>
    <t xml:space="preserve">I ordered 9 items and their delivery was cancelled. I looked
                  in the refund section but it showed no refund has been
                  allocated. I tried contacting the customer service ai thorugh
                  chat it redirected me to a person but they failed to respond
                  to me.i tried writing to them again but it wouldn't send and
                  they ended the chat without responding. I tried reopening a
                  new chat but I just wouldn't open. I have not been refunded my
                  money and the customer service is not responding to me either.</t>
  </si>
  <si>
    <t xml:space="preserve">Worst staff, don't co operate, talked very rudely many time.
                  Worst experience, going to uninstall this app.</t>
  </si>
  <si>
    <t xml:space="preserve">The service is terrible.Especially grocery.I purchased 5 times
                  from this app. First 2 experiences were good.But, the 3rd time
                  the delivery person cancelled the order only because I
                  couldn't attend 5 calls he made between 7.16pm and 7.19pm.On
                  calling back he asked me to order again and he will deliver it
                  soon.That was my 4th purchase.I made a 5th purchase day before
                  yesterday. I ordered 19 items and 7 items worth Rs.240 were
                  missing.Made several enquiries,posted complaints. So far no
                  response.</t>
  </si>
  <si>
    <t xml:space="preserve">Worse experience, the delivery agent kept rescheduling thd
                  pickup and after 3 attempts he even cancelled it. The customer
                  support is not bring helpful at all. The exclation team is thd
                  worse tere is a person called Manisha who do even understand
                  English and kept repeating the same thing over and over. I
                  really don't understand how these people are allowed to work.</t>
  </si>
  <si>
    <t xml:space="preserve">Worst experience ever from a shopping app... My very 1st and
                  2nd order from jiomart was cancelled by the delivery person.
                  He didn't even attempted the delivery... And now both my
                  payments are stuck with jiomart for 7 days.. Seriously.. Is
                  this some kind of fraud going on from this website?</t>
  </si>
  <si>
    <t xml:space="preserve">Worst app, if you got faulty product, even though it would be
                  returnable, you will have to chase like anything to get it
                  resolved.</t>
  </si>
  <si>
    <t xml:space="preserve">Not recommended for every one - From las 2 -3 months I'm
                  trying to buy groceries from jiomart unfortunately getting msg
                  no service in ur location, then I have chose Dmart online
                  groceries app, Dmart service is very good, and they have
                  delivered products on same days... I'm happy for Dmart
                  service.</t>
  </si>
  <si>
    <t xml:space="preserve">Such an disgusting delivery service app. I ordered a park
                  avenue signature perfume and the perfume bottle was delivered
                  without spraying cap. So I opened a ticket three time they are
                  just saying they are working on it. Better use Amazon or big
                  basket they just replace the product by just checking it.</t>
  </si>
  <si>
    <t xml:space="preserve">Very worst app don't shop for clothing or fashion because if u
                  return the product atleast they don't update the return picked
                  status and the refund will credit only in jiomart wallet only
                  ... for the refund we have to wait for month it won't update
                  anything very bad app worst app ðŸ¥¹ðŸ¥ºðŸ˜ž..And it is almost 15
                  days still the refund is not credited into my account</t>
  </si>
  <si>
    <t xml:space="preserve">No customer care support. I'm trying from yesterday to file
                  complain for not deliver one of product and one product is
                  deliver open. But no customer care number to talk and raise my
                  complaint. Most of products shows not delivered to your
                  pincode. Kundly improve the app like other online shopping app
                  improving everyday.</t>
  </si>
  <si>
    <t xml:space="preserve">Worst experience ever i have order multipe time and each and
                  every time delivery guy is out for delivery within minutes I
                  get delivered messages but no delivery is being made by the
                  agent each and every time i spoke with executive but they say
                  we will improve and it's a technical issue just remove it from
                  play store if it doesn't work useless app</t>
  </si>
  <si>
    <t xml:space="preserve">Most third class app.. When I am touching the screen of this
                  app it is not functioning properly.. In the search box when I
                  am typing the product once it is working but most of the time
                  it is not working.. @Jioteam please try to solve this problem
                  as soon as possible..</t>
  </si>
  <si>
    <t xml:space="preserve">Very bad service or no service. Pathetic lazy people. When I
                  place an order, I call customer support they say be rest
                  assured your order will be delivered on time but they never do
                  that. Allready delayed 3 days but not getting updated and also
                  delevery. if have option to give minus â­ I am giving minus 5.</t>
  </si>
  <si>
    <t xml:space="preserve">This is the worst app i ever seen .... They take payments but
                  not delivered the all items.... this is my first time to order
                  and in my first order they take full money but deliver only 1
                  item.....how pathetic this is just a scam and they give you
                  the will of full order so customer can not doo anything
                  regarding refund ...and worst customer service they never know
                  what is wrong with their application..... They are just
                  fraudsters...I lost my money on this useless and sacmer app</t>
  </si>
  <si>
    <t xml:space="preserve">This aap is so slow nowadays and literally frustrated on the
                  team, I repeatedly asking them to solve it but sometimes I
                  feel this jio company don't want customers as it got a lot of
                  already. I don't have any option when I get a option I will
                  through this sim and network as well.literally I want to scold
                  these jio people and sometimes I feel like slapping them on
                  the face.</t>
  </si>
  <si>
    <t xml:space="preserve">Very bad &amp; harass customers. Regularly do not deliver
                  order but wrongly mark returned to put blame on customers. The
                  customer care agents speak uncivilized manner &amp; disconnect
                  calls without resolution. App lags and removing items from
                  cart is time taking &amp; painful. Very few orders for
                  delivery- the delivery agent refused to bring items to
                  doorsteps, he called me to pick up items from midway. Shame on
                  jiomart.</t>
  </si>
  <si>
    <t xml:space="preserve">Those popular items which are available at their store is not
                  available through this platform. Only high cost items
                  available through this app. Downloading this app on your
                  mobile phone is a mere waste. Reply to the developer comment
                  "NO USE".</t>
  </si>
  <si>
    <t xml:space="preserve">Post delivery customer service is very bad.After calling so
                  many times to the toll free number they are not even updating
                  customers just simply closing the tickets for the issue I have
                  ordered rice and after receiving damaged one I asked to
                  replace.After that delivery boy pickup up from another
                  customer and argued that product is not matching and closed
                  the ticket with a comment that I did not receive the call.</t>
  </si>
  <si>
    <t xml:space="preserve">Worst customer service and they give damaged products. There
                  was also 2,3 days late delivery. They gave damaged products
                  and when we complain the didn't take the product back or gave
                  any refund they just reply in circles without giving any real
                  solutions. I have never experience any service worst than
                  this.</t>
  </si>
  <si>
    <t xml:space="preserve">First of all, the delivery date is not fixed; they deliver too
                  late. And between those 3â€“4 days that they take to deliver,
                  they cancel some products and refund the amount. How can you
                  just cancel after 3â€“4 days the stuff for which I was waiting
                  for days? Horrible!</t>
  </si>
  <si>
    <t xml:space="preserve">Its worst support jio mart is just fooling the customer, im
                  very much disappointed with jio mart prepaid payment delivered
                  boy always cancelling the order. And customer service also
                  worst,ðŸ˜¡ðŸ˜¡ðŸ˜¡ðŸ˜¡. I thought this is the one knowing brand this
                  app will give good service and support to the customer but
                  they proof me wrong. Plz don't order grocery from jio mart it
                  get order delay or cancel or in case order received so items
                  missing or damaged</t>
  </si>
  <si>
    <t xml:space="preserve">Very poor service from jiomart. Their delivery agents are very
                  rude never delivered the order to said address, always give
                  excuse, ask to come far of place and there is no way to raise
                  complaint against them. Only you can do is to wait for order
                  for longer period or cancel it. It is not the story of once
                  but it happens every time. Don't order from jiomart.</t>
  </si>
  <si>
    <t xml:space="preserve">Useless app. It doesn't work or most of the times the screen
                  is blank when we search for any product. It's a time waste for
                  the user to search and place order on this app</t>
  </si>
  <si>
    <t xml:space="preserve">This was the best app for grocery but nowdays its not
                  delivering products.everytime they say that the product is
                  either out of stock for ur pincode or it get returned without
                  our concern.very much didsappointed</t>
  </si>
  <si>
    <t xml:space="preserve">Worst app to order anything if you buy a phone they don't give
                  IEMI number on bill ...you will never be able to resell the
                  phone or take it to the customer service center........JIO
                  MART IS SCAMMING CUSTOMERS</t>
  </si>
  <si>
    <t xml:space="preserve">Oh! What a lovely app Lowest rate on groceries And the best
                  thing is 25 min delivery. This app is first to come up with
                  this in my town. No delivery (above 250 cart rate) Keep it up
                  JIO Thank You</t>
  </si>
  <si>
    <t xml:space="preserve">always delivery person will cancel the orders.. there is no
                  action against delivery person who cancelled the order...too
                  many complaints given to customer support but issue not
                  resolved</t>
  </si>
  <si>
    <t xml:space="preserve">App need to update. Lots of glitch. If search balm it shows
                  many balm. If search pain balm it shows tshirt. Lots of issues
                  are there in search option.</t>
  </si>
  <si>
    <t xml:space="preserve">Great &amp; amazing deals but return pickups by delivery
                  partners are not fast, smooth &amp; easy.</t>
  </si>
  <si>
    <t xml:space="preserve">Very good app. Easy to navigate. Good products. Competitive
                  prices. Very good and quick delivery</t>
  </si>
  <si>
    <t xml:space="preserve">Hello JioMart Team, I ordered bread via hyper-local expecting
                  same-day delivery, but it was delayed. There was no option to
                  cancel the order, and your support team was unhelpful. When
                  delivered, the delivery executive was rude and unprofessional,
                  worsening the experience. This reflects poorly on your
                  service. I request immediate action to improve delivery,
                  enable cancellations, and ensure professional behavior. Please
                  address this promptly. any how I thow my breads to dog. I need
                  my money back</t>
  </si>
  <si>
    <t xml:space="preserve">One of the worst app.... Looting the customers pocket by not
                  delivering products and not refunding the money...don't ever
                  buy anything from this app it's a scrap app</t>
  </si>
  <si>
    <t xml:space="preserve">Whenever I order, every time it shows cancelled by delivery
                  partner even though I contacted customer service, no use of
                  it. Delivery partner says app has issue with my location so
                  they can't deliver at my location.</t>
  </si>
  <si>
    <t xml:space="preserve">08-05-24 Either the order is delayed, or delayed and
                  incomplete, or delayed with wrong products, with nobody
                  bothering to pickup the returns. It's such an unreliable
                  service that the marginal better price that they offer is not
                  worth the trauma. I was smart enough to always choose CoD,
                  because of the Ambanis track record of poor service, the
                  trauma was a lot less. Cancelled by delivery partner twice:
                  05-10-24 Order placed worth Rs. 2418. 06-10-24 Order placed
                  Rs. 1057, order shipped Rs. 298</t>
  </si>
  <si>
    <t xml:space="preserve">Guys don't waste time in jio mart, totally fraud they are
                  doing, you wil order something but they wil deliver something
                  else,many items u wil not get from the list also after paying,
                  similar I have order cheese slice they deliver cheese
                  cube,they charged ata amount but they didn't delivered,out of
                  20 items 4 items not delivered,guys be careful from them</t>
  </si>
  <si>
    <t xml:space="preserve">Very slowly working Actually it's not was working while slow
                  data But , actually both jio network and jio mart are from
                  same origin but those are not coperative each other... Only
                  business</t>
  </si>
  <si>
    <t xml:space="preserve">Always verify the list of products being delivered. Nowadays,
                  it's common for some items to be stolen or missing, and when
                  complaints are raised, they often mark them as resolved
                  without actually addressing the issue.</t>
  </si>
  <si>
    <t xml:space="preserve">Poor customer service ... This issue i have noted in the
                  belapur branch...they accept the order and if the goods are
                  not available they sent goods of their choice. If a complaint
                  is raised it is not resolved and you end up throwing things in
                  the dustbin and also pay for it. So, now the store decides
                  what I should consume...</t>
  </si>
  <si>
    <t xml:space="preserve">Whenever you login, it shows something went wrong , how can
                  you expect a person to order without even logging in?</t>
  </si>
  <si>
    <t xml:space="preserve">Updating this again coz it was auto cancelled for the second
                  time. Pathetic services and they auto cancel the order if you
                  raise a complain and some noob will call you with apology and
                  blame it on the system. You will be assured like other
                  customer service like they will send the feedback to the
                  superior team and they have none. DO NOT ORDER FROM JIOMART.
                  Plus the new update wouldn't let you find anything</t>
  </si>
  <si>
    <t xml:space="preserve">again same thing happened. i am at home but products got
                  returned on its own. no message no phone came. even after
                  requesting they dont acknowledge. worst app of my life. Why do
                  you write returned when i didnt. What fraud is going on in
                  jiomart please telll. my every prepaid order is getting
                  returned on itself. duplicate app. amazon is far better.</t>
  </si>
  <si>
    <t xml:space="preserve">Placed order around 11:10 am still waiting for the delivery
                  and order still processing??? Why are you saying 10 to 30 mins
                  which you cannot fulfill.</t>
  </si>
  <si>
    <t xml:space="preserve">I had a frustrating experience with one of Jiomart's delivery
                  partners. The delivery person demanded the OTP while still at
                  the store, stating that if I didn't provide it immediately, he
                  would cancel my order. The OTP is meant to be given upon
                  delivery, not before. Despite my refusal, he canceled the
                  order. This behavior is unacceptable and feels deceptive. I
                  expect better service from Jiomart. Please take action to
                  prevent such incidents in the future and improve the customer
                  experience.</t>
  </si>
  <si>
    <t xml:space="preserve">The product is very good quality,well maintained and the
                  delivery has arrived 4 days before the date given overall
                  experience was great</t>
  </si>
  <si>
    <t xml:space="preserve">The worst delivery service! My order was supposed to arrive on
                  December 8, but today is December 10, and it still hasnâ€™t
                  arrived.</t>
  </si>
  <si>
    <t xml:space="preserve">Dmart is way better While the app is quick...it's not stable,
                  refreshes 2many times Lot of goods show as "undeliverable in
                  my area" ..living in the heart of Mumbai, this shouldn't be a
                  problem!!! Dmart has limited items but steady supply and
                  better timings, can expect delivery within 24 hrs..48 max
                  Jiomart basic delivery takes 4-5 days Immense improvement
                  needed P.s giving stupid replies like "check ur network,
                  update app" wouldn't solve my problem or urs..better look at
                  ur end for improving!ðŸ™„</t>
  </si>
  <si>
    <t xml:space="preserve">Absolutely terrible app! You never get your delivery on time.
                  It gets canceled on its own and they don't even bother to
                  inform you. Customer service is BAD!! USER EXPERIENCE -
                  TERRIBLE!!!</t>
  </si>
  <si>
    <t xml:space="preserve">Never buy from quick commerce guys. They cheat you by selling
                  all expired or near expiry items. Better buy from nearby
                  store. They play with your health.</t>
  </si>
  <si>
    <t xml:space="preserve">Wrost app from reliance app is not working properly so many
                  glitch and unable to order an item. Always open login page
                  again and again</t>
  </si>
  <si>
    <t xml:space="preserve">Whats with the small font? Any smaller and people with minor
                  eyesight issues will need a magnifier. Horrible UX. Some
                  filters do not allow mult-selection. How do you come up with
                  such pathetic design?</t>
  </si>
  <si>
    <t xml:space="preserve">Liars and cheaters. They will send you item worths 4-5 hundred
                  for an orde rof 4-5 thousand and then will not let you return
                  it. Neither will let you post review or talk to customer care.
                  I did called your customer care and the bot itself
                  disconnected saying seek help from app. And your pathetic app
                  do not have a option to raise a return.</t>
  </si>
  <si>
    <t xml:space="preserve">No matter they are focused on delivery of orders but on the
                  same time they are not concerned any how to pickup an reversal
                  order even if they themselves have promised to resolve the
                  issue within 48 hours for two times in one month. My first
                  issue with Jio Mart and they have disappointed me very badly.</t>
  </si>
  <si>
    <t xml:space="preserve">Worst of all shopping online. My order was cancelled from
                  there side and till now it's been more than 1 month no refund.
                  Many times complained no action they are taking. Fraud
                  company. Don't buy online from them. I buyed harpic 5 lit from
                  online. It was fake item only blue colour. Don't buy</t>
  </si>
  <si>
    <t xml:space="preserve">Its just Automated Chatbot available for query that too not
                  backed by AI or Knowledge Base, as it can't read our question
                  just can give scripted answer if you select any option given
                  by it. very bad customer support.</t>
  </si>
  <si>
    <t xml:space="preserve">Worst, Terrible, Fraud. I ordered Sparx sandals cost â‚¹1,274,
                  and instead, you guys sent me slippers of â‚¹400! Iâ€™ve been
                  trying to get this sorted out, but so far, no resolution. To
                  make things worse, the guy who came for the pickup refused to
                  take the product, so now Iâ€™m stuck with something I've didn't
                  even order. This is ridiculous. Please process my refund ASAP.
                  I wouldnâ€™t recommend anyone use this app. There service is
                  been terrible. Don't deserve even one star Meesho Snapdeal are
                  far better</t>
  </si>
  <si>
    <t xml:space="preserve">Worst to day I ordered 3 items and amount also paid now they
                  messaged delivery partner cancel your order this is happening
                  3 times in this day so plz purchase your nearest general
                  stores don't trust this app everytime I am ordering 3 items
                  and prepaid amount then they send order cancel by. delivery
                  partner and they return amount after 5-7 days this is regular
                  how to trust this mart</t>
  </si>
  <si>
    <t xml:space="preserve">Such a worest app. If any reason product return to the seller.
                  Refund is not credit. In this app there is no good customer
                  service quality not good. Different products send to the
                  customers. And review is not accepet in that app soo please
                  dont belive This app like meesho. I think meesho is good at
                  refund and respinsible</t>
  </si>
  <si>
    <t xml:space="preserve">Experience is a nightmare. Prepaid order was showing
                  delivered, when actually it was not. Raised complaint, ticket
                  shows resolved without actual resolution. Incompetent customer
                  care asking me to wait for 72 hours for last 120 hours. Made a
                  mistake ordering prepaid, Don't know when will I get my
                  refund.</t>
  </si>
  <si>
    <t xml:space="preserve">Worst service. Delivery partners doesn't have proper
                  instructions I guess. They call only one time and say order
                  will be rescheduled. If so why do we order online. You guys
                  haven't given proper instructions to delivery partners. They
                  doesn't even have common sense to call back and deliver the
                  product. This app doesn't even have authorities to speak with
                  manager, then why do you have this app, if you can't deliver
                  ontime, why do you accept the order. Else U shld shut and
                  refund immediately.</t>
  </si>
  <si>
    <t xml:space="preserve">CAUTION! DON'T BE CARRIED AWAY BY OFFERS, PRICING ETC ON THIS
                  APP. ONE OF THE BIGGEST FRAUD APP EVER. STALE, DEAD STOCK, AND
                  REPACKED GOODS ARE DELIVERED. NOT A DECENT SET OF CUSTOMER
                  CARE PERSONAL TO REFUND OR EXCHANGE THE STUFF. CYBERCRIME HAS
                  BEEN INFORMED AS WELL AS POLICE AUTHOROITIES IN AREAS WHERE
                  THEY PLAY PRANKS. UNFORTUNATELY IMAGES CANT BE LOADED HERE.
                  BUT VIDEOS HAVE BEEN CIRULATED ON WHATSAPP AND TELEGRAM. ONE
                  OF THE BIGGEST FRAUDSTER APP. DON'T OPT PREPAID ORDERS. CHECK
                  AND PAY!!!</t>
  </si>
  <si>
    <t xml:space="preserve">I am extremely dissatisfied with the service I have received
                  in Noida. Despite placing multiple orders, they have
                  consistently accepted and then cancelled my orders after three
                  days. When I request delivery, the only response I receive is
                  'we understand your situation, but please reorder.' This lack
                  of reliability and poor communication is unacceptable for an
                  online delivery service. I have detailed records of my orders
                  and would be willing to share them if necessary.</t>
  </si>
  <si>
    <t xml:space="preserve">Jiomart will be closed very soon because supplier items are
                  third quality and customer complaint method not good. Almost
                  Everytime order is cancelled. Minus 10stars. Most disapponting
                  app of play Store. Play store should try to order and should
                  come to know that it cancel order by store or delivery. And
                  then put this app off from Google Play Store.</t>
  </si>
  <si>
    <t xml:space="preserve">Not even want to give one star, worst experience ever with any
                  Grocery delivering app. Delivery agent can't deliver at my
                  door, they call me 8 km away from my residence. Damaged item
                  delivered &amp; customer service support is telling that you
                  can't return because this item is non returnable.</t>
  </si>
  <si>
    <t xml:space="preserve">Very worst customer service, won't deliver the product at
                  correct time, they took minimum 3-4 weeks for delivery or else
                  cancelled the delivery after 3-4 weeks</t>
  </si>
  <si>
    <t xml:space="preserve">My order was supposed to deliver with in 30 mins. From past 2
                  hrs I was waiting to get the order. No proper response from
                  the jiomart and the delivery agents. Requesting the people
                  that not to buy from jiomart</t>
  </si>
  <si>
    <t xml:space="preserve">Lots of items not available and not visible and app is also
                  not working properly.. it's best to shut down jiomart
                  permanently</t>
  </si>
  <si>
    <t xml:space="preserve">Worst application after updation of app. The things which I
                  was getting ealier now m its not available at my pincode all
                  of a sudden. I dknt know what glitch is in app but somthing is
                  definitely wrong. Team, please check and resolve this issue as
                  soon as possible.</t>
  </si>
  <si>
    <t xml:space="preserve">Not happy with the app any longer. It seems that the delivery
                  partner is supreme who can cancel orders placed without any
                  reason. The app accepts orders &amp; online payment but the
                  delivery partner cancels the orders. Payment made is received
                  back after 7 working days.</t>
  </si>
  <si>
    <t xml:space="preserve">My order got delivered after 10 days. Shipment was done within
                  1-2 days but delivery is late. Maybe because my order was a
                  office chair? And delivery guy used to ask for OTP without
                  delivering the package for like 6-7 times and delay the
                  delivery even more. there was no option for COD so my order
                  was prepaid. I doubt what was going on the backend but I am
                  happy that atleast I got my order.</t>
  </si>
  <si>
    <t xml:space="preserve">App refresh rate is slow in comparison to other ecom apps.
                  Rates are best here. Wishlist loading is too much.</t>
  </si>
  <si>
    <t xml:space="preserve">I am regular customer of jio mart. I buy only good life
                  products. But as on today Most of good life products,
                  singdana, almonds, tur dal loose ,ponni boiled rice prm, etc
                  to name a few, &amp; many more r not available ,at my area,
                  kharghar, Navi Mumbai. This happens often whenever i need to
                  place an order. The msg I read is this product is not
                  available at ur pin code. Last 10 years I used to get all the
                  products of my choice, now it has become area specific.</t>
  </si>
  <si>
    <t xml:space="preserve">Items are missing in the package No one has the time to raise
                  a request everyday to solve the issue Late response Slow app
                  Refund credits in wallet make it compulsory to shop again
                  Delievery issues Worst service</t>
  </si>
  <si>
    <t xml:space="preserve">They do not deliver some of the items. Return the money after
                  some wrong pretex after 3/4 weeks. Not reliable service.</t>
  </si>
  <si>
    <t xml:space="preserve">Disgusting service pathetic customer support too rude behavior
                  towards customer didn't provide delivery on date of delivery.
                  Cancel order according their moods. Delivery partner didn't
                  answer the phone calls. ITS TOTALLY A FRAUD. DON'T ORDER
                  PREPAID. Didn't return the money.</t>
  </si>
  <si>
    <t xml:space="preserve">all time.. before some of day's or month jio order delivery
                  time was not at all good..but.. in present.. jio is now having
                  very good delivery boy's strength..n well behaved.. i don't
                  have issues.. thanks Reliance.. jio mart.. all the best for
                  future..n for today's.. working staff n members god bless u..
                  keep smiling like us..n have wonderful life..</t>
  </si>
  <si>
    <t xml:space="preserve">Worst experience in shopping jio Mart I ordered two products
                  at a time, comeing to deliver I got only one product but in
                  app showing that delivered two products.</t>
  </si>
  <si>
    <t xml:space="preserve">Super slow delivery. I ordered on 4th Nov 2024, it was
                  supposed to be delivered by a couple of days. Today is 18th
                  November and I am still waiting for my order.</t>
  </si>
  <si>
    <t xml:space="preserve">Very bad service , customer care service not available they
                  just send email or text messages but there is no solution for
                  the further complaint</t>
  </si>
  <si>
    <t xml:space="preserve">They just give me a refurbished phone without mention it on
                  app and the phone is activated before I ordered it I ordered
                  it on 12/11/24 and phone is activated on 26/10/24 this is
                  cheating don't buy anything</t>
  </si>
  <si>
    <t xml:space="preserve">what's there in ur policy. U headless fellows the pickup
                  person refused to take the return, because brand label and
                  invoice copy not available? U brainless fellows how I can
                  produce those which didn't receive with the order?</t>
  </si>
  <si>
    <t xml:space="preserve">Nothing to point out. Super Delivery. Great packing. Good
                  Quality goods. Reasonable price. Total Tension Free.</t>
  </si>
  <si>
    <t xml:space="preserve">Jio mart tie-up with worest delhivery app ;I ordered 2plastic
                  chairs and 1office chair , I am staying in 2nd floor, they are
                  asking me to come and take the order in road /ground floor,
                  they shuold deliver to 2nd floor, but they are not agreed they
                  left the parcel at 1st floor and left. I didn't shared otp
                  then they are taking that parcel into that van. Such a kind of
                  stupid people are under jio mart. Please dont go this app. U
                  can face n no of issues in delivery.</t>
  </si>
  <si>
    <t xml:space="preserve">Given 1 star because cannot leave it free. Ordered yesterday
                  but have not received the order yet. Kindly look into it or i
                  will uninstall the application.</t>
  </si>
  <si>
    <t xml:space="preserve">Very poor service. Cancelled my order after 14 hours of
                  accepting the order. Make you wait and then cancels. Worst App</t>
  </si>
  <si>
    <t xml:space="preserve">App is slow. And consume many data. Delivery agent don't want
                  to far for single delivery.</t>
  </si>
  <si>
    <t xml:space="preserve">Worst experience in return of damaged and less price different
                  brand product, rejected return request multiple times with
                  vague reason. Very much delayed delivery more than 15 days.</t>
  </si>
  <si>
    <t xml:space="preserve">Useless as order is always not completed and getting customer
                  support is very tough and even if you get to that they delay
                  it even further</t>
  </si>
  <si>
    <t xml:space="preserve">Worst app ..I cancelled my order before shipping as i got same
                  order at low cost than jio Mart but they didn't cancelled it
                  and some items missing also</t>
  </si>
  <si>
    <t xml:space="preserve">This is a so unworking app , Automatically return my order and
                  can not deliver the right location. This is too much ......</t>
  </si>
  <si>
    <t xml:space="preserve">Always show items are not available at your pincode. And just
                  5KM away I have a Reliance Smart Point. But still fails.
                  JioMart should be improved or closed.</t>
  </si>
  <si>
    <t xml:space="preserve">Worst app, worst people. Be careful before purchasing anything
                  from jiomart. If needed directly go to offline store. Edit:
                  again I've faced poor service on 7th June 2024. Without any
                  prior intimation order got returned. I've already written mail
                  to customer service but no action have been taken ever Edit:
                  again order cancelled from jiomart for unforeseen reason,.
                  After 2 days they are updating. Just damn this bogus app. Even
                  not deserving a zero rating</t>
  </si>
  <si>
    <t xml:space="preserve">Very slow App and when ever I click on the Search Button the
                  App closes which is very annoying.</t>
  </si>
  <si>
    <t xml:space="preserve">Very bad , giving expiry product, i got 2 chips expired, and I
                  even complaint but they are not taking any action, very bad
                  service....</t>
  </si>
  <si>
    <t xml:space="preserve">Iam not getting any things very bad experience with this app
                  sorry to say many times I have not received my order already
                  money has taken and know I have to order some products but I
                  do so please sujust me me that I will delete the app or not</t>
  </si>
  <si>
    <t xml:space="preserve">The new update is worst it hangs soo much unable to use it and
                  the filters are also not working properly new app is not good</t>
  </si>
  <si>
    <t xml:space="preserve">Most horrible experience ever. Pathetic delivery system.
                  Definitely not recommended. Do not install unless you want to
                  have a headache.</t>
  </si>
  <si>
    <t xml:space="preserve">these days orders are getting delivered very quickly.. really
                  happy with the service.. also delivery guys are cooperative
                  and well behaved â™¥ï¸ðŸ’¯ i am very much happy with the service</t>
  </si>
  <si>
    <t xml:space="preserve">Disappointing Do not deliver entire order and zero customer
                  support for missing items. Do not use JioMart as it has no
                  regards for consumers.</t>
  </si>
  <si>
    <t xml:space="preserve">Bad experience literally they returned the order without any
                  confirmation disappointed and now it's been 2 months and I
                  didn't recieved my refund money yet</t>
  </si>
  <si>
    <t xml:space="preserve">Booked a COD order for fresh vegetables through this app.Next
                  day I was unable to cancel this order which was under process
                  ,via app .Upon contacting jiomart customer, was surprised to
                  know that the order cannot be cancelled now. I was advised to
                  not receive the order , which is surprising.I hope facility
                  for order cancellation via app may be provided in future.</t>
  </si>
  <si>
    <t xml:space="preserve">One of the best shopping experiences. Great quality of
                  products and quick delivery. Jio Mart delivers to tier 2
                  cities also via Smart Bazaar.</t>
  </si>
  <si>
    <t xml:space="preserve">Pathetic service from jiomart. order never arrives, it simply
                  gets 'RETURNED' automatically after few days. earlier it was
                  ok.</t>
  </si>
  <si>
    <t xml:space="preserve">Courier service is not good. Unnecessary Courier boys tell the
                  lie. Purchase only branded items. Jio return policy is worst.
                  nobody come to pickup the defected item. Better is dont buy
                  anything in jio</t>
  </si>
  <si>
    <t xml:space="preserve">Not to able to change name while updating address... Even we
                  change name in profile temp it wasn't changing.. At the time
                  of offers even we mentioned the card offer shown by them....
                  Application isn't showing discount...</t>
  </si>
  <si>
    <t xml:space="preserve">Manage more products to deliver ASAP as being done in case of
                  groceries in the cities like Bhopal, Indore, etc. Presently
                  these are couriered from out of ordered cities and taking too
                  much time for delivery.</t>
  </si>
  <si>
    <t xml:space="preserve">Worst app they will take your order and cancel it and give you
                  refund of less amount they done this same this with me for 3
                  to 4 time.</t>
  </si>
  <si>
    <t xml:space="preserve">Earlier we were able to see Smart Bazaar items on this app,
                  but now no smart bazaar items are available on JioMart app,
                  and because of this the app has become useless for me.</t>
  </si>
  <si>
    <t xml:space="preserve">ATTENTION everyone! As a professional, I understand the
                  importance of a well-ventilated workspace. That's why I
                  recently decided to purchase a wall fan from @jiomart.
                  However, to my dismay, my order was canceled due to a sudden
                  rate increase. This is not the kind of service I expect from a
                  reputable brand like JioMart. As a loyal customer, I urge them
                  to prioritize customer satisfaction and maintain consistent
                  pricing. Let's hope for a speedy resolution to this issue.</t>
  </si>
  <si>
    <t xml:space="preserve">They have the worst app and service ever. Tried to return or
                  complain about the damaged product I received but the stupid
                  chat bot is useless</t>
  </si>
  <si>
    <t xml:space="preserve">I order two item but delivered one item and showing one item
                  returned but I didn't return item. item is sort u should write
                  sort item. every time this thing happen</t>
  </si>
  <si>
    <t xml:space="preserve">Jio mart was available for week's back in my location now they
                  have removed it's worst service. Not allowing to order please
                  add location which is removed.</t>
  </si>
  <si>
    <t xml:space="preserve">This company deliver wrong and damaged product and have no
                  option to raise complaint Very bad services. Jio mart I have
                  written mails for same do not get any reverts. Pls check.</t>
  </si>
  <si>
    <t xml:space="preserve">Recently, whenever I search for some items/products the result
                  is there appears unrelated items, most of the products are not
                  available or not shown.</t>
  </si>
  <si>
    <t xml:space="preserve">They delivered late They delivered wrong product also said non
                  returnable product. they didn't mention non returnable. Also
                  said we will resolve complaint. How can resolve if you didn't
                  returned this product. very pathetic service..what type of
                  resolution?already email and also raise complaint on jio mart
                  Jio mart no longer loyal with customer. They email me
                  resolve.fraud jio</t>
  </si>
  <si>
    <t xml:space="preserve">the worst customer service.. I have had a issue with gift
                  card.. I mailed them and they raised the ticket and they
                  closed the ticket by saying the issue resolved by sending
                  sms.. I again raised a ticket and same thing happened and
                  again I raised the ticket for the 3rd time and the same thing
                  happened.. still the issue is not resolved.. pathetic
                  service..</t>
  </si>
  <si>
    <t xml:space="preserve">No customer support.. Delivery delay more than expected,No
                  option to complain, tracking options not available,waste of
                  money and time..</t>
  </si>
  <si>
    <t xml:space="preserve">Waste App, Can't be Trusted, grocery delivery is Suddenly
                  changed to Next day... No option to Cancel order, and chat
                  option is Totally waste</t>
  </si>
  <si>
    <t xml:space="preserve">Review 1: order is being cancelled automatically!!!!! Worst
                  experience........ Review 2: Not getting updated</t>
  </si>
  <si>
    <t xml:space="preserve">Was delivering to my area since last 2years. Now suddenly the
                  services are stopped since last one month. Really
                  disappointed...</t>
  </si>
  <si>
    <t xml:space="preserve">Bilkul bekar app hai. Delivery time jitna show krta hai us se
                  6 days extra lgte hai. I have waited almost 16 days for my
                  order don't download it! You can get same product from Amazon
                  also as it take maximum 4-5 days for delivery</t>
  </si>
  <si>
    <t xml:space="preserve">the app is great ðŸ˜ƒ, but if the product is available is not is
                  not showing pls fix that bug!</t>
  </si>
  <si>
    <t xml:space="preserve">Order never gets delivered on time,even after getting delivery
                  message,items are missing from order after waiting whole day
                  for delivery,</t>
  </si>
  <si>
    <t xml:space="preserve">I placed two orders but they called me and said we don't have
                  delivery boys so they asked me to cancel your order.So why
                  place the original order? How about without delivery boys?It
                  only works for metropolitan cities, it is a waste to install
                  this app</t>
  </si>
  <si>
    <t xml:space="preserve">very lag experience change the interface but order delivery is
                  in time you can get order within hours if your near by
                  reliance smart (grocery)</t>
  </si>
  <si>
    <t xml:space="preserve">This is my 12th review that not satisfied with jio
                  mart..Horrible... Worst... Worst...I never seen this type of
                  mart. Some products delivery was horrible... There is no
                  cancellation option in app. Simply they were playing with
                  customers money. Customer service executive was not able to
                  give proper guidance to customers</t>
  </si>
  <si>
    <t xml:space="preserve">This is the worst app where you'll get all expired.Products
                  and low quality products and customer support system is worst
                  in the market.Please don't by any products in this application</t>
  </si>
  <si>
    <t xml:space="preserve">In every order some items are missing or not in good condition
                  after so much notification of product out for delivery they
                  don't deliver and return initiated with out customer consent</t>
  </si>
  <si>
    <t xml:space="preserve">Horrible experience. Placed order and paid online. After 2
                  days it said order Placed and delivery is on the way. In the
                  night received an sms saying your order has been canceled due
                  to unforseen circumstances. Crazy canceling order at the last
                  moment. Pathetic service</t>
  </si>
  <si>
    <t xml:space="preserve">User interface and functionality is so poor...even WhiteHatJr
                  kids could build better apps. Always hanging and going blank.</t>
  </si>
  <si>
    <t xml:space="preserve">Very bad jio mart is amongst the worst yhrs days as their
                  delivery partner are very unprofessional and they don't know
                  how to talk to their clients indoor and swiggy instamart is
                  100 times better then jio I will never use this pathetic app
                  ever from now on..</t>
  </si>
  <si>
    <t xml:space="preserve">I placed an order on JioMart twice and made online payments
                  both times. However, my order was canceled twice, and I still
                  haven't received a refund. This has been the worst experience.</t>
  </si>
  <si>
    <t xml:space="preserve">Incredible products and delivery speed too! Impressed on the
                  first order!</t>
  </si>
  <si>
    <t xml:space="preserve">Wrost app always Not available at your pincode. Not one time
                  Whenever I purchase something after few days it's not
                  available. Sabse bekar service ðŸ˜¡</t>
  </si>
  <si>
    <t xml:space="preserve">Always delaying delivery and then cancelling the order, you
                  will get your money back but never the order.</t>
  </si>
  <si>
    <t xml:space="preserve">Complained regarding missing product. Not settled but in app
                  it's reflected resolved. Hopeless service.</t>
  </si>
  <si>
    <t xml:space="preserve">Worst experience ever ! I have ordered an item many times but
                  they always reject my order.</t>
  </si>
  <si>
    <t xml:space="preserve">Useless delivery service. They cancel the prepaid orders at
                  their own wish without stating the readon and make us wait for
                  days to get our own money back. Epic way to manage their
                  Overdraft account. Wonder if they can give the delivery and
                  allow us credit period to pay within 7 days!!!</t>
  </si>
  <si>
    <t xml:space="preserve">In this app when i go to buy one rate shows another rate while
                  ordering different price different same product comes
                  different why</t>
  </si>
  <si>
    <t xml:space="preserve">Jiomart service is very pathetic and abysmal. Most of the
                  times they won't refund money for undelivered items. Customer
                  support is completely non existent. They will do nothing to
                  refund our hard earned money even if you email or call them
                  multiple times.</t>
  </si>
  <si>
    <t xml:space="preserve">Completely unprofessional &amp; 100 % non dependable. Just
                  screaming loudly for big discounts in ads. But after
                  looooooooong wait u come to know that your order has been
                  cancelled. This is 3rd time happened to me. I'm sure many will
                  have experience like me. So my advice is if you really want to
                  buy anything go to other site.</t>
  </si>
  <si>
    <t xml:space="preserve">Worst app . Repeatedly asking for sign in whenever tring to
                  place order. Inspite of multiple times sigining in</t>
  </si>
  <si>
    <t xml:space="preserve">This is the worst app. I suggest you to please don't order the
                  groceries from this app. They will show order as dispatched,
                  but after sometime they will cancel the order without any
                  reason by delivery associate.</t>
  </si>
  <si>
    <t xml:space="preserve">I have placed an order..it shows that the delivery date sep 15
                  .but on sep 13 the delivery boy calls me and said you have to
                  cancel your order .. because we can deliver upto 5 kms only
                  ....I said it is not mentioned in app ..and he is saying I
                  don't know all those you just cancel the order ...I tried to
                  talk with customer care they also not responding properly</t>
  </si>
  <si>
    <t xml:space="preserve">Never buy from jiomart i ordered from hyperlocal delivery and
                  the reliance smart is just 5 min away from my location even
                  then it's already been more than 3 hours I've not yet received
                  my order</t>
  </si>
  <si>
    <t xml:space="preserve">DO NOT USE. I may have been scammed out of â‚¹10,159. My order
                  (a mattress) has not been shipped, it's already long passed
                  due for delivery, no-one has responded to my ticket for help,
                  the cancel order button is nowhere to be seen. My money has
                  been taken and no-one is responding. I feel like I've been
                  scammed. What is this jugaadu app?</t>
  </si>
  <si>
    <t xml:space="preserve">Worst App. Selling bad quality items and does not have the
                  option to return the product. Also, customer care is not
                  responding on the call despite calling on the number within
                  the timeline. Unable to raise a return request via mobile app.
                  Guys please don't use such worst app. Your money will be
                  blocked</t>
  </si>
  <si>
    <t xml:space="preserve">Everytime I order something, one or two products are missing
                  and I have to raise ticket everytime and complain about it...
                  ... This is the only problem in Jio Mart.... Please Try to
                  solve this issue...</t>
  </si>
  <si>
    <t xml:space="preserve">Very bad product Seller Name Kavya Traders through Jio Mart
                  Delivered me old and mismatch product samsung Charger and
                  Cable I have never seen this type of rubbish seller Very bad
                  KAVYA TRADERS Don't purchase any item of KAVYA TRADERS Seller</t>
  </si>
  <si>
    <t xml:space="preserve">Whenever we order, they take the order and 50% items are not
                  available and then they issue refund which means you pay and
                  take money back. Actually we pay for items and not for refund.
                  Useless app and useless people who don't check why refund is
                  happening for every prepaid order</t>
  </si>
  <si>
    <t xml:space="preserve">Very good and fast delivery. Delivery person conduct and
                  behaviour is very good. All things are best.</t>
  </si>
  <si>
    <t xml:space="preserve">Worst service I have experienced by the delivery partners. Thy
                  jst give false reasoning &amp; that too for delivering baby
                  diapers. And this is not for the first time it's happening
                  this has happened with me for the third time. And delivery
                  guys are just worst in talking thy dnt have any manner and
                  respect how to talk customers I would NVR recommend any one to
                  use this</t>
  </si>
  <si>
    <t xml:space="preserve">Nowadays in app what I want to purchase that you don't have
                  and from Reliance Smart I had purchased grocery they delivered
                  to my home but from two three month they stopped to deliver
                  grocery so please start Delivery as soon as possible please do
                  something Thank you</t>
  </si>
  <si>
    <t xml:space="preserve">love you jiomart I love your product to use I recommend it to
                  download for new and enjoyable experience and good quality
                  product also thanks and love a lot ðŸ’ž</t>
  </si>
  <si>
    <t xml:space="preserve">Really bad app! ðŸ˜• I don't like it anymore because what ever I
                  search it comes streamly different .</t>
  </si>
  <si>
    <t xml:space="preserve">same AMBANI liars...same JIO conman...order shows hyperlocal
                  delivery time of 30 minutes...but it's more than 2 hours and
                  order not delivered yet...I wish to give this APP negative
                  rating</t>
  </si>
  <si>
    <t xml:space="preserve">Can't able to login OTP received but not login. Several times
                  complaint given but no resolution</t>
  </si>
  <si>
    <t xml:space="preserve">App is slower as old Bullcart Order will show delivered
                  without delivering such a worst app I ever seen please don't
                  waste time ordering it</t>
  </si>
  <si>
    <t xml:space="preserve">Worst experience, Store manager are not aware about timely
                  delivery and return process. Placed order cancelled.</t>
  </si>
  <si>
    <t xml:space="preserve">really an great app they give the best discount than any other
                  app on the platform!really loved it</t>
  </si>
  <si>
    <t xml:space="preserve">Wouldn't recommend this app for instant deliveries. Take
                  almost 10 hours to 2 days to deliver items</t>
  </si>
  <si>
    <t xml:space="preserve">Very bad service. Not delivered products on time. Customer
                  care also not helping.</t>
  </si>
  <si>
    <t xml:space="preserve">Wrost App...There is no tracking system, no TAT and there is
                  also no contact number on which an inquiry can be made.</t>
  </si>
  <si>
    <t xml:space="preserve">Very bad Please check the items at the time of delivery. No
                  response for missing items</t>
  </si>
  <si>
    <t xml:space="preserve">App is running very low, Product recommandation and functions
                  feels like not up to the standard</t>
  </si>
  <si>
    <t xml:space="preserve">Very poor service from reliance industries. They are not
                  providing my refund money. I will not recommend to use jiomart
                  to anyone. Always makes excuses when I talk about my refund
                  they simply say please wait for 3 to 5 days as your complaint
                  registered . ðŸ™ƒ</t>
  </si>
  <si>
    <t xml:space="preserve">By mistake I log out from this app now this app is not
                  allowing me to log in after input the valid OTP.</t>
  </si>
  <si>
    <t xml:space="preserve">Don't give any orders in this app They will cancel the item
                  and they will credit ur money in one week...1 star also waste
                  for this app</t>
  </si>
  <si>
    <t xml:space="preserve">Best platform for purchasing. if any problem persists then
                  jiomart resolves quickly.</t>
  </si>
  <si>
    <t xml:space="preserve">Very slow in delivery and no support or customer care . Just
                  some garbage email replies</t>
  </si>
  <si>
    <t xml:space="preserve">Waste app,fully fraud . I had order an iteam also paid money
                  but I had not received my order.waste app don't trust this
                  app..</t>
  </si>
  <si>
    <t xml:space="preserve">These are cheaters. I purchased some materials get less
                  quantity, complaint made two times but no heed paid. Shame on
                  thugs.</t>
  </si>
  <si>
    <t xml:space="preserve">Very good product. Water gets boiled within a few minutes.</t>
  </si>
  <si>
    <t xml:space="preserve">Very bad experience all damaged product they send and not any
                  proper customer support items are missing from list</t>
  </si>
  <si>
    <t xml:space="preserve">This app is not working properly. Why its not showing all
                  items? Can't see old order's</t>
  </si>
  <si>
    <t xml:space="preserve">Unable to log in. Every time OTP is enters error pops up
                  showing something is wrong.</t>
  </si>
  <si>
    <t xml:space="preserve">Please don't use this below the standard store. They do not
                  deliver on time and reschedule by their own without your
                  consent and won't allow you to cancel</t>
  </si>
  <si>
    <t xml:space="preserve">Worst service I had to incurr loss boz of jio mart many items
                  missing or they will give expired product.. Worst customer
                  support too..</t>
  </si>
  <si>
    <t xml:space="preserve">When I did the order mentiond it will be delivered in 30
                  minutes after I paid for the order I waited an hour. Then I
                  check with the customer service they said it will deliver on
                  9pm I ordered at 2 pm.</t>
  </si>
  <si>
    <t xml:space="preserve">They didn't delivered my order. marked it returned while they
                  never attempted delivery</t>
  </si>
  <si>
    <t xml:space="preserve">Is the hyperlocal delivery takes 4- 5 hours ,first delete that
                  fake hyper local delivery swiggy insta mart is sooo much
                  better than this app</t>
  </si>
  <si>
    <t xml:space="preserve">worst experience, cheating the public, while cancelled an
                  prepaid order at other ecommerce platform refund is initiated
                  immediately but jiomart says that it will take 7 days, shame
                  to your service</t>
  </si>
  <si>
    <t xml:space="preserve">Too badest app... Product not deliver in time and
                  automatically returned until i received</t>
  </si>
  <si>
    <t xml:space="preserve">Stupid app not use full for common man. All the groceries
                  items are very pricey which a common man could not afford.
                  Didn't expect this from reliance group...</t>
  </si>
  <si>
    <t xml:space="preserve">app was good, yes was becouse there is a lot of things missing
                  lot of product are not available there ðŸ˜•</t>
  </si>
  <si>
    <t xml:space="preserve">One of the worst app,even I am trying to log in to app.but
                  still not available for login.</t>
  </si>
  <si>
    <t xml:space="preserve">aa you are very good because when we do not have any item at
                  home we can order it from you and get it and if you order
                  anything else from you then you will get it in the best
                  quality</t>
  </si>
  <si>
    <t xml:space="preserve">It's futures is too bad...you can't use tha money that you
                  have in your jio mart wallets.....my request please solve this
                  issue..</t>
  </si>
  <si>
    <t xml:space="preserve">Delivery service even if in tertiary care medical College in
                  metrocities are not serviceable.Worst delivery experience ever
                  had.</t>
  </si>
  <si>
    <t xml:space="preserve">Most necessary daily needs items like Nandini milk, Nandini
                  Curd, and slice breads of reputed brands have been unavailable
                  on the online platform of the mart for a long time. May I
                  request the management to look after the issue ?</t>
  </si>
  <si>
    <t xml:space="preserve">Worst app, it no customer care response jus some machine
                  generated useless responses. Useless app utterly useless.</t>
  </si>
  <si>
    <t xml:space="preserve">Very slow interface, application is opening bad experience</t>
  </si>
  <si>
    <t xml:space="preserve">At first this app give all type products, but now provided
                  only premium and luxury products which is not good..</t>
  </si>
  <si>
    <t xml:space="preserve">Since, few days no payment options are working neither on
                  jiomart app nor on jiomart website. Please resolve it.</t>
  </si>
  <si>
    <t xml:space="preserve">costumer service is too bad . they're don't try to solve
                  problems it's like automatic robot response</t>
  </si>
  <si>
    <t xml:space="preserve">It is very faster dilevery and it's things are also available
                  and doesn't broken ðŸ’”</t>
  </si>
  <si>
    <t xml:space="preserve">unexpected fast delivery. it's good for future to continue.
                  good response</t>
  </si>
  <si>
    <t xml:space="preserve">Useless app asking signin again and again please invest good
                  amount in your app for a smooth work rather than spending
                  5000cr in son's weeding.</t>
  </si>
  <si>
    <t xml:space="preserve">Pathetic care. Not able to cancel the order even it is not yet
                  shipped.</t>
  </si>
  <si>
    <t xml:space="preserve">Worst services.. no returns, if take return no refunds. No
                  response. I lost 4 bills amount.</t>
  </si>
  <si>
    <t xml:space="preserve">Hopeless app They will cancel the order themselves.Rarely
                  anything we order will be sent. otherwise they will cancel and
                  make us fools. please do not buy anything through this app</t>
  </si>
  <si>
    <t xml:space="preserve">Excellent ðŸ‘Œ very good service provider, with ib time limit
                  reach the product when they deliver the product to any homr</t>
  </si>
  <si>
    <t xml:space="preserve">it's very useful in urgent situation and more affordable and
                  quick ðŸ™‚</t>
  </si>
  <si>
    <t xml:space="preserve">this is really good and accurate. delivery is perfect time.</t>
  </si>
  <si>
    <t xml:space="preserve">excellent service and prompt delivery in time ,</t>
  </si>
  <si>
    <t xml:space="preserve">Worst app customer support team is not supportive i complaint
                  may time it's always say please provide us more time . They
                  can't help you ever. I ordered rock salt but received tata
                  salt ðŸ§‚. Customer support 0 don't order from jio mart now.</t>
  </si>
  <si>
    <t xml:space="preserve">otherwise all my orders have gone smoothly but in my last
                  order one item is not coming still after the due date ie dates
                  sweet I ordered 6 packets. Pl do the needful as it has to be
                  sent out.</t>
  </si>
  <si>
    <t xml:space="preserve">When I was trying to login app will automatically logout my
                  account each and every time. This problem shows last 2 months
                  approx. No customer care help/support to resolve this problem.</t>
  </si>
  <si>
    <t xml:space="preserve">I live in Rajkot, Gujarat and when I open jiomart and search
                  for kurkure, maggi, haldiram namkeen items, I am not getting
                  these items in my search results. Even after scrolling, I'm
                  unable to find the product. I hope jiomart fixes this soon.
                  Thanks!</t>
  </si>
  <si>
    <t xml:space="preserve">Seamless. From placing the order via the app to delivery, all
                  within 30min.</t>
  </si>
  <si>
    <t xml:space="preserve">Genuine products and price with fast delivery.</t>
  </si>
  <si>
    <t xml:space="preserve">It's an horrible app.Did not deliver a product. Dry fruits
                  pista very bad quality Customer care chat doesn't work and not
                  connecting with toll free number.Also when ticket is raised
                  with resolving the issue ticket is closed.We got the area
                  manager number spoke to him.The reply we got is it's not jio
                  mart product, you need to check the supplier company and ask
                  them .only the provider can do that and jio Irresponsible
                  response received no refund its almost 700rs.</t>
  </si>
  <si>
    <t xml:space="preserve">The app is too slow, takes an eternity to open pages. Pricing
                  is fine, just the surfing through pages and items is too ðŸ¦¥.</t>
  </si>
  <si>
    <t xml:space="preserve">This is a completely fraud and useless app. I had ordered a
                  combo of 16 and 22 inch wiper blades for my car out of which I
                  only received 16 inch and other one was missing. I complained
                  to the customer care and sent them the pic but even after this
                  they are denying their fault and shamelessly saying that it's
                  your fault if you received incomplete order. Now I understand
                  why people prefer Amazon and Flipkart over such useless apps.
                  Totally rubbish experience of customer care and product
                  ordering.</t>
  </si>
  <si>
    <t xml:space="preserve">Worst application. Jiomart is not at all reliable. After
                  payment the order gets automatically cancelled and the refund
                  will happen after 10-15 days. Terrible experience. NO PROPER
                  RESPONSE FROM Customer care. More often it is a case that
                  orders will be cancelled.</t>
  </si>
  <si>
    <t xml:space="preserve">Happy to buy.Nice experience.Thanks to jiomart for providing
                  items that are useful to students in various ranges.</t>
  </si>
  <si>
    <t xml:space="preserve">i ordered from this app without any reason they cancelled oder
                  by delivery partner never delivered on time and after that not
                  refunded your money please don't install this app</t>
  </si>
  <si>
    <t xml:space="preserve">It's very disappointing!!! Whenever I order any thing and
                  enter my card details it shows troubleshooting every single
                  time and I tried it various time and even in various time
                  interval and period like every 3to 4 hours I think this
                  problem should be solved otherwise it would create more
                  trouble to me or others as well as the app</t>
  </si>
  <si>
    <t xml:space="preserve">I ordered a product twice and paid the amount through UPI last
                  time Rs. 138/- and this time Rs. 238/- and the product is
                  returned automatically and amount not refunded and no option
                  to talk to customer care. They gave only chat option. THIS IS
                  TOTAL CHEATING BY THE SUPPLIER AND JIOMART.</t>
  </si>
  <si>
    <t xml:space="preserve">I recently ordered a product from jio mart, after a few days I
                  got a notification about the product that your product is out
                  for delivery, then I got a notification that you are unable to
                  collect the product, but I did not get a call from delivery
                  agent, and then I got some help in the help chart box. If
                  asked, they said you recently did not ordered a product this
                  is shameless experienced i have faced from jio mart</t>
  </si>
  <si>
    <t xml:space="preserve">Canceled the order by delivery partner and the product still
                  listed at same price, deleting the app, not like other
                  competitors app not even near them</t>
  </si>
  <si>
    <t xml:space="preserve">Very Very Bad Service by Jio Mart every time I ordered from
                  here it gets returned every time next day and their delevery
                  boy forces customer to cancel the order,I am writting this
                  review after talking with their customer service which is the
                  badest of all they never give solution every time customer
                  call them,they give wrong information to customer even i have
                  every call recording and evidence against them,they are unable
                  to solve same issue from past 1 year very very bad Service.</t>
  </si>
  <si>
    <t xml:space="preserve">Third rate fraudsters. I ordered some juices and cooldrinks
                  but they cancelled the order and refund is not issued. Unable
                  to contact the support team too. Just automated irrelevant
                  stupid ai messages appear when we want to raise issues.</t>
  </si>
  <si>
    <t xml:space="preserve">Horrible app... We cannot add items to wish list, it takes lot
                  of time to open each page.. No option to filter size of baby
                  diapers.. The app crashes frequently</t>
  </si>
  <si>
    <t xml:space="preserve">I was ordered many times but most of the time Delivery partner
                  cancelled my order even though I was paid all amount. I don't
                  know why they are doing this. Its really disappointed. Jiomart
                  should take action against this type of delivery partner.
                  Thank you.</t>
  </si>
  <si>
    <t xml:space="preserve">Ordered after years from Jio mart but still it has same
                  problem. Every time I order they seal pack the items in a big
                  bag and when I check items are missing. Please don't order or
                  please customer's check your item at the time of delivery.</t>
  </si>
  <si>
    <t xml:space="preserve">Total waste of time. Customer service is ridiculous. Never
                  delivers items on the provided timeline. Can't see latest
                  updates of orders on the app.</t>
  </si>
  <si>
    <t xml:space="preserve">This app provides cheap quality product. People waste time and
                  money while shopping from this app.product is correct I have
                  got the correct product and neither is the product being given
                  nor is it being refunded please don't shop from here as per
                  the reason</t>
  </si>
  <si>
    <t xml:space="preserve">They are also started looting. In COVID period many products
                  were available on affordable price but now all goods are
                  replaced and price are so hike. So all of my friends family
                  members including me deleted this app. Very worst now.</t>
  </si>
  <si>
    <t xml:space="preserve">Worst, worst, and super worst. 3rd grade rotten products gets
                  delivered by them. They will show that your order is out for
                  delivery and then says it was rejected by the customer at
                  11:50 PM. Then they will give the product next day. If you
                  contact customer service only recorded response.</t>
  </si>
  <si>
    <t xml:space="preserve">It's a chor company. It doesn't deliver the products yet mark
                  them delivered &amp; doesn't refund the money as well. Despite
                  of u calling thousands of times, they will nt return u your
                  hard earned money back. Their social media support is robotic
                  &amp; no real update they provide. They don't hv proper
                  escalation matrix, their higher management is in hands in
                  gloves in this loot of peoples money. Even after someone wants
                  to place order, only do for the amount u can afford to lose.</t>
  </si>
  <si>
    <t xml:space="preserve">Worst app too slow and don't give proper answers and they
                  bring other items which I didn't ordered and don't bring the
                  actual item which I ordered</t>
  </si>
  <si>
    <t xml:space="preserve">Very bad experience.app doesn't have return or cancel order if
                  you make a order by mistake and make payment for this product
                  you can't cancel order very bad experience and in starting
                  dilivery is so fast but now it's take 4 to 5 day very bad
                  experience. 1 â­ is more than enough.,... now after 1 year
                  nothing changed in Jio mart I ordered something on 17 sep
                  delivery date is 20 September but date changed 26 sep but on
                  25 September date again surprisingly changed 2 october.bhagwan
                  bhalla kare InkaðŸ™</t>
  </si>
  <si>
    <t xml:space="preserve">Your app have bugs, your app login page not working. Fix it</t>
  </si>
  <si>
    <t xml:space="preserve">Very poor service -Editing to update complete scenario It
                  takes them more than a week to deliver ( still counting as not
                  yet delivered) and I got a message that around 20 % of items I
                  ordered will not be delivered as they are out of stock. Update
                  Didn't receive any communication but checked app to see that
                  items have been 'returned'. Got standard reply on asking
                  reasons that it is 'technical issue'. No reasoning and steps
                  they are taking to avoid it in future. Seems unprofessional!</t>
  </si>
  <si>
    <t xml:space="preserve">Currently no branded item is available at my location. Not
                  even Maggi is available. This is ridiculous!!!</t>
  </si>
  <si>
    <t xml:space="preserve">Worst shopping app ever. So sluggish nad worst UI design.
                  There is not even an option to clear the cart! This should
                  have been made in flutter or react native. This is slow as a
                  snail.</t>
  </si>
  <si>
    <t xml:space="preserve">Don't buy anything from JioMart. I order Jio Fi battery and
                  the battery is defective not working. I already raised the
                  refund at the same time I got delivery of the battery and
                  attached the photos of the swallowed battery. But my refund
                  got cancelled without any reason. Never buy anything from
                  JioMart.</t>
  </si>
  <si>
    <t xml:space="preserve">They miss out one or the other product and to order that
                  product again we have to make bill of min 250 to get that
                  product without shipping charge of 40rs. Customer service is
                  worst. No resolutions, No refunds are provided properly. Worst
                  service.</t>
  </si>
  <si>
    <t xml:space="preserve">I have ordered groceries products of 227 rupees(prepaid) on
                  the application in morning 08:42 Am. Neither the delivery
                  agent calls me, nor the OTP sms came to my number. At 04:00PM
                  I have recieved the sms that your order has been delivered.
                  How's that possible? And even when I was talking to customer
                  care there is no response from his end. Worst service I have
                  ever had, The company has cheated me literally. Don't order
                  groceries specially (Prepaid) from this app these guys are
                  doing fraud.</t>
  </si>
  <si>
    <t xml:space="preserve">Simply worst app worst service worst performance even after 20
                  months, there is no improvement in services, after taking
                  advance payments, Very poor performance. Worst part is that
                  you can't complaint anywhere no customer care available.
                  Customer care services is just only for formalities, you can't
                  check/ discuss for any particular order to customer care. Very
                  pathetic performance. Don't use the prepaid services. Better
                  payment after delivery or Avoid shopping.</t>
  </si>
  <si>
    <t xml:space="preserve">I used jio mart in different cities but here I must say
                  they're doing supareb job delivery are fast product quality
                  and price is good ðŸ’¯ðŸ˜Š good work ðŸ‘ keep this up</t>
  </si>
  <si>
    <t xml:space="preserve">pathetic services, never deliver things on time, delivery
                  partners cancels the orders as per their convenience, then for
                  the refund, sometime refund comes sometime don't, I wish I
                  could have some alternative in my city, so much of time waste,</t>
  </si>
  <si>
    <t xml:space="preserve">Is this really a grocery store app? Useless app, my orders
                  returned multiple times, and their customer service is
                  clueless what is going on, I bet someone just simply reply to
                  my comment saying write to us with some email, whoever is
                  going to reply to this email, do write something else</t>
  </si>
  <si>
    <t xml:space="preserve">Returning items facility should be provided in application
                  also, as provided on website. Unavailable Items should be
                  removed immediately from display. Rest all facilities are
                  best.</t>
  </si>
  <si>
    <t xml:space="preserve">The price is cheaper as compared to others but all the items
                  in your cart don't get delivered. For example if you ordered
                  10 items, you'll have missing items in your delivery. The
                  products not in stock are simply removed from the delivery
                  without informing you about it. Why take the order if you
                  don't have the stock? Also pathetic customer service, they
                  have no clue what's going on. There are quite a few bugs in
                  the app as well.</t>
  </si>
  <si>
    <t xml:space="preserve">Can't even cancel orders and the Customer support is
                  absolutely pathetic, can't help with one single thing.</t>
  </si>
  <si>
    <t xml:space="preserve">This is the worst app I've ever used in my life. They deliver
                  old, scrap products and don't even provide any resolution for
                  it. If u can't find the product you're looking for go to the
                  offline market, but never use this app.</t>
  </si>
  <si>
    <t xml:space="preserve">Please take note that sometimes your delivery person forgets
                  to collect Cash from customer in CoD orders because the only
                  thing he needs is delivery OTP since there is no check in the
                  App which alerts him to collect money from customer. So it is
                  suggested that in CoD orders unless he confirms that cash is
                  received, the delivery must not be made successful. Please
                  modify your software accordingly. Thanks</t>
  </si>
  <si>
    <t xml:space="preserve">I have ordered 6 products from jiomart, on aug 13th, 2
                  products they have cancld after 6 days of and I have called
                  customer care they said it's a technical issue that's
                  issue...remaining 4, 1 product recieved and remaining 3 I
                  didn't recieve yet I have track order and showing my products
                  reached near my hub before 6 days.and called customer care
                  enquire abt 3 products they saying don't knw details 1. first
                  I can customer care service very worst 2.customercare accept
                  it's worst app not use fur</t>
  </si>
  <si>
    <t xml:space="preserve">Worst app I ever use. I ordered just one hell energy
                  watermelon drink but I get classic hell and also it takes 2
                  days while other apps dilevered in few hours. And there is no
                  option to cancel the order.</t>
  </si>
  <si>
    <t xml:space="preserve">Worst service provider app Firstly showing delivery in 2 days
                  and then they are taking 20 days to deliver orders. Inbetween
                  there's no any chance to cancel order</t>
  </si>
  <si>
    <t xml:space="preserve">Fraud Application. They didn't delivered the product it has
                  been more than 1 month and now they are asking to wait for 15
                  more days to get it delivered nor they are refunding the
                  amount . Even my parcel from USA came just in 11 days. Don't
                  know Ambani's are shipping products from Mars.</t>
  </si>
  <si>
    <t xml:space="preserve">They cancelled prepaid order five times in a row, that to in
                  metropolitan city. On compliant, they resolves it with an
                  apologies. And next day they rejects prepaid delivery again.
                  DON'T GO FOR JIOMART!!!! Not reliable at all.</t>
  </si>
  <si>
    <t xml:space="preserve">Now a days they're doing fraud, I ordered some groceries they
                  firstly delivered partial ordered items without informing and
                  then charge the full bill amount. After complaining no action
                  have taken yet. Now in the application they're showing all
                  itmes are returned by the customer.</t>
  </si>
  <si>
    <t xml:space="preserve">I'll never recommend this app because they don't allow for cod
                  and if you do online payment and if you want to cancel it they
                  will give you only half amount even if product is not
                  delivered, better go for big basket best app then this
                  nonsense.</t>
  </si>
  <si>
    <t xml:space="preserve">I am very dissapointed and wrost delivery experience. I
                  ordered groceries without delivery to me it was returned. The
                  delivery agent called and told me that he will not be able to
                  deliver today. And after a day I saw that my order has been
                  returned. If you do not want to deliver the order then why you
                  people's are wasting our time . Never expected this type of
                  3rd class service. My suggestion Don't purchase for Jiomart</t>
  </si>
  <si>
    <t xml:space="preserve">They do not refund untill we beg by calling the customer care
                  again and again . Emails and messages are responded by AI .
                  It's more than 18 days now the refund of the items (they
                  suddenly cancelled) hasn't been made by jiomart yet . So you
                  better go with the cash on delivery option ðŸ˜• to avoid this
                  drama .</t>
  </si>
  <si>
    <t xml:space="preserve">The application does not read any key words Worst application
                  3rd class service</t>
  </si>
  <si>
    <t xml:space="preserve">Better not use this app. It will show the deliver time for
                  groceries within 30min. They shipped the order and without
                  coming to the delivery place they returned my order just like
                  that. Then why I have wasted my time to order and expecting
                  for the delivery. Worst experience in the first time. And
                  Uninstalled with frustration.</t>
  </si>
  <si>
    <t xml:space="preserve">Good..prompt delivery..prices are also cheaper when compared
                  to others.</t>
  </si>
  <si>
    <t xml:space="preserve">Third class service. Multipletime I order and they canceled
                  the order last moment. I think jio mart not taking their
                  bussiness seriously. Firstly, they send message your Shipment
                  is out of delivery then they canceled your all ordered. I
                  never recommend anyone. Poor service.</t>
  </si>
  <si>
    <t xml:space="preserve">Worst app for ordering groceries or vegetables... If you have
                  done a prepaid order. They will just delay your order of their
                  own and sometimes there would be missing items from
                  vegetables... Refund policy is horrible it's been 7 days still
                  I have not received my refund.</t>
  </si>
  <si>
    <t xml:space="preserve">Pathetic experience from past 2 times... These people don't
                  send the items billed and when complained about..they just
                  asked to wait for two days while they check the camera
                  recording....now post two days nobody has turned up and the
                  complaint has been closed..if I try to make another complaint
                  I get a msg that the time is over.They have got horrible staff
                  and they just loot things from us. It's our hard earned
                  money.Atleast they should inform us.It's not the first time
                  that suchthing happened</t>
  </si>
  <si>
    <t xml:space="preserve">Totally Froud app. ðŸ˜¡ðŸ˜¡ðŸ˜¡ðŸ˜¡ðŸ˜¡ðŸ˜¡ðŸ˜¡ðŸ˜¡ðŸ˜¡ðŸ˜¡ðŸ˜¡ðŸ˜¡ðŸ˜¡ðŸ˜¡Today I
                  received my grocery order.. After opening I found that some of
                  items are not received in packet and i paid all amount. I am
                  notable to logde complaint against customer support. Jio is
                  huge platform and is not looking good that jio organization is
                  doing such a cheap things.. Not deserving even one star. Shame
                  on it...</t>
  </si>
  <si>
    <t xml:space="preserve">The customer support is pathetic. There is never a resolution
                  provided. The tickets are always closed without a notice or
                  resolution details on the ticket and everytime a new ticket
                  has to be opened.</t>
  </si>
  <si>
    <t xml:space="preserve">Very poor services, the delivery company is worst "Shadowfax"
                  order out for delivery from 3-4 days but not being delivered
                  and contact number of delivery person is always not reachable
                  and switched off sometime. There is no response from Shadowfax
                  on complaint.</t>
  </si>
  <si>
    <t xml:space="preserve">The order is not delivered nor canceled for 15 days. Money
                  stuck. Customer care says they can't cancel the order. they
                  need to wait 5 days every time I call them. Amzon is the best
                  place to shop always.</t>
  </si>
  <si>
    <t xml:space="preserve">Fraud App - shameful. Ordered mattress worth 4.6k, God knows
                  where the order gone... No cancellation option, No refund
                  policy, No update to Customer care on where is the order..
                  Status in app is still under process whereas delivery date
                  already crossed. Such a big name, but what a shame.</t>
  </si>
  <si>
    <t xml:space="preserve">I had ordered an item from this app, it didn't delivered it
                  but it showed on app that the item has been delivered. The
                  customer service is so useless that no proper way of
                  communication exists</t>
  </si>
  <si>
    <t xml:space="preserve">At first it seemed a little difficult, but later I was able to
                  purchase each one easily. Everyone try it. Easy to use...must
                  try. Thank You ðŸ™</t>
  </si>
  <si>
    <t xml:space="preserve">Worst experience ever ðŸ‘Ž don't use this application anymore. I
                  order groceries items first they delayed my order after that
                  they cancled my order and not refund my money which is â‚¹1802.
                  They are just fraud guys don't use this application.</t>
  </si>
  <si>
    <t xml:space="preserve">Mejor problems with app. Whenever i try to open my past orders
                  or wishlist, it takes me to login screen, however I'm already
                  logged in. Unable to access past orders.</t>
  </si>
  <si>
    <t xml:space="preserve">what rubbish.. order placed on 3rd, one day delivery expected,
                  but revised delivery date twice and cancelled on 11th. Very
                  poor service. Flipkart is the best. And we have plenty of time
                  to write email ðŸ˜</t>
  </si>
  <si>
    <t xml:space="preserve">Not at all trustworthy. They cancel half orders and than
                  entire order and show as customer rejected . When there was no
                  attempt to deliver the products by their delivery partner .
                  Refund takes 7 days They say technical issue</t>
  </si>
  <si>
    <t xml:space="preserve">I am given this five point but Some delevery person are lier
                  and cannot delevery parcel from more than 9 days from the
                  order and when go the help center then their responsible
                  person nothing to do anything that while I am given 3 star if
                  they cannot progress their service thenc i give him only
                  single star because there are many online grocery application
                  available that delevered parcel in only 1 day</t>
  </si>
  <si>
    <t xml:space="preserve">The application is still not stable and properly arranged. The
                  search keywords are also not THAT PROPERLY working.</t>
  </si>
  <si>
    <t xml:space="preserve">Worst aap...........one item not delivered and didn't get the
                  refund for that purpose since 9 days They first show the
                  product available in offer and then don't deliver them and
                  also you don't get refund on time....also no proper customer
                  care service is available.</t>
  </si>
  <si>
    <t xml:space="preserve">Waste service ever. Not delivering,not cancelling and not
                  refunding i don't understand what kind of support they are
                  providing only automatic mail and calls , no option no
                  resolution worst service.. uninstalling</t>
  </si>
  <si>
    <t xml:space="preserve">They do not provide tracking so that we can know where our
                  product is. This does not happen on other apps, you just know
                  where it reached. I also have an issue with refund, refund
                  comes in the wallet only.</t>
  </si>
  <si>
    <t xml:space="preserve">They are selling fake and duplicate products.. Some products
                  are near expiry date.Packing of some products is open and
                  their quantity is also less.Complaining and calling customer
                  care is a waste of time.</t>
  </si>
  <si>
    <t xml:space="preserve">one of d worst online shopping app i have ever seen.. they
                  just send cloths like they are sending garbage to the
                  beggers.. and they dont give any exchange option... only you
                  can return the product... and after return they send money to
                  jio mart wallet,not in your bank account</t>
  </si>
  <si>
    <t xml:space="preserve">Worst shopping experience. Didn't receive items cost Rs. 273,
                  raised a complaint but no response received after so many
                  follow-ups. It was a very disappointing experience.</t>
  </si>
  <si>
    <t xml:space="preserve">I am raising this to make people how the Jiomart and their
                  delivery partners have started looting people. On the 4th of
                  oct I had ordered 3.6k worth 9 items from Jiomart and paid
                  fully. On 5th we oly received 2 itms of 500 rs. The person who
                  delivered took 1rs from us and said rest of the items will be
                  sent later why only 2 item sent b4 I don't know. Customer care
                  giving diff ans each time not connecting with Delivery man
                  only refunded 1rs they took not sending item. Is this some
                  SCAM going on.</t>
  </si>
  <si>
    <t xml:space="preserve">I ordered the items of worth 5000+, then the Delivery
                  executive called and told me, don't order big, order in the
                  range of 500 to 600 only and do multiple orders, otherwise he
                  will cancel the order..</t>
  </si>
  <si>
    <t xml:space="preserve">Received an expired product but customer support helped
                  regarding that issue and gave a satisfactory solution. It took
                  time but was a good solution. Thank you.</t>
  </si>
  <si>
    <t xml:space="preserve">I hate this app I got damaged watch which is very expensive
                  and When I send return request the request is delay day by day
                  when I send 2nd time pickup request they also cancle my 2nd
                  request.worriest experience they can't try to solve their
                  coustomer problems</t>
  </si>
  <si>
    <t xml:space="preserve">Again and again order getting cancelled, if unable to deliver
                  in certain location then please mention while placing the
                  order. Will never rely for delivery on jio mart, and please
                  initiate refund which is in the wallet.</t>
  </si>
  <si>
    <t xml:space="preserve">Order placed @8.15, delivered @ 9.13, too fast, I just ordered
                  went through WhatsApp, news etc and the delivery boy was
                  standing at my door, as if he were in parking when I ordered
                  goods. Great ðŸ‘</t>
  </si>
  <si>
    <t xml:space="preserve">Very poor delivery, and low customer service. Order placed is
                  cancelled just before few hours to delivery and same order was
                  delayed by 3 days . Stock becomes out of stock after placing
                  the order just before delivery.</t>
  </si>
  <si>
    <t xml:space="preserve">WORST POSSIBLE COMPANY no change THEY CANCEL ORDERS AFTER 3
                  DAYS WITHOUT ASSIGNING REASONS. DON'T BUY. Help section is
                  totally helpless. At Siliguri for prepaid orders delivery date
                  keeps on extending, ordered 18th 1st delivery date 20th, then
                  21st, now 22nd., but for COD it is earlier. I have done a
                  great mistake by putting a PREPAID ORDER. The company is now
                  worse even after two years. You cannot complain, part of order
                  cancelled on their own, but refunded to wallet, no cash back
                  benefits</t>
  </si>
  <si>
    <t xml:space="preserve">Last time I had ordered three items from jiomart, did not get
                  it and also did not get the refund. The employees of Geomart
                  are as good as they are, check first and deliver later</t>
  </si>
  <si>
    <t xml:space="preserve">Please don't waste ur money by using jiomart..worst service
                  ever..always they deliver wrong products..and they take months
                  and year to pick a return product..raising complaints 20times
                  also no use..no technical team.. customer support acting like
                  they do something needful for you.but they just raise a
                  complaint and make use wait for 3 to 5days..after 3days
                  complaint closes automatically..worst and worst..plz don't
                  buy..they show low prices compared to ajio but all are
                  returned products from ajio</t>
  </si>
  <si>
    <t xml:space="preserve">Worst app There is nothing products And the app cannot show
                  the product from search bar. For example type gold
                  winner.cannot show the goldwinner.only show relevant
                  items.waste app</t>
  </si>
  <si>
    <t xml:space="preserve">Dont buy from jiomart and pay them online . You wont be left
                  with any options except from waiting because you wont be able
                  to cancel order. My 1 lakh prepaid order is still stuck and no
                  solution from customer care, they are helpless. I'll have to
                  wait for order , worst company with worst service</t>
  </si>
  <si>
    <t xml:space="preserve">JioMart was my first online grocery store. I remember my
                  neighbour recommend this store in covid pandemic time. As the
                  time passes JioMart continuously improving there services to
                  their customers. Yes, now a days there are many online grocery
                  stores but I believe JioMart is one of the best online grocery
                  store due to their product quality and packaging.</t>
  </si>
  <si>
    <t xml:space="preserve">Item required is not delivered twice and only partial item is
                  delivered. Refund is also not given. If item is not available
                  then why is it not reflected at the time of taking orders?</t>
  </si>
  <si>
    <t xml:space="preserve">Worst delivery experience ever. The deliverymen cancel orders
                  without any explanation. Why do you accept orders at first
                  place if you're going to cancel it?</t>
  </si>
  <si>
    <t xml:space="preserve">They accepted order. I made payment. Item Not delivered as it
                  showed out of stock. No refund since more than 12 days. No way
                  to complain. At least order,If needed as COD.</t>
  </si>
  <si>
    <t xml:space="preserve">Had quite bad experiences with jio Mart during and slightly
                  after COVID. However, they've really upped their delivery
                  service at the time of writing. must try. may be slightly off
                  with fresh fruits though</t>
  </si>
  <si>
    <t xml:space="preserve">This very un use full aap that order is cancelled to Taknikal
                  issue and no resultion Countinoes 3 time and starting 2free
                  delivery charg automatically remove so me suggest to other
                  people no download to jio mart aap</t>
  </si>
  <si>
    <t xml:space="preserve">I have ordered samsung Tab . They placed the order and not
                  processed it for 3 days and then cancelled the order . Not a
                  proper response from customer care.</t>
  </si>
  <si>
    <t xml:space="preserve">Hey guys..don't let them fool you.I return my item but didn't
                  get my money back till now,they make it look like they refund
                  it back on the jiomart wallet,but i think its fake because i
                  cannot move the money back into my account,i cannot touch
                  it,they're such a fraud</t>
  </si>
  <si>
    <t xml:space="preserve">worst app and very poor delivery system. delivery person is
                  not attending calls. never order again</t>
  </si>
  <si>
    <t xml:space="preserve">I often require amul full cream milk 1/0.5 litre pouch and
                  amul masti dahi but I couldn't found in your item list. Why it
                  is so ?</t>
  </si>
  <si>
    <t xml:space="preserve">Good quality &amp; reasonable price. Delivery is too fast.</t>
  </si>
  <si>
    <t xml:space="preserve">What weird search logic on the app. Search for a cold drink
                  brand and it shows apparels and handbags.</t>
  </si>
  <si>
    <t xml:space="preserve">I am really very much satisfied with this app.. Thank u so
                  much for your great service..</t>
  </si>
  <si>
    <t xml:space="preserve">Most of the main is not available like for month like amul's
                  and kissan's and many more worst app</t>
  </si>
  <si>
    <t xml:space="preserve">Dear all it's worrest delivery services...the add as given
                  within 30mnts delivery ..but practically they have not
                  capability to service to customers...I have given 0/5..</t>
  </si>
  <si>
    <t xml:space="preserve">Never Ever try to use this Jio app for bookings... No proper
                  communication is there , not able to cancel order , delivery
                  delayed more than two days ....</t>
  </si>
  <si>
    <t xml:space="preserve">Worst App worst delivery schedules takes days to deliver that
                  also after follow up, Uninstalling App, jio can never compete
                  with flipkart Amazon dmart zepto, will shut down in some time</t>
  </si>
  <si>
    <t xml:space="preserve">I have ordered Jio mobile Battery But I received Bulged
                  battery , now they are saying you have to visit Jio service
                  there will be no return or replacement option in
                  JIOMART.online app lik Flipkart or Amazon never says go to
                  company if any defective products received either they Replace
                  or return the product that's why they became Giants in online
                  marketing But come to jiomart they talks carelessly and rashly
                  It shows their Arrogance towards a customer they thought with
                  jio they can DICTATE.</t>
  </si>
  <si>
    <t xml:space="preserve">Good service .nice packaging lowest price.. Free delivered
                  also. Thank you jio mart team you are the best.</t>
  </si>
  <si>
    <t xml:space="preserve">very poor delivery service please dont use beacuse this app
                  not delivered in time and he ascuse many but not give better
                  service</t>
  </si>
  <si>
    <t xml:space="preserve">The cancel tab for order are not working they are just for
                  show.kindly resolve the issues.</t>
  </si>
  <si>
    <t xml:space="preserve">fast delivery...they provide free delivery above 250 was not
                  okay ðŸ‘ ...but everything is good ðŸ˜ŠðŸ˜Š</t>
  </si>
  <si>
    <t xml:space="preserve">poor service, it need to early reaching to the person who has
                  ordered the article , I would like to draw the attention of
                  the management for necessary action.</t>
  </si>
  <si>
    <t xml:space="preserve">very nice service i m very happy with my first purchase..i
                  have order and after 30 minutes they deliver me the
                  order...ðŸ‘ðŸ‘ðŸ‘ðŸ‘ðŸ‘</t>
  </si>
  <si>
    <t xml:space="preserve">Very bad app. No use. Always ask to sign in unable to place
                  the order.</t>
  </si>
  <si>
    <t xml:space="preserve">Please continue to nearby villages of kampli we don't need
                  in10to 30 minutes and afcourse it's a very nice shopping spot
                  so all the best guys ðŸ‘ðŸ»</t>
  </si>
  <si>
    <t xml:space="preserve">The service is good . App can surely get more intuitive !!</t>
  </si>
  <si>
    <t xml:space="preserve">i like this product fresh nuts and i appreciate its
                  packaging.....good product must purchase if you wants dry
                  fruits in good quality ðŸ‘</t>
  </si>
  <si>
    <t xml:space="preserve">Pathetic Service I ever had with jiomart. You can not receive
                  any kind of Customer Support, not received delivery on time,
                  not received any updates regarding your ordered items ðŸ¤¬ I
                  believe there are fake reviews who gives 5 Star or Jiomart
                  definitely deleting Drated feedbacks from here but please let
                  please know about the service.</t>
  </si>
  <si>
    <t xml:space="preserve">I like the fastest free delivery and genuine products and
                  fresh vegetables.... thanks Jio</t>
  </si>
  <si>
    <t xml:space="preserve">Pathetic experience - I did not received the Amul mozzarella
                  cheddar cheese blend of 200grams packet. I was at my in-laws
                  place when my mother received the order. She did not knew the
                  complete order and asked me for the OTP. Today, I am checking
                  my order there is no amul cheese packet upon asking her she
                  said ghee was the only packet she received. The product
                  delivered on 8th December, 2024 1 Out of 2 on asking for
                  refund or replacement they denied both the option. NEVER EVER
                  do prepaid order.</t>
  </si>
  <si>
    <t xml:space="preserve">Worst service, no resolution for any kind of query... Even pre
                  paid order cancel by him side without any information... I
                  never ever shop with jiomart.ðŸ˜¡ðŸ‘ŽðŸ‘Ž Don't shop with jiomart</t>
  </si>
  <si>
    <t xml:space="preserve">Not allowing card payment, it gives error payment failed, try
                  again after sometime</t>
  </si>
  <si>
    <t xml:space="preserve">A good app to buy all sorts of products for friends and family
                  at reasonable prices.</t>
  </si>
  <si>
    <t xml:space="preserve">Generally used Grocery items not shown properly in
                  application, only new items shown whichever not used</t>
  </si>
  <si>
    <t xml:space="preserve">Pathetic app Poor user experience Works like a third grade
                  quality cheap website Good items are never available Weird
                  layout Idiotic design Poor navigation</t>
  </si>
  <si>
    <t xml:space="preserve">Very worst app,logi problem with 6 digit series mobile no.even
                  jio no.,bakwaas mart app.</t>
  </si>
  <si>
    <t xml:space="preserve">Worst app ever....Don't purchase anything from this
                  app...Really worst app These people are all fraud peoples... I
                  have purchased surf Excel 5kg pack for 730.. It's real price
                  is 550.. Kindly Don't purchase anything from this app...fraud
                  people...cheat people. ..</t>
  </si>
  <si>
    <t xml:space="preserve">Worst app, all products are out of stock , show any irrelevant
                  products, (not showing the product I searched for )</t>
  </si>
  <si>
    <t xml:space="preserve">Order is always gets cancelled if not delivering to perticular
                  pincode why to take orders It happed to me 3 times</t>
  </si>
  <si>
    <t xml:space="preserve">Please don't buy clothes from here. Quality of product is so
                  poor and if you return the same they will reject your product.</t>
  </si>
  <si>
    <t xml:space="preserve">super quality but delivery late propose so we kindly
                  requesting you delivery fast..</t>
  </si>
  <si>
    <t xml:space="preserve">Very quick and prompt delivery. Nice packing.</t>
  </si>
  <si>
    <t xml:space="preserve">I ordered grocery but they delivered the after 1 day I really
                  liked the COD option</t>
  </si>
  <si>
    <t xml:space="preserve">It showed iteams will be delivered within 30 munits in my
                  pincode but it's been more than 2hrs ðŸ˜‘</t>
  </si>
  <si>
    <t xml:space="preserve">Very quick hyperlocal delivery in Wanowrie location, Pune.
                  Keep it up</t>
  </si>
  <si>
    <t xml:space="preserve">I have few products three times within week Every time the
                  order is cancelled without the delivery person calling me</t>
  </si>
  <si>
    <t xml:space="preserve">order cancelled by them without any reason and sometimes
                  refund not credited in account</t>
  </si>
  <si>
    <t xml:space="preserve">great grocery shopping app and bachat app and same day
                  delivery....great</t>
  </si>
  <si>
    <t xml:space="preserve">Previously this app had the filters for selecting the garments
                  like size, fabric etc.. but recently the filtering options
                  have been removed and has only option to select the brand name
                  which is very time consuming and irritating as after lot of
                  effort we realise that the size is not available or the fabric
                  is not the required one. Request you to either roll back to
                  the previous version or implement the necessary filters for
                  the selection which will save lot of time for the customers.</t>
  </si>
  <si>
    <t xml:space="preserve">Very poor interface and delivery time.ðŸ‘Ž</t>
  </si>
  <si>
    <t xml:space="preserve">i order for first time and experience was so bad i ordered
                  branded hair straightener but got duplicate and know they are
                  not accepting return. this is very bad</t>
  </si>
  <si>
    <t xml:space="preserve">I am really disappointed with this app. I have ordered a
                  couple of times from this app and both times they delivered is
                  the wrong product. The delivery man is also irresponsible and
                  doesn't correct the mistakes even after calling and telling
                  them many times. In the last order, I didn't even receive all
                  the items I ordered. Is this really how you guys work, without
                  checking everything? Better shut down the services if you
                  can't deliver it properly.</t>
  </si>
  <si>
    <t xml:space="preserve">If i am purchasing items which total cost is 805 â‚¹ and its
                  clearly stating that the delivery is free how come i have to
                  pay 1505â‚¹ that so wrong</t>
  </si>
  <si>
    <t xml:space="preserve">The customer support services are horrible. It will take a
                  decade for you to reach out to someone and if you do they will
                  take another decade to resolve your query. If you want to buy
                  or return an item. The experience is not good. I have raised
                  so many tickets and they have just been marked as resolved
                  without any resolution, there is no easy way where we can
                  reach out for support. P.S. please go and check your emails
                  first. As I mentioned I have raised multiple tickets and
                  emails.</t>
  </si>
  <si>
    <t xml:space="preserve">Not able to login in app since yesterday as it is giving
                  something went wrong error due to this I m not able to place
                  order .</t>
  </si>
  <si>
    <t xml:space="preserve">Getting slow after each update, sometimes don't open what the
                  worst app they have made.</t>
  </si>
  <si>
    <t xml:space="preserve">I have ordered for groceries worth â‚¹3700 on very first hour of
                  downloading this app on 21:37 hrs. dt. 2/11/2024. On 5/11/2024
                  at about 12:45 hrs. I received a call from someone of jiomart
                  expressing their inability to deliver my orders due to absence
                  of delivery boy!!!!!! They also expressed their inability to
                  refund my hard earned money after 7 days from my cancellation
                  of orders. I am very much unhappy with jiomart.</t>
  </si>
  <si>
    <t xml:space="preserve">so,good I'll not expected this products so good because so
                  cheap and budget friendly, and also free delivery so good app</t>
  </si>
  <si>
    <t xml:space="preserve">The app is lagging too.. It's constantly getting stuck. I
                  can't shop like this.</t>
  </si>
  <si>
    <t xml:space="preserve">Worst experience, I am ordering from years from app but now
                  when have some issue no record in database.</t>
  </si>
  <si>
    <t xml:space="preserve">Getting wrong products and not even taking return, it's
                  scamming us it's not a best shopping app I recommend you to
                  not download this app.</t>
  </si>
  <si>
    <t xml:space="preserve">Worst app... They take orders and when delivery time comes
                  they cancel orders with out any information</t>
  </si>
  <si>
    <t xml:space="preserve">Nice app but do not deliver at city outskirts where service is
                  more needed than in the cities</t>
  </si>
  <si>
    <t xml:space="preserve">after washing the bed cover does not loose the original shade.
                  there is no colour fading. it is worth buying</t>
  </si>
  <si>
    <t xml:space="preserve">Jiomart app is not customer friendly. As I ordered to my
                  friend in another city, the delivery boys calling me instead
                  of calling the delivery addressee every time, this never
                  happened in Flipkart Amazon etc .only in jio Mart
                  happends.worst experience</t>
  </si>
  <si>
    <t xml:space="preserve">The distance of Jio Mart from my house is 10 to 15 kilometers.
                  But even at such a distance, I got the delivery. Thank you so
                  much! ðŸ™</t>
  </si>
  <si>
    <t xml:space="preserve">it's a nice app where you can get many things even food in one
                  platform also prices are competitive</t>
  </si>
  <si>
    <t xml:space="preserve">it's better option for free delivery easy to shopping but some
                  times delayed to delivery and returned</t>
  </si>
  <si>
    <t xml:space="preserve">Worst experience with the orders. There's no proper customer
                  support or escalation metrix.</t>
  </si>
  <si>
    <t xml:space="preserve">It is not giving option of simpl pay for payment but as these
                  app previously gave option but at that time not giving for
                  payment simpl pay</t>
  </si>
  <si>
    <t xml:space="preserve">Quick delivery accompanied with great discounts without any
                  compromise with quality.</t>
  </si>
  <si>
    <t xml:space="preserve">My order was returned by own company and no one contact that
                  time for this delivery. I am going to uninstall the app.</t>
  </si>
  <si>
    <t xml:space="preserve">Worst they are fraud .they will automatically cancel your
                  order. And they will return your prepaid money after many
                  calls to customer care. ðŸ¤¬</t>
  </si>
  <si>
    <t xml:space="preserve">Worst return policy ever from jio mart please don't purchase
                  any thing from this platform they don't returns the wrong
                  products or defect products</t>
  </si>
  <si>
    <t xml:space="preserve">Placed order yesd and it was out for delivery today and within
                  few mints they cancelled the order.No update as to why my
                  order was cancelled.horrible service.</t>
  </si>
  <si>
    <t xml:space="preserve">worst service. frauds show deliver if made online payment then
                  fight for refund. and cancel orders without any info</t>
  </si>
  <si>
    <t xml:space="preserve">Very very slow app and I have many time but this can't place
                  the order through this app, Very bad service</t>
  </si>
  <si>
    <t xml:space="preserve">Please don't use this for online . SENDING POOR QUALITY
                  PRODUCT OR NEAR TO EXPIRE. NUMBER OF TIME SENDING WRONG ITEM .
                  Be alert âš ï¸ Loyalty program also a trap.</t>
  </si>
  <si>
    <t xml:space="preserve">One of the worst app everytime I order the product i got wrong
                  product and then I request to return the product thay take
                  15-18 days and don't give refund</t>
  </si>
  <si>
    <t xml:space="preserve">My order was supposed to be delivered today. It was raining
                  heavily in Chennai and had just stopped. So, I called the
                  customer support team at 2PM and told them that I can
                  understand if they can't deliver today but please let me know
                  so that I can make alternate arrangements. The call got
                  escalated and the senior agent assured me that it will
                  definitely be delivered by 9PM. It didn't rain heavily after
                  2PM but still the order has not even been shipped till now at
                  9:30PM. Disappointed.</t>
  </si>
  <si>
    <t xml:space="preserve">Worst e commerce app plzzz don't download.. Apke paise kha
                  jate hai product diliver nahi karte... I change my rating from
                  1 to 2 star.. Bcoz I recv my product after complain... But
                  they should give cancel button</t>
  </si>
  <si>
    <t xml:space="preserve">Very bad experience about delivery not delivered the order
                  multiple items are not available their</t>
  </si>
  <si>
    <t xml:space="preserve">Why my app is not opening even after re installing 2times.
                  It's not working not showing home page nothing</t>
  </si>
  <si>
    <t xml:space="preserve">Very bad again and again delay in delivery . This is the 5th
                  time got delayed in delivery</t>
  </si>
  <si>
    <t xml:space="preserve">Very poor delivery system neither one have an option to
                  register their complaint.</t>
  </si>
  <si>
    <t xml:space="preserve">Worst app I ever seen... delivery partner cancelled my order
                  oftenly...if you can't deliver don't assure of it</t>
  </si>
  <si>
    <t xml:space="preserve">price is so good ðŸ‘ , I love â¤ this pridoct quality, and good
                  packageðŸ“¦</t>
  </si>
  <si>
    <t xml:space="preserve">Received different item than ordered after raising complaint
                  several times and after calling customer care also no exchange
                  or refund. Think before ordering.</t>
  </si>
  <si>
    <t xml:space="preserve">worst app experience. keep auto refreshing when scrolling.
                  reliance should immediately fire the app developer</t>
  </si>
  <si>
    <t xml:space="preserve">Worst nothing which was available earlier is not available in
                  the app only imported items and things selled by other sellers
                  nothing by jiomart even the biscuit are not available</t>
  </si>
  <si>
    <t xml:space="preserve">The wall mount stand does not come with the product. The
                  product is very good.</t>
  </si>
  <si>
    <t xml:space="preserve">Jio as name a fraud company in all sectors. They sell low or
                  third quality products without return policy. You will keep on
                  raising requests but they will not arrange pickup and provide
                  you refund.</t>
  </si>
  <si>
    <t xml:space="preserve">I have ordered chicken feed for third time continuously but
                  they cancelled it the 3rd time as well worst app</t>
  </si>
  <si>
    <t xml:space="preserve">App doesn't have order cancellation option... Been trying to
                  cancel it since yesterday</t>
  </si>
  <si>
    <t xml:space="preserve">Worst app. I have ordered cheese of 1030 pack of 2 and
                  received only 1 and they said 515 rs will be refunded but
                  still now I have not received the refund after one week also..
                  What should I do now</t>
  </si>
  <si>
    <t xml:space="preserve">we have got all free delivery for items i love this app fast
                  delivery and good products ðŸ¤©ðŸ’“â¤ï¸â¤ï¸</t>
  </si>
  <si>
    <t xml:space="preserve">wrong items are delivered to pin 411036. Also all tickets
                  raised to report these are closed without solving.</t>
  </si>
  <si>
    <t xml:space="preserve">Very bad app please don't use this app my money not refund..me
                  also payment this order and return this app not available so
                  please don't download this app it's fraud app.. and customer
                  care not available ðŸ˜¡ðŸ˜¡ðŸ˜¡</t>
  </si>
  <si>
    <t xml:space="preserve">Most Worst Interface.. Worst Shopping experience. The software
                  of this app is worst.. Uninstalling this app</t>
  </si>
  <si>
    <t xml:space="preserve">I have order a goatmilk soap but I don't know something
                  different is received to me Now I want to return my order but
                  there is no return option in the order history I also contact
                  with WhatsApp Ai but I doesn't get any valuable response So I
                  didn't like the service!!!</t>
  </si>
  <si>
    <t xml:space="preserve">good but why seperate delivery dates for 4 products try to
                  improve for small orders make it 2 days or 1 day</t>
  </si>
  <si>
    <t xml:space="preserve">Very useful app for daily needs and other useful needs.. and
                  yes fastest delivery provider ever..</t>
  </si>
  <si>
    <t xml:space="preserve">App is good but very slow and product availability is very
                  less!!!</t>
  </si>
  <si>
    <t xml:space="preserve">Very poor delivery I have ordered from this app 4 times and in
                  2 orders I have got wrong item</t>
  </si>
  <si>
    <t xml:space="preserve">it is a very good and friendly app and it's products are clean
                  with beautiful packaging ðŸ“¦ ðŸ‘Œ</t>
  </si>
  <si>
    <t xml:space="preserve">Worst appðŸ¤¬ðŸ¤¬I order some products on 30th November and there
                  showing arrived or 3rd December,, but today is 10 December,
                  order doesn't deliver yet !! I already contact at their
                  customer care number, usually it is recorded voice everytime
                  they sent their application link only and nothing else!!!
                  Edit... It almost 10 days , everyday they said that they will
                  deliver it within 24hrs .</t>
  </si>
  <si>
    <t xml:space="preserve">good but right now the maximum product does not deliver in
                  this pin code...i hope the problem will be solved soon</t>
  </si>
  <si>
    <t xml:space="preserve">Very quick and very accurate. I got mine in the package. Thank
                  you very much for that...!!</t>
  </si>
  <si>
    <t xml:space="preserve">Delivery boy can't check product. In last order two item are
                  missing.</t>
  </si>
  <si>
    <t xml:space="preserve">it's very nice product I like it I love it colour is beautiful
                  and material is also good I am so happy thank you jiomart.</t>
  </si>
  <si>
    <t xml:space="preserve">App is very slow and delivery is very pathetic. Almost 2 weeks
                  wait! No doubt that app like blinkit will dominate the market
                  if jiomart is providing such a stupid service.</t>
  </si>
  <si>
    <t xml:space="preserve">Don't buy products in jiomart.... My refund not credited...
                  Big amount.. don't install app..</t>
  </si>
  <si>
    <t xml:space="preserve">Superb Service. Wonderful Packaging. Super fast Delivery.
                  Amazing Experience</t>
  </si>
  <si>
    <t xml:space="preserve">it's a smooth process of buying the desired product at
                  reasonable prices..</t>
  </si>
  <si>
    <t xml:space="preserve">Thy luv to cancel order without informing customer.if thy
                  delivery than half of the items thy don't have.worst platform
                  to order items.Cant rely on them</t>
  </si>
  <si>
    <t xml:space="preserve">Currently its working very slow especially when I edit on cart
                  please update your app</t>
  </si>
  <si>
    <t xml:space="preserve">Very bad fraud app i bought smart 8 hd mobile but seller
                  kangaro mobile send me soap so don't install app also bad
                  experince with customer support they only said i received your
                  complain</t>
  </si>
  <si>
    <t xml:space="preserve">Missing 7 items from my last order while calling the customer
                  care for the same they just cut the call without helping</t>
  </si>
  <si>
    <t xml:space="preserve">Worst delivery service.Delivered with missing items and told
                  verbally but nothing showing in app or email is this a fraud?</t>
  </si>
  <si>
    <t xml:space="preserve">Pathetic app...I raised a ticket for a short delivered order,
                  I can't even read the issue resolution</t>
  </si>
  <si>
    <t xml:space="preserve">A applicaton that doesn't deliver your shipment even
                  complaining thousands times. Minus 5 rating -â˜…-â˜…-â˜…-â˜…-â˜…</t>
  </si>
  <si>
    <t xml:space="preserve">Since 31 October 24, I am unable to login to the Lock app.
                  This time I informed some officials and their customer care
                  executives. Till now the solution to this problem has not been
                  found. Due to this, I am unable to see the refund amount in my
                  wallet and am unable to adjust it. Either I should be given an
                  advice to login and get my refund or whatever money is in my
                  wallet should be credited to my account. Strict action should
                  be taken against Jiomart.</t>
  </si>
  <si>
    <t xml:space="preserve">easy fast delivery best service best app. clear mention all
                  the sections gret offers too</t>
  </si>
  <si>
    <t xml:space="preserve">Glitching, Very Slow, even unable to scroll, worst development</t>
  </si>
  <si>
    <t xml:space="preserve">few items were not available but the delivery was so quick..</t>
  </si>
  <si>
    <t xml:space="preserve">Very bad and poor customer service by Jio Mart. Have order on
                  29th Oct 2024 and orderc was estimated to deliver by 3rd Nov
                  and Jio Mart is auto rescheduled the deliver on daily basis
                  and yet to recieved my product for which have already
                  paid.very worst cursomter support as well As suggesteg,email
                  sent,called on support number raised request etc but not
                  concern to look on the matter Worst service,cheating people
                  money, fraud company @jiomart pls don't download and loose
                  your hard earned money</t>
  </si>
  <si>
    <t xml:space="preserve">app is showing if only used search in hindi only and app
                  interface also very bad experiencing</t>
  </si>
  <si>
    <t xml:space="preserve">Worrest app.there is no loyalty.products are missing otherwise
                  they are not delivered without delivery.</t>
  </si>
  <si>
    <t xml:space="preserve">App is good but lotss of things are not available to buy they
                  should give an option for users to suggest certain products so
                  they could consider it and make it available to buy. Update:
                  Very disappointing experience they give you discounts confirm
                  your order and later cancel it by themselves after a day!!
                  Utter time waste.</t>
  </si>
  <si>
    <t xml:space="preserve">App is crashing the moment you try to type in the search bar.</t>
  </si>
  <si>
    <t xml:space="preserve">This is very expensive app for order a things...I like this
                  app but I will see in facebook things in not allowed in your
                  store.....</t>
  </si>
  <si>
    <t xml:space="preserve">Jio wallet payment option not visible on the payments page.
                  Please fix this at earliest</t>
  </si>
  <si>
    <t xml:space="preserve">Worst delivery service,they reschedule delivery and then
                  cancle order ,they didn't 2 times in a row</t>
  </si>
  <si>
    <t xml:space="preserve">Very delay in delivery above 10 days completed but Don't know
                  whare is the order very poor and slow service</t>
  </si>
  <si>
    <t xml:space="preserve">Worst service I will never order from jio mart the delivery of
                  the product is delayed better to order from other e-commerce
                  stores, and irresponsible customer care executives they don't
                  have any information about orders teaching and delivery
                  update.</t>
  </si>
  <si>
    <t xml:space="preserve">Super fast delivery. Best price in the market.</t>
  </si>
  <si>
    <t xml:space="preserve">absolutely shambolic behaviour ordered and received less
                  quantity , but the complaint raised was resolved with no
                  intimation and zero resolution anyone who does order from here
                  please check your order at the door otherwise you will suffer
                  like me also zero telephone support all is just either chat
                  and mail them</t>
  </si>
  <si>
    <t xml:space="preserve">I ordered for 2 bottles ginger pickles and I was delivered 2
                  bottles lemon pickles. No amount of complaining yielded
                  results since none of the CC officers are bothered about my
                  complaint. I and my family will never be jio customers ever
                  again.very bad experience.i have uninstalled the app.</t>
  </si>
  <si>
    <t xml:space="preserve">They are doing fraud then send different order when you
                  requested for replacement they do not take any action</t>
  </si>
  <si>
    <t xml:space="preserve">Delivery is now charged once it was free delivery no minimum
                  purchase and taking too long to deliver</t>
  </si>
  <si>
    <t xml:space="preserve">Ridiculous Service only for competition they join all area and
                  then no service ... My order Is stuck from 6 day not
                  delivering I have wrote to the email but no one is taking its
                  seriously . Only to come in retail does not make you retailer
                  first learn retail business then do jio</t>
  </si>
  <si>
    <t xml:space="preserve">Online grocery delivery should be a ' same day' system,but
                  Jiomart takes more han 24 hours??? .. !!! No use.</t>
  </si>
  <si>
    <t xml:space="preserve">Page Loading is very slow and product wise sorting is not
                  proper</t>
  </si>
  <si>
    <t xml:space="preserve">Good apps. Receive goods at your location without hesitation.</t>
  </si>
  <si>
    <t xml:space="preserve">Worst coustomer support. I have ordered Mamra badam 1kg but I
                  have received 500 gm. I am complaining many times but there is
                  alway chat bot reply with same frustrating replies. Few months
                  ago I have ordered Oranges I have received rotten once. Jio
                  service is very pathetic and totally unreliable.</t>
  </si>
  <si>
    <t xml:space="preserve">One of the most fraudulent online ordering platform. The
                  prepaid order shows delivered without delivering. The Customer
                  Care Team is least bothered and gives a stereotypes response
                  of 24-72 hours waiting time for a resolution.</t>
  </si>
  <si>
    <t xml:space="preserve">Unable to login app, from last one year...no reply from
                  jiomart team after making many calls</t>
  </si>
  <si>
    <t xml:space="preserve">Worst app. Worst kind of service. Total headache. Very
                  disappointed.</t>
  </si>
  <si>
    <t xml:space="preserve">ossum service no minimum order no delivery charges fast
                  delivery... Great initiative</t>
  </si>
  <si>
    <t xml:space="preserve">Worst app ever, no proper response, always delay in delivery</t>
  </si>
  <si>
    <t xml:space="preserve">it's good for quick online shopping and delivery just take 4-5
                  days</t>
  </si>
  <si>
    <t xml:space="preserve">Order not delivered. No ETA updated. Worst app. Never use this
                  app.</t>
  </si>
  <si>
    <t xml:space="preserve">Good but, order item cancel karna bhohut hard hai, cancel ka
                  option nahi hai . Please add order cancel option.</t>
  </si>
  <si>
    <t xml:space="preserve">Worst customer support Delivers damaged products No response
                  also Waste app Worst app ever Don't use it Doesn't exchange
                  damaged products Very bad app Disappointing app</t>
  </si>
  <si>
    <t xml:space="preserve">Recently jio mart does not have the option for cash on
                  delivery in the payment option ,how should we non-online users
                  pay .</t>
  </si>
  <si>
    <t xml:space="preserve">If you search atta it displays bags. Very poor search
                  mechanism</t>
  </si>
  <si>
    <t xml:space="preserve">Very bad app , order delivered will very poor quality,
                  customer service are very lower, please ignor this app.</t>
  </si>
  <si>
    <t xml:space="preserve">Very poor customer service. Didn't refund neither deliver the
                  missing product</t>
  </si>
  <si>
    <t xml:space="preserve">Haramkho* aukat ke hisab se sabji aur grocery becho.Faltu mein
                  electronic market ko kharab mat karo.Highly suggest not to
                  purchase any electronic product above than 1500.They took 1
                  month to install a AC and more than 1 month to replace a
                  faulty item. Customer support is horrible ðŸ˜¡. Customer support
                  team is master at providing template answer, so never expect
                  any help either from toll free number or email support.</t>
  </si>
  <si>
    <t xml:space="preserve">There Should Be An Option Available To Login With eMail ID.
                  It's Quite Essential Now A Days.</t>
  </si>
  <si>
    <t xml:space="preserve">Recently for over 2 months normal Products not available to my
                  pin 700074 as before. Don't know what's the matter</t>
  </si>
  <si>
    <t xml:space="preserve">They've updated to Fastest delivery, impressive with good
                  discounts</t>
  </si>
  <si>
    <t xml:space="preserve">After shoppingon 3rd November 2024, money was debited and
                  product was not delivered . Constant follow up 10 calls and
                  more to their customer support has not yielded results.
                  Pathetic customer service and they do not help customers.
                  Sorry to know that Reliance is heading in this direction.</t>
  </si>
  <si>
    <t xml:space="preserve">Very poor service, order not delivered even after ordering 4
                  times.</t>
  </si>
  <si>
    <t xml:space="preserve">I don't know why but my order got cancelled back to back like
                  4...5, times it's too annoying</t>
  </si>
  <si>
    <t xml:space="preserve">The app itself works fine. The main problem is the delivery
                  system. Even after 2 days it shows that the order is UNDER
                  PROCESS. The order was supposed to be delivered on 9th July.
                  But it is not even shipped yet. Pathetic service. Also when I
                  called the customer service I had to wait 5 solid minutes just
                  for them to answer, I wish jiomart works on their delivery
                  system, what good is a shopping platform if it can not
                  delivered the products.</t>
  </si>
  <si>
    <t xml:space="preserve">They have delivery staffs, who cancelled the delivery with his
                  wish, as if he is the decision maker that who needs food, and
                  who dont. And then Jio Mart will say that you do whatever u
                  want, we will refund the money in 7 days. So if u are in a
                  month end or whatever problem, you better starve because we
                  will choose to deliver u your food or not and we will choose
                  if when we want to return ur money. Seriously, if i would have
                  time and option, I would have lodged a police complaint
                  against them.</t>
  </si>
  <si>
    <t xml:space="preserve">Jiomart use any wallet merchant name to fool customer with
                  offer. When contacted Customer care they say contact wallet
                  merchant and when contacted wallet merchabt they say it is
                  offer from Jiomart. Beware of such fooling play</t>
  </si>
  <si>
    <t xml:space="preserve">good price and deals loved the free delivery with no price
                  limit ðŸ˜ƒ</t>
  </si>
  <si>
    <t xml:space="preserve">Pathetic delivery experience. Swiggy instamart is a bit more
                  expensive but way better delivery. Jiomart does not deliver
                  half the products.. Never buying from them period.The real
                  problem with jiomart is that for undelivered products they
                  will not refund to original payment method, but to their
                  wallet. Imagine buying a smart phone which is not delivered
                  and then you don't get refund for the same but credited to
                  wallet. So think before buying costly products from jiomart as
                  refund is a big issue</t>
  </si>
  <si>
    <t xml:space="preserve">What a fake app! While trying to purchase a memory card today,
                  the product page mentioned that any of the two coupon codes
                  can be used for the product for 5% and 2% off during checkout.
                  But while checking out I tried to apply the coupons and they
                  didn't work at all! What a scam app, my God. Why would you
                  provide the coupons but not allow us to use it? Are you out of
                  your mind?</t>
  </si>
  <si>
    <t xml:space="preserve">You order a product, pay upfront. It will be close to being
                  delivered. If the price of the product goes up, they will
                  cancel delivery citing technical error and then tell you to
                  reorder at a higher price. This has happened multiple times
                  with me. Be very careful.</t>
  </si>
  <si>
    <t xml:space="preserve">No.1 fraudster. Initially they will be better than any other
                  online shopping apps but gradually they will show their true
                  colour. No.1 Fraudster. They will charge more in the name of
                  offers, will send a totally different item and then won't take
                  it back as the refund procedure is so programmed that the app
                  won't read the upi ID or the bank account. Their customer care
                  representatives behave as if they are doing some favour by
                  helping us. Totally disappointing. Jiomart you are a cheat.</t>
  </si>
  <si>
    <t xml:space="preserve">Worst app.I ordered some items from jio mart on 28 June .I
                  decided to give it a try as the offers provided by them were
                  better than other platforms on some items. It is the worst
                  mistake of my life. My order is never get delivered to me. No
                  call no msg . After some days it shows items are returned. I
                  don't no why. I will never purchase again from this app . It's
                  my first experience and the last one</t>
  </si>
  <si>
    <t xml:space="preserve">This is the worst experience I never had with any other
                  apps....the quality of vegetables is not upto the mark and
                  even not giving the correct weight. The delivery is also very
                  poor like bringing one product one time which is very
                  irritating meantime we will also forget what we ordered....</t>
  </si>
  <si>
    <t xml:space="preserve">Most horrible site for placing orders. They play a stupid
                  gimmick with the customers by accepting the order and then the
                  delivery partner never shows up to your door and cancels the
                  order without even informing the customer. This site has the
                  pathetic and the worst delivery service. Have horrible
                  logistics management team. This has happened to me repeatedly
                  and there was no strict action taken against this. So I have
                  decided not to shop from them going forward. It's a waste of
                  time.</t>
  </si>
  <si>
    <t xml:space="preserve">It's the worst app that I have used compared to other apps
                  like flipkart, once I have placed few items, one of the butter
                  had some black patches like a fungus, so I made a replacement
                  and took the pic for the verification to the cncd team and we
                  throwed the item to the dustbin, later on that day we got a
                  call asking us to return the item and I was saying like I have
                  throwed the item in the dustbin,which we can't take. But he
                  refused and asked us to return and it took nearly 3dys to
                  replce</t>
  </si>
  <si>
    <t xml:space="preserve">The worst app, it's better if you use other ecommerce/grocery
                  delivery platforms like blinkit or instamart. It has pathetic
                  customer support. They even delay and change the delivery
                  dates for hyperlocal delivery without intimidating. The
                  customer support is of no help whatsoever. They claim they
                  will refund but no refund. Worst service and customer support.
                  Never order from here, you will only regret. They mark your
                  complaint as resolved, without providing resolution. This as
                  happened twice.</t>
  </si>
  <si>
    <t xml:space="preserve">Very very bad experience in the last few months. Product
                  quality is going down. I ordered few items and they were
                  stinking badly. One good thing is that app is improving
                  everytime I open it. Returns are much easier when compared to
                  few months.</t>
  </si>
  <si>
    <t xml:space="preserve">just great ðŸ‘ no words can explain the experience. we
                  shouldn't see good we feel proud wearing this. ðŸ™ðŸ™ðŸ‘ðŸ¤Ž</t>
  </si>
  <si>
    <t xml:space="preserve">Worst interface ever ..never works properly..very bad</t>
  </si>
  <si>
    <t xml:space="preserve">This app is not working properly, my cart has 7 items but when
                  I try to place an order it shows "Your cart is empty" This is
                  happening from past 3 days and I am unable to order groceries.
                  Very disappointed ðŸ˜” please fix it. PS: I've already
                  uninstalled and then reinstalled it , it's updated too.</t>
  </si>
  <si>
    <t xml:space="preserve">Again they canceled my order without any notification. This is
                  worst shopping app. There is no provision to give minus rating
                  else I would have been the first to give the minus rating.
                  Without notifying they canceled my order three dqys after
                  placing my order. When I called customer care tgey said they
                  cant check order due to technical issue. It is pathetic
                  experience. This is not first time. It is second time in last
                  6 months.</t>
  </si>
  <si>
    <t xml:space="preserve">Hopeless and worst shopping app. Since installed it, ordered
                  only twice and both the time the received product was
                  paethetic quality and damaged product. Raised ticket twice for
                  a damaged product, both the times they closed the ticket
                  stating pictures aren't clear even though the pictures were
                  clear. After following up for the 3rd time, they say that the
                  product is not covered under returnable items. So, even if the
                  product is bad, paethetic and damaged we should use it.</t>
  </si>
  <si>
    <t xml:space="preserve">Very bad ..they delivered empty product.. i was not there at
                  my home town.. after 4days of delivery I opened the parcel it
                  was an empty one... I cal to customer care after 4days they
                  said within 2days of delivery we will take action.. they said
                  they won't accept the return..my money has gone .. i never
                  order from here</t>
  </si>
  <si>
    <t xml:space="preserve">Most worst app they have cancelled my order at last moment I
                  have only received one order but all other orders were
                  cancelled by there suppliers and I also want to know what is
                  the Kilometers limit in which Jiomart deliver order and if I
                  am out of there delivery limit than why your app is taking my
                  order</t>
  </si>
  <si>
    <t xml:space="preserve">Atleast one issue per order and not more than that, and
                  customer is so great that they do not find any images clear
                  when shared. And delivery guys say they only deliver even when
                  the bottle is broken or item is missing.</t>
  </si>
  <si>
    <t xml:space="preserve">Ordered for many times .paid in advance...after ten or fifteen
                  days message cm..cancelled delivery for no specific
                  reason..even like other apps it does not returned money
                  immediately...one even forgets to check if they returned the
                  money or not..this time again this happen.. ordered and paid
                  3400rs on 3rd sep..one by one recd msgs cancelled order and
                  money will be credited after seven days..how poor they
                  are...bakwas app..will dlt after receiving money......jao
                  shadee enjoy kro bas.</t>
  </si>
  <si>
    <t xml:space="preserve">Worst experience i ever had in online shopping. And jio mart
                  delivery system and users interface is worst than coustomer
                  care support is worst than ever on and on don't use jio mart
                  app for electronic items they are sending allready used items
                  thankyou.</t>
  </si>
  <si>
    <t xml:space="preserve">This app has the worst constumer care service.. there was a
                  missing item in my order.. I complained for that but still no
                  response.. they took my money and no refund is processed till
                  now.. don't know what sort of costumer care is set up.. they
                  don't want to listen to costumers.. This is so disgusting</t>
  </si>
  <si>
    <t xml:space="preserve">Unable to login account getting error "oops something went
                  wrong pls try again" no one is able to tell me reason or
                  helping me.. i have done all basic troubleshooting..it seems
                  you have blocked my account without giving any reason.</t>
  </si>
  <si>
    <t xml:space="preserve">It's fraud don't install the app after ordering they cancell
                  the items and doesnont refund the amount.After creating ticket
                  they show that refund hasbeen done but actually when you see
                  in the account there is no refund came It's totally fraud done
                  by the selling unit</t>
  </si>
  <si>
    <t xml:space="preserve">Very bad experience for the very first purchase I have
                  returned the item and still my refund is not yet credited and
                  while contacting customer care there is response worst app
                  ever, still meesho is the best app in front of these jio mart</t>
  </si>
  <si>
    <t xml:space="preserve">Not a customer fav app.. not able to apply coupon.. on the
                  products selected. Not a easy go app and approach. Even credit
                  card offers also not applying.. wasted time...</t>
  </si>
  <si>
    <t xml:space="preserve">Never trust on their services and do the the package before
                  paying the delivery agent. They send parcels with products
                  missing but still ask you to pay the entire amount. Photo
                  shown and the products delivered are completely differentðŸ‘ŽðŸ»</t>
  </si>
  <si>
    <t xml:space="preserve">I'm trying order something since last couple of day's but
                  while placing order I should get OTP window instead of that
                  it's automatically drag back to previous page (on order
                  review).. it's not give me OTP box to complete this order...</t>
  </si>
  <si>
    <t xml:space="preserve">Worst App dont order here...if you have more money to loose
                  then install and order in this app..I have been delivered with
                  damaged items and no support to return them and in the other
                  order items missing and no response from customer care...worst
                  app and worst customer care</t>
  </si>
  <si>
    <t xml:space="preserve">Grocery Cancellation Feature not aviable on app. We write
                  customer care also they said refuse the item on doorstep. I
                  refused but don't know how delivery agent marked item
                  delivered without asking delivery pin. I called agent and
                  asked how you marked item delivered without pin they said
                  "maine bola tha sir aap nhi logo delivery toh me return toh
                  nhi karoga aab maine rakh liya". I complaint customer care
                  also but no hearing. Money will stuck and no one solve the
                  issue.</t>
  </si>
  <si>
    <t xml:space="preserve">Had ordered LED TV from Jio Mart, LED arrived the next day but
                  even after 4 days of installation it has not happened yet.
                  Customer Center is the only answer 72 hrs. Installation issues
                  7-8 days have passed but the installation has not happened and
                  neither is the return happening.not open yet. Till now it has
                  not been opened, no one is telling me what to do. Should I get
                  it done myself or not?</t>
  </si>
  <si>
    <t xml:space="preserve">Check subtotal carefully before placing the order Displayed
                  amount is increased at cart, its very bad.... Never place
                  pre-paid order. I am still deprive of two refunds. Never order
                  fragil product, like biscuit, I have received totally broken
                  biscuits many times</t>
  </si>
  <si>
    <t xml:space="preserve">I'm extremely frustrated with my ordering experience, as every
                  order I place consistently gets cancelled, which is really
                  disappointing.</t>
  </si>
  <si>
    <t xml:space="preserve">I ordered office chair and 2 wheels from the chair were
                  missing I immediately raised issue and placed return for that
                  on same day on 10th sep it's 25th today still product is not
                  picked up and it is showing returned in my orders I called
                  them almost 3-4 times trying to follow up everytime there
                  answer is same provide us 2-3working days we will pick the
                  product it's been 15 days and still not picked up. I ordered
                  from jio mart for the 1st time and i have to say this has been
                  my worst experience</t>
  </si>
  <si>
    <t xml:space="preserve">my orders keep getting cancel, I ordered twice and it got
                  cancel from the delivery guy and today again I had a call
                  asking that if I know that my delivery guy has canceled my
                  ordered, worst app UPDATE: my order got canceled AGAIN!. I'm
                  deleting the app that's it. never using jiomart ever again</t>
  </si>
  <si>
    <t xml:space="preserve">Shame on Jio customer services and attitude, as Jio Operations
                  team cancelling many orders and blaming us 1) Supplying
                  products near expiry date 2) Poor Customer Services 3) lost
                  refunds for 2 occasions as customer services just responding
                  we are working on your issues. 4) on many occasion realised
                  they don't read your message properly. 5) can't beat quality
                  services from Bigbasket, Flipkart, Amazon 6) Any product with
                  special discount price they cancel order saying due to
                  technical reason.</t>
  </si>
  <si>
    <t xml:space="preserve">Worst experience. No any popular branded products are
                  available in app. No Ashirwad atta, no Amul ghee available.
                  Neither gulab, not ankur or good life brand groundnut oil is
                  not available in app. No surf Excel washing powder, no any
                  branded detergent cake like surf, tide, wheel, nirma etc...</t>
  </si>
  <si>
    <t xml:space="preserve">Executive here keep asking you if we are connected every 30
                  secs and don't let the other person type the problem and if
                  one is busy typing problem and you delay in saying yes we are
                  for a few secs they will close the chat. So a very very poor
                  help center.</t>
  </si>
  <si>
    <t xml:space="preserve">Very worst app and service. I placed an order for the first
                  time and after three days I got a notification that the order
                  was cancelled.. and that the cash will be refunded in a week.</t>
  </si>
  <si>
    <t xml:space="preserve">Price are high and concern issues with delivery. Most of the
                  items are some other local package company.. was personally
                  used to get grocery on store but pulse n grain quality is low</t>
  </si>
  <si>
    <t xml:space="preserve">Unable to make payment by cards where I am paying by cards
                  everywhere . The last order was canceled on what is called '
                  technical reasons ' arbitrarily without giving reasons or
                  apology. Why accept the order if you cannot deliver it in the
                  first place? There are others who will do it and did it too .</t>
  </si>
  <si>
    <t xml:space="preserve">In the latest update it just wont let you open your orders
                  only....very buggy app. Most primary functions of opening a
                  profile or my order itself is not working.</t>
  </si>
  <si>
    <t xml:space="preserve">This app very waste no use any product... all r damage don't
                  purchase any products... 6th sep I order some groceries still
                  not delivered ... asking to customer service saying wait
                  24hrs... how many days going on but my refund not received in
                  my bank account... I Send All Details to email .... but Not
                  responding anybody..... still pending my payment in app
                  only....no useful for customer service of jio mart waste all r
                  working there.... no responsible for customer....</t>
  </si>
  <si>
    <t xml:space="preserve">I'm extremely disappointed with recent services,I returned an
                  order,they picked it as well ,but it's been 2 days there is no
                  update about my refund.Customer service is pathetic,none of
                  the given contact number working.</t>
  </si>
  <si>
    <t xml:space="preserve">Please don't order by using Jio Mart application as I ordered
                  on 1st September 2024 for some grocery items and my order was
                  delivered next day. I received short delivery as one item was
                  missing. I reported and raised complaint. In reply to my
                  complaint I was assured that Rs. 99.00 will be refunded after
                  7 days but still no refund was credited to my account. Today I
                  again raised a complaint to refund for short delivery. I will
                  not order any grocery item in future.</t>
  </si>
  <si>
    <t xml:space="preserve">The delivery boy calls for confirmation code to deliver the
                  items at a very later time. If we don't provide the code, he
                  will close the order somehow. Very pathetic delivery
                  experience. Seems like Jiomart has lots of underperforming
                  delivery boys.</t>
  </si>
  <si>
    <t xml:space="preserve">Most worst app I have ever use .After placing my order and
                  paying, I am being called and told that they can't deliver to
                  my location, but at my location, Jio Ground is delivering to
                  everyone and my time is not available.</t>
  </si>
  <si>
    <t xml:space="preserve">It was a terrible experience. Customers have no value for
                  them. I would never recommend anyone to purchase groceries
                  from JioMart. Their so-called customer support is just for
                  show; they don't care about the customer's losses at all.</t>
  </si>
  <si>
    <t xml:space="preserve">Worst service. When you order some goods you are debited for
                  the full amount and while delivery two or three products are
                  missing and you are told that money for the missing products
                  would be refunded. I am waiting for my refund of Rs 299 dated
                  27/09/2023 and Rs 162 dt 17/07/2024. Every time you lodge a
                  complaint they promise you with apologies to refund within 7
                  days and never refunded. Every time they go on dodging. I have
                  lodged several complaints but they act at their own whims and
                  fancies.</t>
  </si>
  <si>
    <t xml:space="preserve">The worst shoping app ever they will just cancel your orders
                  at last minute you can rely on them for anything and if I ask
                  for a reason the will always say "some technical issues" every
                  time just hate this app I wish there was a negative stars
                  button here</t>
  </si>
  <si>
    <t xml:space="preserve">Terrible Delivery Service and Complete Lack of Punctuality I
                  have never been so disappointed with a delivery service as I
                  am with JioMart. The delivery is consistently late, with no
                  regard for the promised delivery times. Multiple times, I
                  haven't recieved my orders 6 days after the expected date,
                  without any communication or apology from the company parcel
                  is cancelled. Worst experience ever</t>
  </si>
  <si>
    <t xml:space="preserve">I have received an empty box. There is no egg inside in this
                  box. I am frustrated with your service.I HAVE ALSO CALLED
                  CUSTOMER CARE FOR JIOMART IMMEDIATELY FOR THAT RELATED
                  ISSUE.You can give my money back or give me my order as quick.
                  Zero star experience for me Customer care or helpdesk JIOMART
                  is not resolved that issue. I don't want order anymore. I am
                  uninstalled this frustrated app now.</t>
  </si>
  <si>
    <t xml:space="preserve">Worst application and services. Order cancelled by delivery
                  partner as they are using two wheeler only and doesn't have
                  capacity of big order delivery. Also noal answer avilable with
                  customer care team. Order Amount will be refunded by 9 days.</t>
  </si>
  <si>
    <t xml:space="preserve">Pathetic app.. placed order thrice for grocery item and every
                  time it gets cancelled from there end. When jiomart don't have
                  stock then why don't they disable those items in first place..
                  It's annoying</t>
  </si>
  <si>
    <t xml:space="preserve">Delivery man cancel the order by himself at the last moment,
                  genuinely I didn't like this coz firstly in your app you're
                  showing that delivery is available in a particular location
                  but in Last moment the delivery man cancelled order by himself
                  Very disappointed. ðŸ‘Ž</t>
  </si>
  <si>
    <t xml:space="preserve">A few days ago, I placed an order for Amul Butter through
                  JioMart. Amul is a trusted brand, and Iâ€™ve been using their
                  products for years. When my order arrived, the outer packaging
                  clearly showed that it was Amul Butter, which is exactly what
                  I expected. However, when I opened the packaging, I was
                  shocked to find that the butter inside was not Amul at allâ€”it
                  was from a completely different brand called "Delicious."</t>
  </si>
  <si>
    <t xml:space="preserve">I have ordered few items and got message "Cancelled by
                  Delivery Partner" ... This happened two times within 5 Days
                  ... Customer Support is very lame and too arrogant by closing
                  the chat or conversation that no response is received with in
                  15 seconds.. They can make us wait for 30 or seconds for their
                  response..</t>
  </si>
  <si>
    <t xml:space="preserve">I really very disappointed to your response... It was my 2nd
                  order which was pre-paid and the order cancelled by the
                  delivery boy still didn't receive my refund . Again i placed
                  order same prepaid method again it's cancelled by thy company
                  without any reason any not refund my moneyðŸ˜¡ðŸ˜¡ðŸ˜¡ðŸ˜¡ðŸ˜¡ðŸ˜¡</t>
  </si>
  <si>
    <t xml:space="preserve">Easy and quick to place order. Very reasonable pricing. I only
                  hope delivery is on date mentioned and not delayed.</t>
  </si>
  <si>
    <t xml:space="preserve">Very worst app. Need changes.. Lagging many times... Pls see
                  your competetors apps and do some changes. Products and
                  discounts are better than any other e com apps.</t>
  </si>
  <si>
    <t xml:space="preserve">Any issue with this app? Unable to login after entering OTP.
                  Again and again asking to login. Everytime failed after OTP.
                  Something went wrong msg comes.</t>
  </si>
  <si>
    <t xml:space="preserve">The service is terrible! Every time I place an order, it
                  either says delivered (which never actually arrives, for god's
                  sake), or it gets canceled or returned on its own.</t>
  </si>
  <si>
    <t xml:space="preserve">i have pathetic experience on this.. there delivery boys dont
                  deliver all items.. and if we ask his number they wont give
                  and we pay for item we have not recived.. i contacted customer
                  care and did all.. but delivery and customer care looks
                  compromised otherwise they should give atleast his number or
                  give me product</t>
  </si>
  <si>
    <t xml:space="preserve">Worst delivery person &amp; worst experience this SEP as I
                  have not received my order but status is showing delivered..
                  Did so many calls to delivery person &amp; he's not attending
                  my calls &amp; always my calls in second line.. jio Mart has
                  to improve so many things otherwise it's very difficult in
                  online market</t>
  </si>
  <si>
    <t xml:space="preserve">There delivery agents are very rude, they take the parcel from
                  the doorstep and mark then return as cx not available and
                  their support team is good for nothing they don't even try to
                  solve the problem of the customers. Don't purchase any thing.</t>
  </si>
  <si>
    <t xml:space="preserve">It glitches a lot... It's just refreshes itself like 10 to 15
                  times a minute.. I am unable to look for the items....</t>
  </si>
  <si>
    <t xml:space="preserve">very smooth process &amp; fast checkout. 1 star less because
                  every time they cancel one or more items. jio mart needs to
                  improve on that</t>
  </si>
  <si>
    <t xml:space="preserve">It was prompt delivery and items were fresh and good save the
                  bananas that apparently were the last ones of the bunch. They
                  were small and obviously don't deserve to be called Robusto.</t>
  </si>
  <si>
    <t xml:space="preserve">I am facing some sort of delivery issues...my order is getting
                  shipped and out for delivery message also arrives but the
                  delivery agent is not delivering my order..someone from
                  jiomart is calling and saying that delivery service is not
                  available at my place....but how come my orders get confirmed
                  and out for delivery message also come..I think the staff is
                  mishandling the store...very irresponsible behaviour....
                  delivery staff is very irresponsible very poor service...</t>
  </si>
  <si>
    <t xml:space="preserve">Very bad service, I have got nealy expiring product and ticket
                  has been raised regarding the concern. But they resolved
                  without giving any resolution. Am not able to view also what's
                  the content there</t>
  </si>
  <si>
    <t xml:space="preserve">Worst service worst product they sent expired milk today which
                  has become curd. They say it will be delivered on this date
                  but will deliver before no sense of responsibility. Their help
                  section is worse they don't help there customer or care about
                  if I had the option to upload photo and videos. I could have
                  sent proof here itself to waste money if you wanna order from
                  here.</t>
  </si>
  <si>
    <t xml:space="preserve">Worst experience with delivery. I paid money at the time of
                  delivery but after delivery i found some products are missing
                  from delivered packet as they don't allow to open packet in
                  front of delivery partner.</t>
  </si>
  <si>
    <t xml:space="preserve">Cart doe not open nd app is also slow...from 1-2 yr I m facing
                  this problem Much space for improvement 3/10/2024 Now from a
                  month I am trying to place a order and it says products are
                  not delivered on your location as simple as salt is not
                  delivered I don't understand this</t>
  </si>
  <si>
    <t xml:space="preserve">Ive ordered good life California pista from here, they
                  delivered the product right on time but they had removed the
                  expiry as well as manufacturing date so i dont hav a clue that
                  if its expiry or not, Ive paid the full amount and receiving
                  expiry product thats egregious, n when i contacted to the
                  customer service they just say that my query will b resolved
                  asap but its been 14 days, i haven't even opened the packet in
                  the hope they would exchange it but they dont respond,
                  pathetic service hereðŸ¤¦</t>
  </si>
  <si>
    <t xml:space="preserve">Pathetic service now a days. In last 2 months 8-9 deliveries
                  got cancelled inspite of showing stock available at pincode.
                  After compalining , no solution on reason of cancelling order.
                  Worst experince ever.</t>
  </si>
  <si>
    <t xml:space="preserve">Order are continuously cancelling. Everytime I order something
                  on app it get cancelled. Are you guys working in Delhi or not.
                  Please confirm if you are not interested in delivering the
                  orders I will uninstall this app</t>
  </si>
  <si>
    <t xml:space="preserve">Unhappy with the app. Most of the things I ordered once and
                  wanted to reorder were unavailable at my location. Why are a
                  lot of things only available once at my location and not
                  again?</t>
  </si>
  <si>
    <t xml:space="preserve">Very slow app. Browsing of products should be ultra fast.
                  Expectations with Jio are high. Currently its very slow
                  compare to Amazon and Flipkart app.</t>
  </si>
  <si>
    <t xml:space="preserve">Extremely worst service. I don't know why are they even taking
                  orders if can not be fulfilled. Multiple times I had to change
                  order and it never comes on time. They will call you late
                  night for address. This does not even qualify for single star.
                  Dont get cheated with Jio Mart. There are many others who
                  deliver in minutes. Shame on you Jio Mart team!!!</t>
  </si>
  <si>
    <t xml:space="preserve">What a ghatiya app is this...if u can't deliver product then
                  don't take order...and also refund my money or deliver the
                  product otherwise I will complaint about it on consumer court/
                  helpline no. This is my mistakes I have never seen the reviews
                  of other consumer, by seeing I reels and I installed and
                  placed the order.</t>
  </si>
  <si>
    <t xml:space="preserve">3rd class service, or I should say they don't believe in
                  giving SERVICE AT ALL.. no matter how many times u put an
                  order they just don't deliver it!!!!!!! So DAMN
                  FRUSTRATING...It's a POOR for me!</t>
  </si>
  <si>
    <t xml:space="preserve">Return and exchange customer care service is very poor and
                  irritating to much wait... deliver wrong item in non
                  returnable order ....why!?... After your reply I mailed you
                  and your mail support is also auto generated very poor
                  customer service....</t>
  </si>
  <si>
    <t xml:space="preserve">Here one can experience the exceptionally worst Service
                  quality of Jiomart. They found themselves unable to deliver
                  the order in time. They cancel the order without any prior
                  notice. The refund initiation service is poor too. The
                  customer care service of Jiomart has no interest to provide
                  you any postive solution. If you want to waste your time you
                  can contact to it's customer care.</t>
  </si>
  <si>
    <t xml:space="preserve">Very bad experience with this app the servers are always busy.
                  I was cancelling a order but it was not loading very
                  disappointed</t>
  </si>
  <si>
    <t xml:space="preserve">After spending one hour selecting and ordering groceries and
                  paying the amount, I got to know by the next day that my order
                  got cancelled due to unforeseen circumstances after I got the
                  MSG that delivery on the way. Worst experience</t>
  </si>
  <si>
    <t xml:space="preserve">Last 5 orders cancelled by system without any reason. We have
                  discussed in customer care and are told to place same order.
                  Payments are made during order placement. Not happy at all.</t>
  </si>
  <si>
    <t xml:space="preserve">The worst app ever It doesn't come on time And when we want to
                  cancel it It makes us wait for a while Please don't order from
                  here there are better options ! Jiomart please improve in your
                  services! This is not done ....highly disappointed</t>
  </si>
  <si>
    <t xml:space="preserve">App UI is basic. Search can be more smart and efficient. +1
                  for free delivery.</t>
  </si>
  <si>
    <t xml:space="preserve">Don't trust this application, they charge amount again and
                  again for order but later on tell you that order was not
                  completed when you can clearly see in order history. When you
                  call thier customer care they sale your details to stammers
                  they will attack with all their resources , customer care
                  response is senseless even their social media team is full of
                  stupids! Fraud company, Don't even try this.</t>
  </si>
  <si>
    <t xml:space="preserve">** JioMart App or website both doesn't mention Mfg dates and /
                  or Expiry details of Food /Grocery items. This is supposed to
                  be compulsory as per Govt Orders. ** App is toooooo slow.
                  Response is miserably slow. After pressing a button, it takes
                  lot of time to act.</t>
  </si>
  <si>
    <t xml:space="preserve">No option to add new address, whenever you click on add
                  address it takes to default address with two options 1. Use
                  current gps location 2. Search for your location Means I can
                  add address where I want goods to be delivered Pathetic and
                  disgusting ðŸ˜¡</t>
  </si>
  <si>
    <t xml:space="preserve">Worst app they have no return policy in 95% of the
                  products....also they keep on sending wrong products....and
                  the customer care didn't even respond....and in any product
                  there is no details about return policy in description... very
                  horrible experience.....ðŸ˜ </t>
  </si>
  <si>
    <t xml:space="preserve">The delivery service is getting worst daily. Order gets
                  shipped and cancelled by delivery agents and the customer
                  support team says tech issue. They are being rude on chats and
                  I do not have any mecha ism to rate the conversation. Highly
                  dissatisfied with the frequent experiences.</t>
  </si>
  <si>
    <t xml:space="preserve">It's a total disappointment! There are no option for any
                  commodity you search for. They don't even show most popularly
                  used brands like Nestle or something like that.</t>
  </si>
  <si>
    <t xml:space="preserve">Worst app, earlier it used to deliver products in my location.
                  But now it's something like hyperlocal delivery not available
                  in your location.</t>
  </si>
  <si>
    <t xml:space="preserve">Horrible app! Never use this app! There is no option for
                  cancellation. I have an order which is under process for
                  weeks! But I am still unable to cancel it. Horrible!</t>
  </si>
  <si>
    <t xml:space="preserve">First of please not install this app and don't use this
                  because 1st time i used this app . I was facing multiple types
                  problems. I not get a offered product and one item was missed
                  so i called to different types people like shopkeeper (madan,
                  asha), delivery boy, junior executive,senior executive and
                  floor supervisor(divyanshu dubey) and rise mail but no anyone
                  provide solution. But i try again so delivery boy gave me fund
                  . That is my bad experience. I feels they people were fraud
                  with me .</t>
  </si>
  <si>
    <t xml:space="preserve">selective systematic simple collections. My first order
                  experience, comfortable booking and cart selections, exciting
                  journey through your app.</t>
  </si>
  <si>
    <t xml:space="preserve">One of the worst customer service support they're big fraud.
                  Recommended not to buy with the fraudulent company. Review on
                  my recent experiences with multiple order, they're big
                  cheaters. Jiomart App is a big scam.</t>
  </si>
  <si>
    <t xml:space="preserve">I ordered 15-16 items and within 20-25 minutes my entire order
                  was cancelled. When I asked customer care why they did this,
                  they did not respond. Worst application I had ever used.</t>
  </si>
  <si>
    <t xml:space="preserve">THE BEST quick commerce service available with unbelievable
                  discounts, fresh n clean daily use products, super fast
                  delivery within hours, very polite staff. 10/10 for delivery
                  execution, it just needs to fix regular bugs on the app so to
                  make ordering more pleasurable.</t>
  </si>
  <si>
    <t xml:space="preserve">I am using this. App since 2020 and placed many orders till
                  .but Now unable to place the order. And getting hypothetical
                  items can't deliver to ubr location Even I am unable to
                  ordering simple product also</t>
  </si>
  <si>
    <t xml:space="preserve">Ordered oil but a damaged can was sent. I received three
                  fourth of the oil can. I opted for replacement it took a week
                  but it was replaced. Don't take so long to respond and
                  replace. Happy for the replacement</t>
  </si>
  <si>
    <t xml:space="preserve">never buy from this stupid app i bought a jio phone bharat
                  when i received it had scratches on the screen so initiated a
                  return they rejected telling to go to service center when i
                  gone service center told me they replace it after when i
                  inserted my sim the sim also not working stuck on emergency
                  calls</t>
  </si>
  <si>
    <t xml:space="preserve">Payment is not going through. It is giving message that the
                  server is not available this time. Your Bot is also not able
                  to reply as this FAQ is not mentioned on your list.</t>
  </si>
  <si>
    <t xml:space="preserve">Very bad service. It took almost 4 hours for delivery guy to
                  get here and all the butter had melted in the bag which
                  destroyed all the things I had ordered. Not recommended</t>
  </si>
  <si>
    <t xml:space="preserve">App is not proper work Becoz when I sign in there is OTP
                  send... And after I put OTP then there show a... (opps....
                  somthing gents wrong please try later)...and I try something
                  20-30 day and every time I face This type of problem</t>
  </si>
  <si>
    <t xml:space="preserve">Actually 0 star Very disappointing !! I ordered 1 item was
                  missing Getting refund is not easy Then i ordered again,and my
                  order is now delayed. I don't know what kind of services are
                  you providing.</t>
  </si>
  <si>
    <t xml:space="preserve">Grocery waiting time 2-3 days. Too slow. Instamart give you
                  delivery just in 15 minutes. 2-3 days for bread delivery. I
                  think it's not good for food life and freshness. Plz improve
                  your delivery time and try to deliver just in half an hour.</t>
  </si>
  <si>
    <t xml:space="preserve">Not able to cancel any order even when it is in ordered or
                  inprocess state. Customer care are not helpful. Also shows
                  very long delivery time</t>
  </si>
  <si>
    <t xml:space="preserve">Its continous second time my order got cancelled by the
                  delivery person when it was out for delivery. Worst
                  experience. Very much disappointed by the service of jiomart.</t>
  </si>
  <si>
    <t xml:space="preserve">Very poor experience with delivery. Don't rely and trust on
                  the expected delivery date mentioned in the app. If you get
                  your product on time then it's your luck otherwise sit back
                  and relax for atleast 10 days.</t>
  </si>
  <si>
    <t xml:space="preserve">Very bad experience. Placed multiple orders, but everytime
                  they cancel the order even for prepaid booking.</t>
  </si>
  <si>
    <t xml:space="preserve">Worst services ever, please dont but from them as they don't
                  know to return the product even if the product is damaged or
                  not working. Also they will not revert to any of the service
                  or call. #Ban crony capitalisim,</t>
  </si>
  <si>
    <t xml:space="preserve">Useless app.. they don't deliver product on delivery dates and
                  week after.....very disgusting and annoying.... messages keep
                  coming for out for delivery but no one comes to deliver the
                  product</t>
  </si>
  <si>
    <t xml:space="preserve">No issue to grocery orders, ordered 3 pack of clothes but
                  rec'd 1 Qty, to complain call but rec'd message to raise via
                  ivr but after raising complaint without investigating ticket
                  closed. Again raised and mailed complaint God knows it will be
                  resolved. Complaint procedure not user friendly. If any issues
                  we may to wait as compared to other platforms</t>
  </si>
  <si>
    <t xml:space="preserve">Prices may be lower than amazon groceries. BUT with one's
                  understanding that in case of any product poor
                  quality/packaging/damage issue you can forget
                  refund/replacement/ customer care. Stick to amazon prime for
                  that.Poor handling by delivery /warehouse executives too. Well
                  known case is that of bloated/putrid/near expiry nandini milk
                  uht pack(3rd time). Customer care call center executives are
                  also helpless with the usual sop for getting rid of the
                  inquiry.Just like Jio netwrk. Uninstalled app.</t>
  </si>
  <si>
    <t xml:space="preserve">Continuous payment failure and you cant even use card offer
                  for single time if transaction didnt go through second time it
                  detects repeated card. Too bad.</t>
  </si>
  <si>
    <t xml:space="preserve">I'm getting a call from Jio Mart delivery person in every week
                  for delivering the product. Where I'm not even place any
                  orders. Every time I have to tell them the same. I have
                  checked my Jiomart app there is no orders shown on my mobile
                  no. But still why I'm getting such bloody calls.</t>
  </si>
  <si>
    <t xml:space="preserve">Doesnt work properly, really worst Ui and LOGIN experience is
                  very worst . I have been loggin in from last 40 days ,
                  complaint jiomart team for 20 times on call &amp; 4 times mail
                  done of issues happening. Still they promise you for
                  resolutions and they irritate customer &amp; false claims for
                  resolving issue. Really Very DISGUSTING &amp; WORST APP IN
                  INDIA . Gov Should Ban app like this ...3rd Class app</t>
  </si>
  <si>
    <t xml:space="preserve">Worst customer service. I was unable to attend the call of
                  delivery agent and he waited for 10 mins and then cancelled my
                  order. I got my refund. This platform is strictly not
                  recommended if you don't want pain in your life.</t>
  </si>
  <si>
    <t xml:space="preserve">Worst shopping platform ever.I orderd a tv from here and it's
                  been 5 days and installation not done yet. I have complained
                  regarding this many time but nothing happened.I recommend no
                  to use it.</t>
  </si>
  <si>
    <t xml:space="preserve">You will never receive 100% ordered items. Every time
                  something is not available, and app showing 'in stock' status
                  the same time.</t>
  </si>
  <si>
    <t xml:space="preserve">Everything is good...except there is no indication that the
                  item is out of stock while purchasing..later after keeping
                  order it's showing in invoice</t>
  </si>
  <si>
    <t xml:space="preserve">JioMart's return policy is a nightmare. They rejected my
                  return request even with proof. They delivered wrong product
                  first they asked for sharing image and video of the product
                  after sharing ,as result they rejected my return request
                  saying that you opened your product as show in image that why
                  I can't return your product Avoid at all costs!" #JioMart
                  #badservice #customercarefail</t>
  </si>
  <si>
    <t xml:space="preserve">This is our second time we have facing the same issue again nd
                  again, we are ordering the grocery bt tht whole grocery is not
                  coming, and they are taking whole grocery's bill,</t>
  </si>
  <si>
    <t xml:space="preserve">Very pathetic service &amp; support team. I raised an issue
                  for non-delivery of order but there is no response from the
                  support team. Not expected this from a platform like jiomart</t>
  </si>
  <si>
    <t xml:space="preserve">Worst app Doesn't work properly Their delivery partners are
                  allowed to cancel the order whenever they want to And you keep
                  waiting I mean...if i have ordered something and I'm waiting
                  to receive that thing How can delivery boy can cancel my order
                  This is pathetic! Plz improve!</t>
  </si>
  <si>
    <t xml:space="preserve">good service and fast delivery ðŸšš. It would be better to
                  reduce the price of some items because the prices are cheaper
                  in the local grocery store nearby. thanks ðŸ˜Š</t>
  </si>
  <si>
    <t xml:space="preserve">This app is the worst..... Their delivery agent cancelled my
                  order without contacting me .... I'm getting refund not the
                  product and this is not the first time my order got
                  cancel..... This app is literally headache....</t>
  </si>
  <si>
    <t xml:space="preserve">Jiomart taking orders, taking money, but delivery partner GRAB
                  cancel orders. Not one time but four consecutive prepaid
                  orders cancelled by GRAB. Then refunding money after two days.
                  Rename Jiomart to Grabmart. Worst service.</t>
  </si>
  <si>
    <t xml:space="preserve">Worst app I have encountered so far as far as on line shopping
                  app.. I had ordered two times for rice but everytime they show
                  the date of delivery but not delivered. So don't rely on this
                  jio mart</t>
  </si>
  <si>
    <t xml:space="preserve">Not customer Friendly app. When I order grocery, always
                  receive incomplete order at Goa. Due to this reason I always
                  miss promotional offer. Your service is in very pathetic
                  condition in Goa location. Improve it.</t>
  </si>
  <si>
    <t xml:space="preserve">Extremely, poor service. It is shameful these jio is cheating
                  it's customers by first taking orders and then abruptly
                  cancelling them. It is a fraud business of earning interest
                  out of prepaid orders and then returning it back to customer</t>
  </si>
  <si>
    <t xml:space="preserve">Jiomart is the BIGGEST CHEATER. Never and neither delivered
                  all the items nor initiating refund for all the undelivered
                  items. Beware beware from this CHOR app. Order
                  ..............823A not delivered full items on 6.9.2024 but
                  till date CHEATERS not delivered. Their store, delivery
                  persons and customer care all have eaten my money</t>
  </si>
  <si>
    <t xml:space="preserve">Thanks to that annoying frequent notification about items in
                  cart. I've turned off notifications for this app.</t>
  </si>
  <si>
    <t xml:space="preserve">Very funny app. please do not buy anything. They do not
                  deliver any items in time. Refund policy is also bad takes one
                  week for refund</t>
  </si>
  <si>
    <t xml:space="preserve">Lowest quality of product guaranteed. All the products are of
                  inferior quality. The biscuits taste like sugar dipped. Please
                  never order anything from jio art or else buy anything from
                  reliance smart store. In order to get lucrative discounts u
                  are compromiseing ur health standards. Wrong products gets
                  delivered even no return option after 3 days simply pathetic.
                  This is the last time I have ordered no more I will order from
                  jiomart .</t>
  </si>
  <si>
    <t xml:space="preserve">After login getting error "oops something went wrong please
                  try after some time" From the past 3 day's facing same issue
                  Send email also did all things suggested still getting same
                  problem</t>
  </si>
  <si>
    <t xml:space="preserve">Very bad service from jio mart coustmer service is useless
                  withouting listening anything they only use to close that
                  waited for my order since 10 days on out for delivery date I
                  did not receive any call from delivery agent but showing I was
                  not available delivery unsuccessful will try to delivery order
                  again what is the use of ordering better we order from
                  flipkart plz everyone do not order from jio mart</t>
  </si>
  <si>
    <t xml:space="preserve">Unable to pay through cr card.. your internal loading in app
                  to accept OPT gives error. If I prefer external site to enter
                  OTP. It redirect to order page after payment instead of
                  successful page</t>
  </si>
  <si>
    <t xml:space="preserve">The amount was deducted even then the delivery boy have taken
                  the charges as it was showing cash on delivery so I have to
                  pay double. It's a fraud app Even after multiple complains no
                  use</t>
  </si>
  <si>
    <t xml:space="preserve">Bad experience none help me there are no cancelation option if
                  i contact customer care he tells me that plz contact from the
                  registered number otherwise we cant help why other platforms
                  like flipkart amazon they easily accpt my complaints if i call
                  other mobile nmber very very bad experience i cant cancel my
                  order then i call nearest jiomart for cancelation but where is
                  my refund plz refund my money dont buy from here .</t>
  </si>
  <si>
    <t xml:space="preserve">Very pathetic service Apple Ipad Air Paid approx 50k -Order
                  not getting delivered support saying out of stock after
                  deilvery date crossed . Website displaying in stock same
                  product for same pincode No bill/invoice received no option is
                  displayed in app or website both places Contacted customer
                  support also bad service Sent email now</t>
  </si>
  <si>
    <t xml:space="preserve">Thanks for prompt help, the missing items amount has been
                  refunded but the amount from my R-one membership balance has
                  still not been refunded. Kindly look into this matter</t>
  </si>
  <si>
    <t xml:space="preserve">very good service nd bhongir local people has lucky becz
                  without delivery charges they deliver the order nd way of
                  packing system is good nd I thing keep this continue local
                  free service delivery I recommend to everyone just installed
                  it nd order what u like u needed nd prices is also good</t>
  </si>
  <si>
    <t xml:space="preserve">Stock management very poor, most of the food items are out of
                  stock . Pin 401107. I don't know whether they have appointed
                  some one to check stock. Other than this everything is good.</t>
  </si>
  <si>
    <t xml:space="preserve">Worst app you take time to select products and order and then
                  it will accept your order also but after 1 day they will
                  definitely cancel your order by giving rubbish reason. Worst
                  services .</t>
  </si>
  <si>
    <t xml:space="preserve">Very bad experience. We ordered a shirt but 1 time they send
                  small size . Second time they cancelled our order poor
                  experience. Don't buy any thing from jiomart</t>
  </si>
  <si>
    <t xml:space="preserve">I am unable to sign in,I tried 10 times to sign up.i couldn't.
                  I am unable to log in after rebooting the phone.what to do
                  This is not the first time I fail to log in to jiomart</t>
  </si>
  <si>
    <t xml:space="preserve">Customer service is pathetic, discount are low compare to
                  other apps. App is very slow. Had not received my order after
                  seven days of followup with customer server team.</t>
  </si>
  <si>
    <t xml:space="preserve">Very bad service zepto has delivery in 10 minutes delivery but
                  you not give in 10 days. My delivery still not done. Delivery
                  team daily call but not deliver product, I have escalation to
                  the social media. Reviews</t>
  </si>
  <si>
    <t xml:space="preserve">Delivery man is worthy than costumer, they can return cancel
                  or insult the costumers whenever they want,,and they won't do
                  anything against them,, Worst service and worst delivery also
                  items.</t>
  </si>
  <si>
    <t xml:space="preserve">Jio mart does a commendable job in delivering the right items
                  very fast. I usually get my orders within a few hours and its
                  hassle-free. I love it ðŸ˜â¤ï¸</t>
  </si>
  <si>
    <t xml:space="preserve">Delivery always delayed. No proper response. Customer doesn't
                  have an option to choose the store. Need to improve</t>
  </si>
  <si>
    <t xml:space="preserve">It keep showing Products are not available even at nearest
                  location to reliance smart points.....basic products of daily
                  use are not available....not a good experience!</t>
  </si>
  <si>
    <t xml:space="preserve">Worst app . You can place order but they cancel your order at
                  the time of delivery . Its just a scam nothing else</t>
  </si>
  <si>
    <t xml:space="preserve">cheaper than other online platforms except few itms, easy to
                  shop. But worst part is that price fluctuates momentarily.
                  anyway I liked jiomart.</t>
  </si>
  <si>
    <t xml:space="preserve">Worst online Mart I ve ever come across, refund doesn't happen
                  for weeks..they keep giving dates again and again..worst
                  experience and very frustrating.. bekkar faltu !!</t>
  </si>
  <si>
    <t xml:space="preserve">Whenever you order from this app it's basically gambling you
                  either get the order or nothing. For some reason they don't
                  give the delivery agent number.</t>
  </si>
  <si>
    <t xml:space="preserve">best app to find affordable items ..!! mostly clothing</t>
  </si>
  <si>
    <t xml:space="preserve">Login issue Unable to use this app from couple of months.
                  Tried uninstalling &amp; reinstalling. Earlier it was working
                  smooth latest update did not help either. After OTP is
                  generated and picked automatically. Msg pops out that
                  something is wrong ðŸ˜ž Repeated attempts were all futile.
                  Kindly help!!</t>
  </si>
  <si>
    <t xml:space="preserve">Totally a fraud service.... beware My experience i ordered
                  groceries on 3rd August and 4th aug morning it shows delivered
                  but I don't receive any items....my biggest mistake was it
                  prepaid.....so be careful....it prepaid service is a
                  scam....so my recommendation guys not do any prepaid order And
                  their customers service also very bad attitude.... don't
                  polite...and so much arrogant....not helpful....they said wait
                  for 72hrs...for resolution...</t>
  </si>
  <si>
    <t xml:space="preserve">Don't know whats going on with the delivery team but they send
                  wrong products if they don't have the thing I want in stock
                  instead of just cancelling, if they do send the product, it's
                  damaged or missing (ordered a set of 2 pocha, 1 came and the
                  other was just a bunch of pieces of cloth). Their customer
                  services is garbage, I can't even complain because their
                  complaint feature is non-functional.</t>
  </si>
  <si>
    <t xml:space="preserve">Worst experience in jio mart shopping i ordered shoes size
                  issue and return place but delivery boy not taken i raised
                  complaint costumer care but no response I raised complaint
                  many times but no response Don't buy any item in this app I
                  raised return request but item not picking but I see status
                  problem was solved Many times I raised complaint but problem
                  not solved</t>
  </si>
  <si>
    <t xml:space="preserve">Worst experience I already canceled order but develivry
                  executive called to me conformed that my order is not canceled
                  and asked about otp but he didn't delivered the order but in
                  the app showed it's delivered ðŸ™ƒ what the heck it is</t>
  </si>
  <si>
    <t xml:space="preserve">It is waste app I have ordered on the jio mart product is
                  missing and also I didn't get the refund it has been almost
                  more than 20 days there were saying like I have to check and
                  refund is initiated but still i didn't receive the refund</t>
  </si>
  <si>
    <t xml:space="preserve">worst product as well service. plz dont download this app and
                  don't purcase any item bcoz totally time &amp; mony waste
                  products they have.Its my advice to close online selling if
                  you are not able to provide service and good products..</t>
  </si>
  <si>
    <t xml:space="preserve">Many of the top brands are unavailable and the delivery date
                  due is somewhat more than 10 days, for that we can make a
                  physical visit to the storeðŸ™„ even cancelling the products is
                  also bigger issue. When i went to cancel the app asked me to
                  cancel product by product. Real waste of time</t>
  </si>
  <si>
    <t xml:space="preserve">Last time, one of the ordered products was not delivered, and
                  I did not receive a refund or the product itself. This feels
                  like pure cheating on your end. Additionally, all the customer
                  service representatives I spoke with seemed to pass the
                  responsibility without having any authority over the call
                  logs, only making false commitments. I have never expected
                  this kind of poor service from the Jio team.</t>
  </si>
  <si>
    <t xml:space="preserve">3rd class service from Jiomart. They take order but do not
                  deliver. Ticket closed without any resolution or action.</t>
  </si>
  <si>
    <t xml:space="preserve">I want the product in emergency, but the my order has been
                  cancelled by delivery partners everytime, I even tried with
                  another account 4 time everytime it get cancelled, like
                  seriously, of you don't wanna sell that particular item then
                  don't show it in the list available... That sucks. !!!</t>
  </si>
  <si>
    <t xml:space="preserve">Don't use this platform it's very bad service and if u buy
                  your product not meet in our home and amt refund around 15 day
                  after very bad service</t>
  </si>
  <si>
    <t xml:space="preserve">Wrost app I ever see ..disgusting .totally time of loss by
                  spend time on this shoping app.. I can came here for some
                  order but I have tried many time to add cart not any thing add
                  to cart .</t>
  </si>
  <si>
    <t xml:space="preserve">Worst software for shopping. I have ordered 2 packs of
                  momypoko pants but got delivered only one but I have paid
                  money for 2 packs. I have applied for refund with each and
                  every proof correct. But I didn't got any of the refund..
                  Worst software for shopping. Comparatively Amazon n Flipkart
                  is best Never recommend this worst app for shopping</t>
  </si>
  <si>
    <t xml:space="preserve">One of the worst app which I have experienced. I had ordered
                  product after shipment during date of delivery they cancelled
                  the order and if they delivering the product they will deliver
                  all the items separately not on the time. One of the worst app
                  which I have ever experienced.</t>
  </si>
  <si>
    <t xml:space="preserve">This is worst delivery app. The delivery is too late and If
                  products are not available then why you guys put it in the
                  website. I prepaid the amount but you cancelled some products
                  because of unavailability . But, amount is not refunded.
                  Cancel order option is not available there and also when we
                  problem with website not any way to resolve the issue. Please
                  refund my money back ðŸ™ðŸ™</t>
  </si>
  <si>
    <t xml:space="preserve">Very unreliable services. On multiple instances got almost my
                  entire order cancelled and only handful items delivered. So
                  cannot trust delivery of items when required albeit urgent.
                  This is besides a buggy app and complicated interface which
                  requires too much effort to find specific stuff.</t>
  </si>
  <si>
    <t xml:space="preserve">This app is a scam app. First order they will give your order
                  in time and perfectly but later they will loot you by sending
                  half products or by giving less quantity then what you have
                  ordered. Also when your buy clothes, they send wrong product
                  and when you return them, you will not get you refund. I
                  called 5 times but still didn't get my refund after my product
                  was picked up. And now they have blocked my number. So kindly
                  don't buy any products from this app. A zero rating for this
                  app.</t>
  </si>
  <si>
    <t xml:space="preserve">I had a really disappointing experience with JioMart. I
                  ordered a 250g pack of makhana, and what I received was an
                  open packet with one side stapled shut. It was clear that the
                  product wasn't properly sealed or handled, which is
                  unacceptable for a food item. When I tried to initiate a
                  return, the process was frustratingly complicated and not
                  user-friendly at all. I reached out to customer care, hoping
                  for a quick resolution, but instead, I was kept waiting for a
                  long time, o</t>
  </si>
  <si>
    <t xml:space="preserve">The no.1 worst grocery app, if you think brought something you
                  can't find them like Maggie, kissan ketchup, or something
                  popular grocery items. usually whatever we need regular life
                  you can't find them and they prefer you to brought poor
                  quality supplementary product like you want to buy a Maggie
                  they prefer you snac tac noddles. the reality is they have
                  nothing, and I suggest every user don't install this app.</t>
  </si>
  <si>
    <t xml:space="preserve">One of the worst service by them. First I ordered couple of
                  items then it got shipped then after a while I receive
                  messages it says delivery partner has cancelled your order.
                  After waiting for 9 hours I received this. It's not even over
                  next day I ordered again and it did got delivered but one of
                  them item was expired and opend a ticket they ain't doing
                  anything and close my ticket without refund one of the
                  scammiest grocery application. Do not recommend it at all.</t>
  </si>
  <si>
    <t xml:space="preserve">Worst online shopping experience ever. I ordered products
                  worth Rs.650 most of which were missing. I received products
                  worth Rs. 200. I complained multiple times through the app,
                  call, and email and they keep telling me that the issue is
                  resolved without actually resolving it.</t>
  </si>
  <si>
    <t xml:space="preserve">Delivery is very quick. You get your items with 4-5 hrs and
                  without any delivery charges....and you also get discount on
                  the products... I really loved this!! One problem is that it
                  all types of product are non available but it is very good in
                  all other way</t>
  </si>
  <si>
    <t xml:space="preserve">Does not show any product that we search for. Earlier used to
                  show all options but now limited to very few supplies that are
                  least purchased, especially in Groceries section. Cannot even
                  use to purchase basic stuffs, so no use of downloading the
                  app.</t>
  </si>
  <si>
    <t xml:space="preserve">Pathetic customer care. You will never get your refund for
                  missing items. Better to get the groceries from zepto or big
                  basket so that you can get the refund amount for missing items
                  instantly. Or get Flipkart grocery where at the time of
                  delivery they verify each ordered item.</t>
  </si>
  <si>
    <t xml:space="preserve">It is a fraud app. Do not buy from here. They only provide
                  expired products.</t>
  </si>
  <si>
    <t xml:space="preserve">It was an worst app . When I order any item the delivery
                  agents cancelled my order without informing me . It was
                  continuously happened for a while and even customer care
                  persons also didn't solve this issue and they said ' we
                  apologise for this issue ' and we can't expect any solution
                  from customer care... Please don't install this app</t>
  </si>
  <si>
    <t xml:space="preserve">The app is not opening for me can't login The app was
                  restarting whenever I go to login I have sent a mail to their
                  customer support Without resolving my problem, they are
                  sending a mail as your problem resolved like that it was very
                  irritating Am having more than 300 rupees in my wallet Don't
                  know when will clear this problem</t>
  </si>
  <si>
    <t xml:space="preserve">Wrost grocery application I've ever seen this is very slow and
                  takes too much time for removing something from cart and
                  sometimes after cancellation of order it's showing refunded
                  sussesfully but I don't get any refund...please Jio Mart,
                  improve yourself, refund the money as soon as you take it.
                  I'll never gonna use this application again...very
                  disappointed</t>
  </si>
  <si>
    <t xml:space="preserve">Useless app. I am editing my review after the 2nd failed
                  attempt of purchasing online, and after seeing every smart
                  point is closed or nearly about to close .Ambani should close
                  down jio Smart Point and jio Mart. In asaam open about 200
                  stores. 1st 3 months is okay , then you will not get any
                  product. Because there is no supply, then most of the products
                  are expired or few days left to expiration, and they put in
                  the sale.</t>
  </si>
  <si>
    <t xml:space="preserve">Totally disappointed.. At first I had a great experience and I
                  rated them 5 stars but now I'm changing into one star. Now the
                  problem is I couldn't even login to the app it says oops
                  something went wrong please try again later tried multiple
                  times but same result. I have mailed them regarding this issue
                  still there is no response.. Didn't expected this from jio
                  mart..</t>
  </si>
  <si>
    <t xml:space="preserve">I am so disappointed with jiomart these days. Earlier they
                  always deliver orders within the limit time but nowadays they
                  take longer days and some got cancelled for no reasons. Also
                  so many products they have in the app are showing either not
                  deliverable or out of stock for your pin or not available..
                  why??!! I saw that exact product in my nearest reliance store,
                  so why??! Also if some products are not available they why do
                  you show them in my app.. shouldn't you remove them??! Do
                  something....</t>
  </si>
  <si>
    <t xml:space="preserve">They sell almost everything but worst part it first they won't
                  show that the item is out of stock, one you order something
                  and already paid the amount, they will initiate the refund for
                  the items which are out of stock and that repayment will
                  receive after a week. They should show in advance that the
                  item is out of stock.</t>
  </si>
  <si>
    <t xml:space="preserve">I ordered 2 items. On the delivery date, the delivery person
                  canceled my order without my consent. I called him 2 times,
                  but he didn't answer or call me back. I booked a complaint
                  against him. But no action has been taken. Why do you accept
                  an order if you can't deliver?? also, the refund took a long
                  time to receive. Very bad service.</t>
  </si>
  <si>
    <t xml:space="preserve">Price wise jiomart is better option after installing jiomart
                  my grocery expenses also reduced because i don't buy more
                  items at a time like before coming to app this was super slow
                  plz fix that because of technical error I reduced one star
                  Some times i visit smart point that store also very
                  unorganised and unsupportive staff they didn't label single
                  product about the price it's better to fix these</t>
  </si>
  <si>
    <t xml:space="preserve">UI is so irritating. Also when I scroll down get auto refresh.
                  Specially in fashion category. ðŸ˜¡ðŸ˜¡ðŸ˜¤ðŸ˜¤</t>
  </si>
  <si>
    <t xml:space="preserve">Horrible app, It's a scam, they give you less quantity and
                  then tell you they will deliver it on a certain date but they
                  don't then when you raise a complaint they say it's too late</t>
  </si>
  <si>
    <t xml:space="preserve">They don't delivery by promised 30min it's been a day now very
                  bad customer service too never gonna use it again</t>
  </si>
  <si>
    <t xml:space="preserve">Worst service. Can't depend on your delivery promises. Again
                  and again fails to deliver order. Very very lazy people. I
                  placed three orders in last two months, everytime there is an
                  issue. This time its returned without any reason (all prepaid
                  orders)ðŸ¤”ðŸ¤” Please give proper reason, why order was not
                  delivered?</t>
  </si>
  <si>
    <t xml:space="preserve">fast delivery and delivery boy is very good than before
                  delivery boy ðŸ˜‰</t>
  </si>
  <si>
    <t xml:space="preserve">It is worst app as well as worst service by JioMart. Initially
                  it was okay but now a days JioMart also became a fraud
                  company. I have a hard experience using this platform. Many
                  orders I have received which has missing and damaged items but
                  there is no settlement from JioMart side. Moreover they used
                  to delete the queries after you placed. So, please be careful
                  while ordering from JioMart. I will suggest to go with Amazon
                  instead of JioMart. Many emails have been drafted and sent for
                  the same.</t>
  </si>
  <si>
    <t xml:space="preserve">Poor service by delivery executives Always product is missing
                  but included in Invoice Poor after sale service Worst app</t>
  </si>
  <si>
    <t xml:space="preserve">The deliveries are not on time. Quite hefty amounts of prepaid
                  orders are missing, this is clear theft in broad daylight. Not
                  to mention, some items may be medically required by the
                  customer. Mistakes can be made, however even after repeated
                  queries about missing items, no step has been taken. Is it
                  deliberately ignoring?</t>
  </si>
  <si>
    <t xml:space="preserve">Very good application for groceries shopping with free
                  delivery on first orders and cod is also available but UI can
                  be enhanced and Delivery time can be reduced.</t>
  </si>
  <si>
    <t xml:space="preserve">A big scam, and I would never recommend buying from them. I
                  ordered two items but received only one, even though I was
                  charged for both. The delivery person claimed both items were
                  inside and left. When I contacted customer support, I received
                  no response. Over the past ten days, I've reached out to their
                  appellate officer and nodal officer with no reply. It's been
                  nearly a month, and I still haven't received the product or a
                  refund. This is how they scam us out of our hard-earned money.</t>
  </si>
  <si>
    <t xml:space="preserve">Ordered one item..after 3 days they cancelled the order how
                  pathetic service</t>
  </si>
  <si>
    <t xml:space="preserve">Edit : I won't write email I raised complaints so many times,
                  I want my issue to be resolved. If you are expecting worst
                  service then go for jiomart. I ordered something and I
                  requested for return pickup one month ago, still the package
                  is with me. Horrible service and no customer support. My
                  suggestion is don't use this app.</t>
  </si>
  <si>
    <t xml:space="preserve">Very pathetic service in Kolkata region. They are not
                  delivering anything. Orders getting cancelled and returned
                  without anything. It looks like they don't want to do business
                  here.</t>
  </si>
  <si>
    <t xml:space="preserve">Thank you very much for the quick delivery Jio Mart is amazing
                  I want more discount</t>
  </si>
  <si>
    <t xml:space="preserve">First 2 orders were a headache. but I am satisfied with the
                  third one. in first one I got wrong item. in second the
                  courior boy delivered wrong shipment.</t>
  </si>
  <si>
    <t xml:space="preserve">Dear JioMart Team, Your app promises 30-minute hyperlocal
                  delivery, but my last two orders arrived after 2 hours. This
                  caused major inconvenience, like when I urgently needed milk
                  for tea for guests. If 30 minutes isn't realistic, please
                  update it to an accurate timeline. False promises hurt trust.
                  Improve with live tracking, better ETAs, and communication
                  with delivery agents. Fix these issues soon to retain
                  customers. Transparency matters more than unfulfilled
                  promises.</t>
  </si>
  <si>
    <t xml:space="preserve">Don't understand what the developers are doing. If you have
                  introduced a new feature I.e. Milkbasket then try to keep the
                  user logged in in the same session. Tried to go to Milkbasket
                  and it logged me out of Jiomart but was showing address at the
                  top. These kind of features should be thoroughly tested and
                  released. Also, why can't I select an address in Milkbasket.
                  Such developers should be thrown out.</t>
  </si>
  <si>
    <t xml:space="preserve">App gets frozen while searching for items. search results can
                  be improved.</t>
  </si>
  <si>
    <t xml:space="preserve">very good services vell packed and delivery man also very nice
                  vell mannered</t>
  </si>
  <si>
    <t xml:space="preserve">When viewing an already placed order, clicking on the back
                  button takes me to the homepage instead of Orders page.</t>
  </si>
  <si>
    <t xml:space="preserve">This is the worst app with worst customer service. People
                  should order from Amazon instead of jiomart it way better</t>
  </si>
  <si>
    <t xml:space="preserve">Jio mart cheats people,they deliver incomplete and wrong
                  product and customer care do not bother to listen to your
                  concern.They even disconnect line on your face.Uninstall the
                  Jiomart app and don't trust them .Your hard money goes to
                  waste and your time too.</t>
  </si>
  <si>
    <t xml:space="preserve">They have the third class service in the world. Their delivery
                  agents and customer service agent are all liers. I was waiting
                  for my order for whole day the delivery agent called me and
                  said the item will be late. And rejected the delivery byself
                  and when I called the customer service the agent assured me
                  that I will receive my item by end of the. I did not receive
                  anything and the tracking page was showing delivery was
                  rejected. I didn't got my item and nor the refund.
                  #stop_buying_from_jiomart</t>
  </si>
  <si>
    <t xml:space="preserve">I booked order on 03/11/2024 delivery date mentioned
                  12/11/2024 but today 16/11/2024 no updates in the app no
                  tracking details too in app worst atleat a local ecom app this
                  feature of tracking shipment</t>
  </si>
  <si>
    <t xml:space="preserve">2nd time wrong product delivered from jio mart...you have to
                  just check the order then deliver to your customer...truly bad
                  customer service....I will never give any order from this
                  site.</t>
  </si>
  <si>
    <t xml:space="preserve">Worst ever Online shopping site, they never deliver anything,
                  I ordered something and after few days everyday I used to get
                  a text that my delivery dates is changed, same thing after few
                  days also, and finally got a message that your return request
                  is accepted. I can't understand the scenio.</t>
  </si>
  <si>
    <t xml:space="preserve">Spam. This business is closed. But still they are Google Pay,
                  why?</t>
  </si>
  <si>
    <t xml:space="preserve">Worst experience in terms of quick commerce. Most of the time
                  1-2 items are missing and no proper customer support for the
                  concern and even after raising ticket there no way to know
                  about the status of the ticket and then the complaint window
                  gets closed.</t>
  </si>
  <si>
    <t xml:space="preserve">Worst experience.its useless contacting customer service. You
                  have problem with everything. You guys cancel order from ur
                  end after 3 days and say technical glitch, don't deliver all
                  the things, don't process refund timely manner for the items
                  which you are not delivering and many more. I experienced
                  problem with all my 5 orders. Now enough is enough.</t>
  </si>
  <si>
    <t xml:space="preserve">Orders getting cancelled automatically all the three times i
                  tried Guys please don't order anything from jiomart. Your
                  prepaid money will stuck. There is no instant refund Jiomart
                  fraud app !!!</t>
  </si>
  <si>
    <t xml:space="preserve">Highly disappointed with the application interface. Looks like
                  the developer didn't care about the app at all. I have never
                  seen a more sluggish app than this. There is no option to
                  track your order and when you try to chat with one of the
                  customer representative, it says try to contact with us in the
                  morning next day. What the actual heck it is? Even the most
                  basic functions of this app is not working. Just ordered a
                  product a few days back and now I am regretting my decision.</t>
  </si>
  <si>
    <t xml:space="preserve">Very pathetic service. Order gets automatically cancelled or
                  returned. If we place order of 10 items , we get only 5
                  products that too are very rare chances. Complained many times
                  but the service is not getting better. I would recommend
                  everyone who is thinking of using this app, please go for
                  other apps , your precious time may be saved.</t>
  </si>
  <si>
    <t xml:space="preserve">It is one of worst shoping app. I have ordered on this app on
                  15 th of August delivery of my items got repeatedly delayed
                  and finally it got delivered on 21 of August. Less then half
                  of items was delivered. Bill was not given to me. When asked
                  about it delivery person told that it is inside the package.
                  There was no receipt. I tried to call customer care services
                  many times but didn't get any response after a waiting period
                  of 30 mins. In App also there is no provision for lodging your
                  complain</t>
  </si>
  <si>
    <t xml:space="preserve">These has happened twice where the product was showing on the
                  app and I placed the order and when it was supposed to be
                  delivered is when they refunded me and it now shows as the
                  product is not available. If the products weren't available
                  then it shouldn't have given me the option to add to cart in
                  the first place. Given up on this app.</t>
  </si>
  <si>
    <t xml:space="preserve">Pathetic app. The worst of all grocery delivery apps. You
                  can't cancel an order once placed, the interface is convoluted
                  and you are helpless if any delivery is delayed or incorrect
                  item received or poor product quality. The process of
                  registering a complaint is too complicated and the customer
                  care number never connects you to any service executive.</t>
  </si>
  <si>
    <t xml:space="preserve">In address, it gets stuck to Tower no..it is not necessary to
                  have tower no..let it be Tower/ plot no ...if a person leaves
                  blank ..either is not applicable..why get stuck Payment
                  channel..once filled and saved for future transactions, does
                  not respond in one go...wants same details again.... Besides
                  that things look fine..but real thing would be known on
                  experience.</t>
  </si>
  <si>
    <t xml:space="preserve">Very bad experience, they will show you all product on app and
                  based on the option available you place an order. But at the
                  time of delivery they will just hand over the parcel to you
                  and when you check you will find that half of the articles are
                  missing. They just uses your money for 10 days and are getting
                  benefitted from them</t>
  </si>
  <si>
    <t xml:space="preserve">I have tried to book my order many times, sometimes it
                  successfully placed. However didn't received the order even
                  after many days, website shows delivered. If you don't want to
                  deliver then why say it directly. Beside that this application
                  officers no live tracking of order, contact number of
                  customers care because they don't care for customers. They
                  will send link for everything but nobody receive link of
                  anything except website. Worst shopping experience. Worst , no
                  use.</t>
  </si>
  <si>
    <t xml:space="preserve">Pathetic app, working on beta version since it's launch, no
                  proper app full of bugs. You can not search anything, if you
                  go back your page will be blank. If you scroll down fast page
                  will blank. So annoying to operate. My suggestion is just go
                  and check some other grocery apps how they are working and
                  develop according. I'm using 4-5 grocery apps but jiomart is
                  on next level.</t>
  </si>
  <si>
    <t xml:space="preserve">Delivery definitely gonna be delayed. My order got delayed by
                  8 days. And guess what it didn't get delivered and status is
                  showing as 'returned' even though I didn't request for a
                  return. The worst thing about this app. Is they just change
                  the delivery date according to their convenience without any
                  notice to us. The worst application I have EVER used and cheee
                  such a disgusting app. Please don't install this application.
                  Shameless jio mart</t>
  </si>
  <si>
    <t xml:space="preserve">1. 90% time minimum one item they don't deliver although the
                  don't tack or refund that item's price. It's very disgusting
                  they don't notified that , when you get your order you notice
                  one or two item they didn't delivered. 2.And some time the
                  order shows delay and delay and then refunded and they didn't
                  give minimum a sms mail or any response about or what the
                  problem. I don't understand what kind of service is this I
                  ordered because I want that item not for the refund.</t>
  </si>
  <si>
    <t xml:space="preserve">super saving account and so fastest delivery.time and money ðŸ’°
                  save shopping in jio mart.</t>
  </si>
  <si>
    <t xml:space="preserve">The delivery experience is worst of this app. Last month I
                  ordered some items applying a coupon code &amp; they cancelled
                  the order after 3-4 days and after that the code was also not
                  working to order again as it was only for one time. 2ndly if
                  they didn't cancel then the delivery time is too much, takes
                  around a week or half, should be just 1 day delivery for
                  groceries atleast. 3rd, the app experience it too laggy &amp;
                  need to be optimised a lot. 4th, SODEXO doesn't work on a lot
                  of EDIBLE items too</t>
  </si>
  <si>
    <t xml:space="preserve">If i have to write to only this email, then what is the point
                  in having in app customer service and toll free number.
                  Uninstalling the app now. ---------------- An organisation
                  without any customer support. No way to return items once it
                  is delivered by them even though the oil you ordered is seal
                  opened and feels like mixed. If you order bread you will get a
                  block of it because they put everything in one and deliver and
                  onbiously these items cannot withstand weight.</t>
  </si>
  <si>
    <t xml:space="preserve">Wrong Pincode taken by application automatically. So delivery
                  executive is able to deliver the item to me. Email and tele
                  caller teams are useless. Also my items haven't received yet.
                  Replies in email are like, 'if you're order is in under
                  process, you cannot cancel.' and in the next line they says
                  like please cancel your order for refund. I clearly mentioned
                  that my order is under process. Useless online shopping
                  platform</t>
  </si>
  <si>
    <t xml:space="preserve">App is very scratchy and does not have clean interface. Also
                  the items not available is not known and we come to know of it
                  only once we receive the delivery. Deliveries are also very
                  slow and also not sure when delivery would be done as delivery
                  dates keep on extending by a day every time we check for
                  delivery date. No way to get in touch with customer care as
                  call are kept on waiting for eternity. Lot needs to be done
                  for improvement</t>
  </si>
  <si>
    <t xml:space="preserve">Worst app! Everytime one item is missing from the order for
                  which they don't even give the refund. Inspite of calling them
                  20 times and emailing to their customer service they don't
                  refund the money for non delivered item. And on calling
                  customer care team, executives put the call on hold without
                  even speaking to us and don't even come back on the call even
                  after waiting for 10min. So we have to call them again and
                  explain everything from the scratch.</t>
  </si>
  <si>
    <t xml:space="preserve">The first experience was bad, the delivery timing, tracking
                  and actual delivery were not in synch, despite of that I
                  ordered a second time and this time the delivery was in time
                  but I received wrong items, some of the items I ordered were
                  replaced by other similar items, I do not want to consume.
                  when I tried calling the customer care, the ivr wasn't
                  responsive so I couldn't get the call connected. So
                  unprofessional, not sure what to do now.</t>
  </si>
  <si>
    <t xml:space="preserve">Worst ever app ! It lags to the point you will lose your mind
                  and uninstall it. Downloaded it today and I'm unable to search
                  for any particular products, the app doesn't even load
                  anything. If I click on fresh vegetables, it shows packaged
                  food and everything except fresh veggies. It's a blunder
                  deciding to download the app!!!</t>
  </si>
  <si>
    <t xml:space="preserve">Always been a awful experience shopping with them. After
                  waiting for 3 to 4 days for delivery the whole list of items
                  doesn't get delivered also only if u make a complaint they
                  will sent the refund to the wallet which doesn't help u any
                  way. What kind of service they are rendering. Also most of the
                  time the product which they deliver are rotten or spoiled.</t>
  </si>
  <si>
    <t xml:space="preserve">Poor app and poor delivery service. Customer feedback is taken
                  very lightly. App doesn't have a way to report missing items
                  in the order. After delivery, if you find something missing in
                  the order, you are going to lose its money. Other competitors
                  like Bigbasket, Milk basket , groffers have much better
                  delivery system and way to take customer feedback for an
                  order. Please avoid this app.</t>
  </si>
  <si>
    <t xml:space="preserve">Bad experience with the app. Out of the 3 times, I placed the
                  order, only once was my order delivered. The remaining times,
                  it got cancelled without telling any reasons. When checked
                  with the customer care, they said technical issues. Cant trust
                  this app yet. Uninstalling it now</t>
  </si>
  <si>
    <t xml:space="preserve">I parched 7 items but most of them(corn flake 1.2kg, pasta and
                  pizza sauce, mayonnaise) have only 2 to 3 months validity.
                  Most disgusting thing is I ordered mushroom and validity
                  period of that item was delevery date also that item was not
                  even packed properly. And those items are not even returnable.
                  I'll give you (-) rating if I can. Worst app. wasting of time
                  and money.</t>
  </si>
  <si>
    <t xml:space="preserve">the app is too slow... most of the time it doesn't open at
                  all. my suggestion is why to include other things apart from
                  daily necessary items in this app... there are other
                  designated apps for those things. for example Ajio app is
                  there for clothes and shoes. these unnecessary things are
                  making the app extremely slow and it's frustrating.</t>
  </si>
  <si>
    <t xml:space="preserve">Upgrading to 3 stars from previous 1 star. App significantly
                  improved from the first time i used it. They have taken the
                  feedback but UI still very ordinary n looks very old. Please
                  give a favourite button on the item so you dont have to click
                  on the item and also provide wishlist near the cart so you
                  dont have to navigate &gt;account&gt;wishlist which is a
                  hassle n not user friendly. Cart page take lot of time to load
                  (it is too slow for this age) please make it fast. Upgrading
                  it to 1 star again</t>
  </si>
  <si>
    <t xml:space="preserve">Worst experience. They have updated the order status as
                  delivered and didn't deliver the items. I got a partial refund
                  of money and I've been chasing them from 2 months for my
                  refund. This is the worst experience I've ever faced with any
                  e-commerce company. I recommend everyone who sees this
                  comment, to not use jiomart</t>
  </si>
  <si>
    <t xml:space="preserve">A sorry excuse for a shopping app. Most of it does not work.
                  UI is horrible and laggy. Once you manage to get past that and
                  place an order, it is a gamble as to whether that order will
                  be processed at all. And if it gets processed, there is a very
                  good chance that the order will get cancelled on its own or
                  the delivery will be prolonged indefinitely. Don't bother with
                  this one and go out and buy your own stuff.</t>
  </si>
  <si>
    <t xml:space="preserve">What's the worse one can image a shopping app to be? Jiomart
                  has one of the most enticing offers, but when to try to buy
                  items on it and fulfill the offer requirements, even the main
                  items that I require from my order is said to be out of stock
                  after 2 days and refund for those products are initiated. When
                  visit the product page again, it displays in stock. On an
                  average 40% of my orders were either partially or fully
                  cancelled. They are very lazy at maintaining their inventory
                  online.</t>
  </si>
  <si>
    <t xml:space="preserve">App is very irritating and weird. Whenever you tap on any item
                  and go back, the list will start from top again! And all
                  filters you have to select again and start all over again from
                  the top! I wanted to buy many things but can't scroll and
                  can't select same filters again and again!! You people can put
                  a wishlist symbol on pictures only so that while scrolling we
                  can add to wishlist and don't have to open item. I think half
                  of your customers you are loosing because of this irritating
                  feature.</t>
  </si>
  <si>
    <t xml:space="preserve">soft,good looking, protects from cold, price is fair</t>
  </si>
  <si>
    <t xml:space="preserve">This app doesn't deserve even a single star. I saved items in
                  cart and intended to add more items later but after closing
                  the app for a while when I again tried to start shopping, I
                  found that my previously saved items were gone. After
                  accepting my order in the second attempt these ppl let me wait
                  for almost a week and then suddenly cancelled my order.
                  Exceptionally bad service. I don't recommend this app at all.
                  I didn't even get my refund from Jiomart.</t>
  </si>
  <si>
    <t xml:space="preserve">I don't know why they have given coupons if you can't apply
                  them. So the first order I was going to place was of 900
                  rupees and it showed a coupon to get 20% discount if order
                  above 800 still I don't know what the coupon can't be applied.
                  Not only this none of the coupons can be applied. Even I can
                  make a good app than this.. Still one thing i like is it has
                  good deals ..and less prices than other marketplace</t>
  </si>
  <si>
    <t xml:space="preserve">There is a lot of technical glitches in app. The server is
                  slow in such a way that even with high speed network the
                  loading speed is too low. Update: Now, i changed the star to
                  one because of very poor service. Intially, while ordering
                  they give a wrong product and then when i claim for
                  replacement. They just reply that replacement given but they
                  didnot give any replacement or any refund. Never buy costly
                  thing from online in jiomart.I lost 700 bucks because of
                  this.If u want to buy go to store</t>
  </si>
  <si>
    <t xml:space="preserve">Worst app and service out of all the existing retail apps. 1.I
                  received half of the order in time and other half after one
                  month approx. 2.Twice they deducted money and my order was
                  placed successfully. On the date of delivery my order was
                  cancelled from Jio Mart. 3. App is too slow. Back button works
                  inconsistently. If you can't cater to the order of customers,
                  please remove app from store rather than wasting their time.
                  Thanks.</t>
  </si>
  <si>
    <t xml:space="preserve">It's hard to get your things put in cart. app shows that
                  product not available for your pincode. I tried many times
                  than I was able to ordered. Good thing is I ordered two
                  netplay trousers in the morning and I get one in the evening..
                  Delevery is very fast. Jiomart team has improved app for more
                  customers. All over experience is good. I also recommend this
                  app to my friends. Thank you.</t>
  </si>
  <si>
    <t xml:space="preserve">I placed order for groceries/ vegetables and pay in advance
                  and wait for two days to deliver. Guess what happens, they
                  cancel the order with no reasons attached. When I call up call
                  center, they confirmed that they cancel the order sice they
                  don't have some items. Seems their system isn't ready to
                  partially deliver and refund for the items which aren't
                  available. I rather await when their system gets matured and
                  then purchase. Disappointing, since I was excited as it's
                  truly indian company</t>
  </si>
  <si>
    <t xml:space="preserve">The app lags a lot, and at times the order is automatically
                  returned even before the delivery is made, and the only
                  solution they provide is to reorder since it was a cash on
                  delivery based order. Why you even let us choose to order when
                  you can't deliver those products. Very disappointed with the
                  overall experience.</t>
  </si>
  <si>
    <t xml:space="preserve">Worst delivery app i have ever seen. It may take 1 light year
                  to get your order actually delivered to you. And end of the
                  day they will tell that due to some technical issue we might
                  not be able to deliver the order to you. And it may took 10
                  day to refund you back. So be aware with the offers. It may
                  happen end of the day your money they will use for one month
                  and you will get the refund after one month of followup. A new
                  way to scam and increase the revenue.</t>
  </si>
  <si>
    <t xml:space="preserve">Haven't seen such a Ghatia app ever. Even after having a good
                  wifi connection and every other app working seamlessly,
                  JioMart app doesn't work properly. You keep clicking on the
                  tabs and nothing works. At times it works other times doesn't.
                  I'm a regular customer of reliance fresh but this app gave me
                  really a very horrible user experience. Developer should have
                  atleast tested the app properly before launching !!!!</t>
  </si>
  <si>
    <t xml:space="preserve">Customer support is useless, irritating and wastage of time.
                  Your app lacks basic details like refund items, refund status,
                  available balance or reward points, delivery timelines/slots.
                  Your app also doesnt allow to pay partially using Sodexo for
                  eligible items and rest with other payment method. It also
                  show wrong error message, hangs a lot. Even though I am in
                  network but all of sudden it will show network error
                  especially when we switch from one app to other and come back
                  to Jio Mart App.</t>
  </si>
  <si>
    <t xml:space="preserve">Prices are very good but the problem is that after
                  confirmation on your order they might refuse to deliver it
                  without giving any proper reasons so it's like you wait for
                  your order to come and it's been 2-3 days and suddenly you see
                  it's cancelled. One more problem is that they should show in
                  the app itself that this item is currently not available or
                  stock out.</t>
  </si>
  <si>
    <t xml:space="preserve">Very pathetic shopping experiance. This has many times.
                  Ordered items, paid immidiately, order gets placed with
                  confirmation, no option to select your delivery date (unlike
                  other apps) it appears after your order confirmation which is
                  after 5 days. Most funny thing many of your items or entire
                  order gets cancelled just the day before your delivery date..
                  Big No for this app.</t>
  </si>
  <si>
    <t xml:space="preserve">You will get half of your order... If you order ten items and
                  pay, they will bill 8 items saying the other 2 will be
                  refunded and deliver only 6 items. I have tried 3-4 times but
                  never got all the items ordered. To get the amount for
                  undelivered but billed items each time you need to register
                  complaint and follow up</t>
  </si>
  <si>
    <t xml:space="preserve">DISGUSTING!! The order gets cancelled every now and then
                  without even getting the customer. When you try to repurchase,
                  suddenly the price gets hiked a lot. Customer service are so
                  scripted and keep giving the same answer as if they're dumb
                  and deaf to your situation and keep repeating same sentence.
                  It's always Xpressbee, whenever they are supposed to deliver,
                  they will either call up and straight up deny to deliver
                  things saying your address is not deliverable or simply cancel
                  order.</t>
  </si>
  <si>
    <t xml:space="preserve">Order tracking feature brings up message "unable to fetch
                  details. Please try again in sometime". Sometime has now
                  become 3 days and mob app bug is not yet fixed and therefore
                  unable to track status of order placed on 23rd Jul. Part of
                  the order delivered on 24th. However processing of rest of the
                  items started only after delivery of first consignment instead
                  of simultaneously for all items. A disgraceful &amp;
                  unreliable brand aptly rewarded with 1 and 0 star rating by
                  practically all customers.</t>
  </si>
  <si>
    <t xml:space="preserve">WORST SERVICE FROM JIOMART. I have been hearing this from many
                  persons that now Jiomart is not able to fulfill the order and
                  at the end they simply cancel the order taking side of some
                  technical error. The same thing happened with my order which
                  was placed 2 days back and cancelled. With this, I want to
                  tell you that this was my last order to Jiomart as we don't
                  have that much of time to waste while preparing shopping cart
                  with all needful items and then wait for 2-3days for those
                  &amp; order cancel</t>
  </si>
  <si>
    <t xml:space="preserve">The customer service is horrible. They do not deliver all
                  product and cheat customers. I have to call multiple times
                  because it shows that the order is delivered but it is not.
                  Horrible experience. Please check your order once you receive
                  in front of people who deliver, there can be items missing.</t>
  </si>
  <si>
    <t xml:space="preserve">Happy to see the big discounts on Jiomart compare to your
                  other competitors. BUT: 1. The UI of app is very immature,
                  many options require multiple clicks to work. It's very slow
                  too. 2. It doesn't have that easy browsing as BB 3. In my
                  first ever order on Jiomart you have missed 5-6 items to scan
                  &amp; send (this is negligence in service). I am using BB from
                  last 7 years if you want the long term Customers to move to ur
                  services you have to improve overall. Then I may change my 2
                  star rating.</t>
  </si>
  <si>
    <t xml:space="preserve">1. JioMart Android app has bugs. All of a sudden, all grocery
                  items being scrolled vanishes. I see "scroll to top" only. I
                  have to restart the viewing activity in the app to see those
                  grocery items again. 2. My first ordering experience via app
                  is extremely bad. They have cancelled my first order suddenly
                  on the next day without giving any reason. User experience of
                  using other grocery apps is much much better in comparison.</t>
  </si>
  <si>
    <t xml:space="preserve">Worst experience with this app. I ordered creamy peanut butter
                  but provided crunchy. Means different product. Delevery was so
                  late. After request to exchange the product but no reply found
                  yet. I waited around 5 days but no reply found yet. When I
                  raised a complaint through email then received a call and he
                  told me that they will exchange this product but anyone was
                  not collected the product and provided.</t>
  </si>
  <si>
    <t xml:space="preserve">Order not received but app shows delivered.. Don't use this
                  app .. sometime you wait for delivery but Jio automatically
                  cancelled your order &amp; you have to wait 7 days for your
                  refund</t>
  </si>
  <si>
    <t xml:space="preserve">My experience with jio mart has been really really bad. This
                  is my third order now. The first time I ordered many items and
                  the order arrived many weeks late after many calls. The second
                  time I ordered two items, the shampoo was expired and the
                  cream was also near expiry. This is the third time, I was
                  checking something on the app and the order was placed without
                  even asking for confirmation. The customer service team is
                  ignorant and very rude and doesn't help at all. This is my
                  last order</t>
  </si>
  <si>
    <t xml:space="preserve">I've raised an issue related to receiving a damaged product
                  and subsequently asked for a refund but the app says I've
                  returned the product which isn't true cause no one picked it
                  up and no refund so far. Worst the customer support is an
                  automated voice guiding me back to the app. How many such
                  refunds will accumulate?I can imagine. My money down the
                  drain. Don't trust the products.</t>
  </si>
  <si>
    <t xml:space="preserve">The App is so slow that I think it's on the verge of crashing.
                  First, I placed an order, and when they asked mode of payment,
                  I went for Paytm, but then they show me that high traffic has
                  hindered process, so try again later. So the whole cart went
                  empty for some reason. So I ordered the same products again,
                  this time cash mode. Now I see two orders in my order list.
                  Also, as I said, the app is so slow, it took me 10 minutes to
                  load my order history. Fix this app immediately.</t>
  </si>
  <si>
    <t xml:space="preserve">Worst app. Had a horrible experience putting orders on this
                  app. My two orders were given without a product by paying
                  prior delivery but they delivered without all the products
                  ordered the worst part is they don't even inform regarding
                  this and also includes that amount to bill. When asking for an
                  explanation no one turns up. Don't know reason for including
                  manager no on invoice for he doesn't respond to calls. And
                  should loose your money everytime you order with this app.
                  Terrible app avoid it.</t>
  </si>
  <si>
    <t xml:space="preserve">Horrible app! User experience is so bad once they updated the
                  UI. So many bugs and so much lag even on a very fast network.
                  This used to be much better, at least the using the app part.
                  Deliveries are a nightmare. Almost always missing or incorrect
                  items or less weight for fruits and veggies. No QA whatsoever
                  when the orders are shipped. In response to answer from Jio: I
                  have been using Jiomart app for a long time now. Deliveries
                  always had issues but now the app also has become
                  unusable/hard.</t>
  </si>
  <si>
    <t xml:space="preserve">Another bad experience with them. Delivered Aata was very old.
                  Reported it on the app with Pic and was given assurance about
                  refund along with complaint no. However, to date, Despite
                  pursuing them, I hav been told they're still working on it.
                  Last date for resolution given was 20 Mar, which was surpassed
                  yesterday. My money is stuck and I dont know if this will ever
                  get resolved!</t>
  </si>
  <si>
    <t xml:space="preserve">The most disgusting app to order groceries. They take 2-3 days
                  to deliver the order. If some items are not available, they
                  cancel the whole order WITHOUT ANY INTIMATION. On the day of
                  delivery, you would receive the delivery person's details and
                  the OTP, only to see that after some time, the order appears
                  to be cancelled/retuned. It keeps happening time and again.
                  Even the refunds wouldn't be instant. Raised complaints
                  multiple times but these issues have no resolutions.</t>
  </si>
  <si>
    <t xml:space="preserve">App is quite slow. It takes a while after clicking the
                  product, to open its details. There is no provision in my
                  orders to review the product once order is placed, you can't
                  click on the product to open its details/ specifications.
                  Filter doesn't work once you navigate back from one of the
                  product, filter is clear.</t>
  </si>
  <si>
    <t xml:space="preserve">The orders for groceries placed here get cancelled
                  automatically, although they keep on telling you that these
                  will be delivered today or next day before auto cancelling the
                  order. Most ridiculous and annoying app. And the products they
                  deliver are also of very very poor quality. And never, I
                  repeat NEVER pay them before the delivery, otherwise you don't
                  know how much time they will take to refund the amount.
                  Ridiculous cheaters!!</t>
  </si>
  <si>
    <t xml:space="preserve">Disappointing experience . Jiomart customer service is very
                  frustrating . First they cancelled the items and then they
                  don't give the refund . On top of all I am unable to use the
                  gift card which I purchased from Paytm . Instead of solving my
                  problem , the customer service is going round and round
                  wasting the time . I would have given zero rating if there was
                  an option .</t>
  </si>
  <si>
    <t xml:space="preserve">Opt only for cash on deliveey. For prepaid orders it's obvious
                  that they won't be able to deliver all, but some items will be
                  unavailable at the time of processing your order. For such
                  items you are eligible for refund. But they won't refund your
                  dues. Keep on writing to them and every time they respond with
                  a new complaint ticket number. I'm suffering for months. So,
                  COD only.</t>
  </si>
  <si>
    <t xml:space="preserve">Slow and buggy app with bad delivery experience. Order was
                  never delivered for 20 days no communication from the support
                  team. After multiple calls and follow up refund was approved
                  which further took 12 days. First level support staff is
                  useless and scripted. In lockdown, it is my only option. For
                  others it may be thr same. Some tips: 1. Always use cash on
                  delivery. 2. When talking to customer support, ask for their
                  team lead, only they can really help.</t>
  </si>
  <si>
    <t xml:space="preserve">Not user friendly app. Search is not working fine. There is no
                  option to choose the items missing after delivery and initiate
                  issue on the same. Also I got refund for some items and reason
                  was not even listed for which product it is processed. Pls
                  improve the ap Pathetic service. No customer care . No.proper
                  delivery too much delay. Worst ever.</t>
  </si>
  <si>
    <t xml:space="preserve">Not user friendly app. Items are not getting add in cart
                  easily even after selecting items multiple times. And even
                  after placing order, everyday delivery date gets extends and
                  with showing no progress in ur order tracking. it only shows
                  ordered items. No support frim customer services. no one
                  picking call. I had placed order but couldnt get items yet and
                  no response from Jio martðŸ‘Ž</t>
  </si>
  <si>
    <t xml:space="preserve">I had a very pathetic experience with this app. I had ordered
                  almost 30 items including vegetables and grocery. After a few
                  hours I got a notification that a few of my ordered items are
                  out of stock.... The given date of delivery is now delayed for
                  over 3 more days. Its been almost 5 days, since I ordered that
                  stuff. I chose shopping groceries online because there were
                  some ups and downs going with my family. But it was indeed a
                  very bad choice... I'm uninstalling asap after i recieve my
                  items.</t>
  </si>
  <si>
    <t xml:space="preserve">Jio mart got great offers but the app sucks. It have many
                  glitches. 1. While browsing items if we click on 1 item to
                  view details and return back it shows the first item in the
                  menu and not where we stopped. Makes us scroll down every time
                  . 2. From yesterday after scrolling down few items , the price
                  and discount details of items disappears from the menu. 3. In
                  fashion store which ever item we try to add to our cart, it
                  shows out of stock,, even after we check the availability with
                  our pincod</t>
  </si>
  <si>
    <t xml:space="preserve">1. Some Discounts are just mentioned and not applied, even
                  after complaining issue resolved is mentioned but it wasn't 2.
                  There isn't any option to dislike in resolved complaint
                  department, only like option is available! 3. You cannot apply
                  wallet money from application, you have to go to browser to
                  apply it. 4. Many times ordered products were absent, have to
                  raise issue everytime for cashback! which goes into wallet and
                  not in original payment mode..</t>
  </si>
  <si>
    <t xml:space="preserve">Ordered for first time. The delivery in covid time was safe.
                  The tracking not in sync. In the app, the option to select
                  different weight of same item not there. The paytm cashback
                  also not received for first time users. So mixed reviews, but
                  the items delivered were good .</t>
  </si>
  <si>
    <t xml:space="preserve">Earlier, this app used to work very efficiently and I had made
                  quite many orders but since the last week, whenever I opened
                  it, it shows that except for clothing, nothing else is
                  available and upon searching it brings us to clothes section.
                  This is annoying when we are in need to order groceries.
                  Kindly look into it.</t>
  </si>
  <si>
    <t xml:space="preserve">Never order from Jiomart you can better opt for other similar
                  services. I'll give you point wise explanation to this: 1.
                  They didn't deliver on time. Don't value for your time, they
                  keep postponing delivery date of their own. 2. They didn't
                  even deliver your complete order. You keep waiting for your
                  order whole week, but you got almost 30% of your ordered items
                  and that too in bad condition. 3. All items shown on their
                  website/app, almost 50% of them always out of stock without
                  letting you know!</t>
  </si>
  <si>
    <t xml:space="preserve">The app is absolutely pathetic, 1. Search bar does not
                  function properly. 2. The app hangs after each selection as u
                  move back to select other products. 3. After placing first
                  order the grocery segment vanished and doesn't get restored
                  even when i deleted and reinstalled the app. 4. Order placed
                  didn't get delivered in full &amp; some items were missing. 5.
                  No info on missing items. 6. Did complaint, didn't receive any
                  complaint number. 7. No follow-up from company. 8. Poor app
                  experience.</t>
  </si>
  <si>
    <t xml:space="preserve">Very bad app not respond any issue in fixed time</t>
  </si>
  <si>
    <t xml:space="preserve">Constant Technical issues, WORST experiences! Unprofessional
                  service. I'm a new customer &amp; my orders got delayed &amp;
                  returned at last minute simply because of technical issues,
                  when I was supposed to travel and needed the order asap.
                  Customer service told me to reorder after all this. I was
                  being patient with the delayed order, and the service was just
                  unprofessional.</t>
  </si>
  <si>
    <t xml:space="preserve">GUI of the app is usr friendly. I got the delivery on very
                  next day. I booked some items, but they did not deliver me 3
                  items. My suggestion is if you are to able to deliver or
                  supply perticular items, then you should not display that item
                  in the app. The time which is required to refund the money in
                  respect of undelivered items should be reduced. They delivered
                  me the goods on 30th July, but on 31st july evening I am still
                  waiting for my refund.</t>
  </si>
  <si>
    <t xml:space="preserve">Would have rated it 0 star if possible. Horrible experience.
                  Too many glitches in the app. Moreover when I finally ordered,
                  items are missing from the order. An additional surprise they
                  don't respond on their customer care number. Wow ...... I mean
                  if this the experience with reliance l would love to buy from
                  non Indian app such as Amazon.</t>
  </si>
  <si>
    <t xml:space="preserve">Feedback on JioMart App Availability Issues I've noticed a
                  recurring issue with the JioMart app where products are
                  frequently unavailable. This has been a consistent
                  inconvenience, impacting the overall user experience.
                  Improving product availability would greatly enhance the app's
                  functionality and user satisfaction. Thank you for considering
                  this feedback.</t>
  </si>
  <si>
    <t xml:space="preserve">This is second time when I have placed order on jiomart. My
                  experience is very bad about the delivery time. There is no
                  actual status available for delivery. They will keep on
                  extending the date of delivery and we are not sure when they
                  will deliver. Customer service have all standard script no
                  solution from them. So I would recommend to use some
                  alternative option for ordering your urgent groceries.</t>
  </si>
  <si>
    <t xml:space="preserve">I have opted for milk subscription. System has accepted the
                  same but never got delivered. The worst part is amount is
                  getting deducted from subscription wallet. Unable to use for
                  other orders. The worst part is customer care always gives
                  false and biased statement. Every time they ask me to wait for
                  48 hrs. I suspect they forgot on calculations of days. It's
                  been 4 days. I never expected the same from reliance. You owe
                  my money not sure how to get the refund.Dont opt for
                  subscription.</t>
  </si>
  <si>
    <t xml:space="preserve">I have not received the refund for damaged item in order
                  placed on 18.6.2020 inspite of repeatedly writing emails. Also
                  have not received refund for missing item in order placed on
                  9.8.2020 that too inspite of comunicating several times. The
                  toll free number doesnot connect to the operator even after
                  holding for 5 to 10 minutes. The whatsapp number is completely
                  useless. I would definately increase the rating if my issue
                  gets resolved immediately. I doubt if I would get a reply to
                  this review.</t>
  </si>
  <si>
    <t xml:space="preserve">My orders are getting rejected automatically, multiple times.
                  I am fed up with the the service. I have raised a ticket and
                  its been closed without any resolution. When I called help
                  desk they say order is getting canceled because of
                  unavailability. Whereas I could see the same list available in
                  the portal again and again. I am not going to order anything,
                  if I don't receive the last order. Very disappointed with the
                  last couple of services.</t>
  </si>
  <si>
    <t xml:space="preserve">My first experience with JioMart is extremely bad. Initially
                  they were not delivering the items on said time after many
                  followups they delivered unpacked items. Half of vegetable
                  items were not usable at all, as it seems more than week old
                  vegetables delivered. Called many times on their customer care
                  no. as app is completely useless. A big no from my side and
                  going to uninstall same from my phone.</t>
  </si>
  <si>
    <t xml:space="preserve">Worst app for ordering groceries. I ordered few products from
                  the app, most of the products delivered werw incorrect. I
                  posted a complaint regarding this, and I have been calling
                  customer care for the past 8 days, everyday they just tell me
                  please wait till the end of the day, replacement products will
                  be delivered and till date i have waited for 8 end of days and
                  no product has been delivered. It's so frustrating to deal
                  with the customer care service here. Most unreliable app.</t>
  </si>
  <si>
    <t xml:space="preserve">They dont give the correct number of articles. Most of the
                  time things were missing from the prepaid packet. Firstly,
                  they dont pack the correct number of articles and secondly,
                  one of their agent said that missing items are not their
                  fault, company is not gonna pay back for the missing items.
                  Check the number of items at the time of delivery. While
                  checking and packing correct items is should be their
                  responsibility and not the customers. So overll jiomart is a
                  worst n terrible experience.</t>
  </si>
  <si>
    <t xml:space="preserve">Fraud website. 1. It changes the items ordered every single
                  time. 2. Some products delivered are old. 3. Cancel the order
                  as per it's wish even after making the payment and doesn't
                  refund the complete amount. * Amazon is far way better than
                  this. I am done with this website.</t>
  </si>
  <si>
    <t xml:space="preserve">Superb slow app, when i click on add cart it is stucked and
                  app crash. After 1hr of hardwork, I was able to add product in
                  cart. During checkout website is not responding. This is too
                  bad, you have launched a product without testing it. What is
                  the use of app when end user is not able to place the order?</t>
  </si>
  <si>
    <t xml:space="preserve">Some items are shown at reasonable prices, may be just to
                  attract customers, later they themselve cancel it by saying
                  that particular item is not available in store... also they
                  take full payment and doesn't provide/deliver total
                  groceries/items and customer care helpline is also the worst
                  they just say that they will solve our issues within specific
                  time period but no action is taken.. there are alot of bugs as
                  well in this app .. I can't imagine how nd why the hell they
                  are running it...</t>
  </si>
  <si>
    <t xml:space="preserve">It bills one order in multiple parts and sends it through
                  multiple shipments, a major one of which was incomplete for
                  me, but, I was billed for the entire order. The complaint
                  system did not let me file a complaint as the order showed
                  "out for delivery" even after it was delivered incomplete and
                  ,later, the customer care refused to assist me with my order
                  due to a delay of just a couple of days.</t>
  </si>
  <si>
    <t xml:space="preserve">updated: I received the response but I don't know if it
                  because of the review or it's just that late. I am updating
                  the review. Still app navigation and loading times sucks. old:
                  Not gonna order again. just bad customer care experience, it's
                  been more than 6 days since I raised issues. no response yet
                  and I i don't think I will get a response either. app
                  navigation is just bad and takes so much to load each page.</t>
  </si>
  <si>
    <t xml:space="preserve">Ambani is cheating. As one completes basket, the products on
                  deal (to make u shop) become unavailable. The price shown at
                  time of adding product to basket and then in basket also
                  varies. All fragile items like noodles are delivered in
                  crushed state. Vegetables are stale/ old/ decaying. Refund is
                  very tough. There is no customer care services. Tough to track
                  orders.</t>
  </si>
  <si>
    <t xml:space="preserve">Search function is poor in app. Unless you manually browse to
                  find the product it won't show up in results. Delivery and
                  Customer support is pathetic. Order delivery gets rescheduled
                  without any reason/notification. Customer support is even
                  dumber, they don't have any clue why the order is delayed and
                  they won't help or take any complaint regarding the delay or
                  refunds. Worst experience!</t>
  </si>
  <si>
    <t xml:space="preserve">Very bad experience recently, i ordered pediasure for kid and
                  they have delivered near expiry product, i raised tickets,
                  contacted customer care, emailed and i did all aprox. 30times,
                  but no resolution and they are saying due to technical issue
                  we are unable to resolve, now, now it is 25 days of purchase
                  and can't raise tickets as it is outside of daye, they are
                  forcing customers to use near expiry product. Good job jio
                  mart team.</t>
  </si>
  <si>
    <t xml:space="preserve">Very fast delivery and large range of products available. Has
                  large stock, very rare products are out of stock. price is
                  also reasonable. must recommend</t>
  </si>
  <si>
    <t xml:space="preserve">Don't waste time and energy ordering groceries from here,
                  specially fruits and vegetables. The items delivered seemed to
                  be a month old. The Customer Support experience makes it even
                  worse with only Chatbots and no real solution. Product
                  undelivered but billed and what not. Tried for the first time
                  and shocked with the outcome. Moreover the app lags a lot.</t>
  </si>
  <si>
    <t xml:space="preserve">Scam running ??? BEWARE ABOUT CHEATING!! I have recently
                  ordered a packet of dried fruits and shockingly I received an
                  empty pack neatly packed and delivered. The payment was made
                  upfront. I have reported this issue several time, via App and
                  via email , no solution even after multiple follow-up. The
                  issue logged in the App will not get a proper response or no
                  response at all.</t>
  </si>
  <si>
    <t xml:space="preserve">One of the most non responsive applications that I have ever
                  seen, frustrated to use. 1. Initially when I opend application
                  nothing was clickable. 2. Restarted application, now click
                  event is not happening to search result items. 3. While
                  checking out my cart it took time to take actions, no loading
                  indicatior was there ðŸ¤¦ 4. In product summary page null is
                  appended at end of my name, seriously your QA team is most
                  lazy one.. ðŸ˜µ</t>
  </si>
  <si>
    <t xml:space="preserve">I am not recommend any one to order cheese and fridge items (
                  cold items) It will come hot and spoyl</t>
  </si>
  <si>
    <t xml:space="preserve">There are a lot of bugs in the app.it should be improved
                  immediately bcoz people are getting bored by using it..i am
                  mentioning some of that bugs... 1.While scrolling page of
                  fashion products, it takes time to load remaining
                  products(with 50mbps wifi speed). 2.After getting view of the
                  product,if we want to back to the product list, that
                  functionality not working properly.it will reload from the
                  first product of the page so pagination should be improved.</t>
  </si>
  <si>
    <t xml:space="preserve">Pathetic app. Once order is placed neither the customer nor
                  the customer care can cancel it. It takes extremely long time
                  to deliver. If it is delivered at all. I sent the below mail
                  after 2 separate complaints raised. Not sure if I will still
                  get me issue resolved soon as Jiomart doesn't have the right
                  intention to refund the customer money after cancelling order.</t>
  </si>
  <si>
    <t xml:space="preserve">Great service. They deliver within hours. The only drawback is
                  the app UI which is not very friendly. When I search for
                  things, the results aren't accurate. I have to browse a little
                  to look for my required thing which is a bit inconvenient. I
                  would like if they do some result personalization and make
                  search results accurate. Many grocery items aren't in stock.
                  Stock availability if improved would make this a very good
                  app. Discount offers are good. Satisfied.</t>
  </si>
  <si>
    <t xml:space="preserve">One of the worst app for grocery delivery. Ordered items got
                  cancelled due to unavailability, then how it is showing while
                  ordering. If it's once order means any how you have to
                  delivered. Refund is due from more than 2 weeks. If you want
                  to connect with customer care service than you always end up
                  with no response and IVR will end your call. Jio only know to
                  do business but not customer satisfaction. This is not only me
                  who is facing this type of issue it's very common to most of
                  the customers</t>
  </si>
  <si>
    <t xml:space="preserve">Worst app.very slow.cancelled my order twice in a week.when
                  asked they said technical glitch.worst</t>
  </si>
  <si>
    <t xml:space="preserve">I had a decent experience with jiomart in the beginning. On my
                  last order, a few items were missing. I reached out to
                  customer service at least 5 times. In the beginning, they said
                  they'll deliver my missing items. Then, after I didn't receive
                  the missing items, I reached out to customer service, they
                  said they're going to initiate refund for missing items. It's
                  been more than a week that I'm constantly ignored. Agents keep
                  abruptly leaving chat with absolutely no resolution. Chat
                  service sucks.</t>
  </si>
  <si>
    <t xml:space="preserve">I wish I could give less than one star!!! Never had such a
                  terrible experience with an app. Placed an order on 19th and
                  it showed the arrival date as 21st, then everyday the arrival
                  date would increase. Who would wait so long for fruits and
                  vegetables! There is not even an option to cancel the order!
                  Had to call the customer care who said to deny the order when
                  it arrives. What a waste of time and resources and also a
                  waste of the deliveryman's effort! Never ordering from jiomart
                  again.</t>
  </si>
  <si>
    <t xml:space="preserve">Very very worst service. I have placed an order but it's been
                  7-8 days no further update was shown. Even though I registered
                  a complaint, they have not shown any interest In updating to
                  me any complaint no. Or any further update. For the first time
                  I am using this app, and i have been encountered to such worst
                  service. If it was possible to give zero star, I would have
                  given that. They have no interest in solving and providing
                  proper services to the customer.</t>
  </si>
  <si>
    <t xml:space="preserve">Ordering is easy on the app but i have had a bad experience of
                  product not supplied and billed to me in the total amount. I
                  personally request all online ordering people to please check
                  all the items against the bill and then pay if paying COD and
                  also if paying online. Please check all the items once you
                  receive them. My case is still unresolved and have written
                  many emails and there hasn't been anything positive to talk
                  about. Would have given 5 stars otherwise</t>
  </si>
  <si>
    <t xml:space="preserve">Worst app from such a big company. Ordered few items on 31st
                  July. Yet to receive the items but the status showing items
                  already delivered. Called customer support, got reply saying
                  that the problem is due to technical fault. God knows when I
                  will receive the items! If the items cannot be delivered
                  refund the money.</t>
  </si>
  <si>
    <t xml:space="preserve">Delivery staff is bad. They are not delivering product to the
                  door steps. This has happen with me twice. When it was first
                  time I have considered issues related to lockdown and this
                  pandemic situation but second time there is no such issue.
                  Fortunately both times I was home but if I was not there then
                  my mom has to carry that heavy parcel to the home. Jio should
                  work on this as other competitors are having door step
                  delivery. P.S. Two stars are just because of delivery staff
                  else app is goobd</t>
  </si>
  <si>
    <t xml:space="preserve">Unable to place order since last few days. For the vegetables
                  and fruits. They are showing us the list of fruits and
                  vegetables but when i tend to add them its not getting added.
                  I dont if their is problem with the app because something is
                  definitely wrong. Please try and check what is wrong with the
                  app. Other than that i am frequently using jio mart for fruits
                  and vegetables so i really like ordering from it. Please if
                  you can solve this query. Make this as your priority and solve
                  this issues.</t>
  </si>
  <si>
    <t xml:space="preserve">I have selected the item for my grocery in the cart and
                  suddenly all item becomes out of stock. pathetic experience
                  while using the app and their customer care usually guide you
                  wrong ,they said to me to re install the app again and this
                  problem will get fixed I did the same but still same problem.
                  I was not getting grocery option 2nd time i called them they
                  said some problem with our side which we are fixing ,then I
                  said when It will get fixed they don't have answer for that.
                  Bad experience.</t>
  </si>
  <si>
    <t xml:space="preserve">As a customer experience, everything from UI to delivery is so
                  bad that I don't have any other word to express. I never
                  expect big mess from such a big brand. Don't tell covid-19 is
                  the reason for bad UI and delivery mechanism. Even small
                  vendors deliver very quickly and effectively. They also have
                  better UI than Jiomart</t>
  </si>
  <si>
    <t xml:space="preserve">I am going give them two stars. 1. For home delivery service
                  2. For easy pick up things on app They charge more compare to
                  demart. We compare there prices. When we order first time,
                  they mess up all the things like veggie and fruits together
                  with grocery which spoil the material. Hope for betterment in
                  future.</t>
  </si>
  <si>
    <t xml:space="preserve">Worst kind of experience! Got scammed brutally by this app and
                  it's makers. Please use this service at your own risk. My
                  experience: I ordered few vegetables and fruits using this
                  app. Even the ordering was buggy, sometimes the cart shows
                  empty even after selecting items. Paid the amount as shown.
                  After a couple of days, order gets cancelled. No reason
                  mentioned. Now they are asking me to wait 7 working days for
                  receiving the refund. Why? They says that it's their policy.
                  Pathetic!!!</t>
  </si>
  <si>
    <t xml:space="preserve">My last 2 orders got cancelled. I don't understand why would
                  they even confirm the order in the first place if their
                  intention is to cancel them later. They won't even give a
                  notice till the date of delivery. We have to wait and keep
                  waiting for them. Such a waste of time and energy. This is not
                  the first time I had problem with Jiomart. I got some items
                  missing (which are billed) in my previous orders and the
                  customer service is poorest. Time to uninstall.</t>
  </si>
  <si>
    <t xml:space="preserve">I ordered frozen food and got totally mashed up items from
                  them. I provided photos to them but there customer service
                  closed ticket. Money total waste.</t>
  </si>
  <si>
    <t xml:space="preserve">Poor ordering experience even in metro cities. I'm a loyal
                  customer to Jiomart since almost 2 years. I don't know why but
                  my last 3 orders are continuously returned without giving
                  proper response. Even I got sms saying my order is shipped but
                  after when I tracked the order, it showed as returned. The
                  same thing happed in my last 3 orders. The customer care
                  experience is terrible. They can't help at all. Not expected
                  this from a Reliance venture.</t>
  </si>
  <si>
    <t xml:space="preserve">Worst app, first they allow you to order the app and make
                  payment and then it automatically gets cancelled on the day of
                  delivery. Happened thrice with me. And then refund comes after
                  7 days so they utilities the money for 10 days and then refund
                  it, they are earning more interest than bank. When a ticket is
                  raised, it is automatically gets resolved without any
                  response.</t>
  </si>
  <si>
    <t xml:space="preserve">Experts in delivering expired items. They make sure always
                  items nearing expire or already expired items are delivered to
                  customers. Online app is introduced just to make sure waste or
                  expired items from their shop like reliance grocery are always
                  delivered to customer, so that wastage is reduced, They don't
                  have one proper customer care service, return or exchange not
                  allowed. No refund. Don't even think of ordering vegetable's
                  ever.</t>
  </si>
  <si>
    <t xml:space="preserve">For App Review.Poor app performance considering its of Big
                  Brand RELIANCE JIO. Note: I am using flapship mobile so no
                  processing speed issues also using jio 4g data again so no
                  issue with internet speed either. Very slow in search
                  results.even when lots of data (sometimes in mbps) is
                  processed in background but no search result showsup. going
                  back from search results or any page takes long time to be at
                  same place again it keeps scrolling to come again on same spot
                  .not smooth navigation.</t>
  </si>
  <si>
    <t xml:space="preserve">Very bad experience â˜¹ï¸ with this app service by jio mart. I
                  have ordered some products but didn't get delivery within the
                  stipulated time. They forward the delivery date day by day.
                  So, I cancelled the package. I won't get my refund for the
                  same till now. Whenever I called the customer care the
                  wouldn't pick up the call. I tried it again and again. But
                  same thing happened. Its very bad experience from jio mart.</t>
  </si>
  <si>
    <t xml:space="preserve">Worst service I have seen, ever. I ordered some grocery items,
                  it was in process of delivery, then out of nowhere it got
                  cancelled automatically. You shouldn't claim of providing huge
                  discounts, if you do not intend to. What a joke. . . The app
                  lacks some basic functions, like showing the transit process.
                  You can never tell where your orders are, or when it will be
                  delivered accurately. Just pathetic...</t>
  </si>
  <si>
    <t xml:space="preserve">super fast delivery outstanding job very fast then other aaps</t>
  </si>
  <si>
    <t xml:space="preserve">Can't able to login or sign up ,I have try multiple times</t>
  </si>
  <si>
    <t xml:space="preserve">Really horrible experience. Placed an order on 27th April and
                  they cancelled it on 1st May without any intimation. When
                  reached to the customer care they asked us place the order
                  again and I placed the order again on 1st May. Still it's not
                  delivered. Daily they are changing the delivery date to next
                  day. Raised a complain to customer care again but you have to
                  wait for 48 hrs and you have no option to cancel the order
                  either. One of the worst app to rely for essentials during
                  lockdown. Never bu</t>
  </si>
  <si>
    <t xml:space="preserve">It's been more than a week now and I haven't received my order
                  yet and every day they just keep showing delivery date to next
                  day. Worst experience of ordering on this app. Don't do
                  prepaid orders on this app if you don't want to get fooled by
                  them. No response from customer service as well as I have
                  tried to connect with them. They don't pick up the calls and
                  do not respond to your emails.</t>
  </si>
  <si>
    <t xml:space="preserve">Worst experience ...though they are offering everything at the
                  most reasonable price as compared to other apps but they never
                  fulfill your complete order....it has happened twice with me
                  .....They delivered the goods delayed and even though not
                  fulfilled the complete order at all..... lacking
                  infrastructure and resources and most importantly the
                  application is not updated when a product is not
                  available......they just refund afterwards.....no coordination
                  and updation</t>
  </si>
  <si>
    <t xml:space="preserve">Thank You for developing this app. Great help &amp; service
                  from your side, esp for the lone families. So grateful to all
                  the people behind this (from root of this app to the staffs
                  delivering perfectly the fresh items in our local/rural area)
                  Suggestion: *Include more items in the preset list of App* May
                  be minor to some, but necessary items like scholar items (Like
                  different color - different branded pens, etc... , Paper) Eg:-
                  I searched for a black pen pack &amp; was only showing blue
                  pen /pencils)</t>
  </si>
  <si>
    <t xml:space="preserve">It takes more than a week to deliver the order...... customer
                  support is very poor....it takes more then half a month to
                  return and refunds..</t>
  </si>
  <si>
    <t xml:space="preserve">What a waste of time !! I have uninstalled it. Pathetic app.
                  The orders are delayed with no notice for weeks. They take
                  ages for the return and many times, they don't even entertain
                  the request. Also it's a big hasssle to find out your issue
                  from a list of wateful issues. Everytime you have to learn the
                  orderid and shipment Id to raise the complaint.</t>
  </si>
  <si>
    <t xml:space="preserve">I ordered on 3rd May with delivery of 6th May. I checked the
                  order status on 5th night in the app, indicating it had not
                  even started processing. Today morning on delivery day, they
                  just cancelled the order. On checking with customer care, he
                  said it was due to "technical issues". What stupidity is this!
                  Useless app, if I didn't have to stay indoors, I would never
                  purchase from this app. Recommending others to NOT order and
                  waste your time. Unistalling it right away. Wish there was a
                  zero rating</t>
  </si>
  <si>
    <t xml:space="preserve">Third class service. Ordered more than five times and yet to
                  receive a complete order till now. Always one or the other
                  item is missing. They generate the bill but don't deliver the
                  items, thereby cheating the customers. And the worst customer
                  support ensures that you never get the item or its refund
                  back.</t>
  </si>
  <si>
    <t xml:space="preserve">Its stucks in between many a times. While searching some
                  products, it lands to 'something went wrong' page again and
                  again, and user has to kill the app and relaunch it.
                  Considering the prices, I compared it with Dmart and jiomart
                  is costlier a bit. Every product is around 2-10 rs costlier
                  which explains the reason behind free delivery</t>
  </si>
  <si>
    <t xml:space="preserve">Unable to login since last 10 months. When ever i try to
                  login, it sends an OTP, and after entering the OTP, it always
                  says "invalid otp". I even talked to the customer care guy
                  regarding this. He also said that there's nothing that can be
                  done to solve it. This problem has been going on with many
                  users since last many months, still jio did not solve this
                  problem. It shows how much jio cares for its customers.</t>
  </si>
  <si>
    <t xml:space="preserve">Pathetic experience, delivery is never on time, more than half
                  the time the order gets cancelled bcoz something is out of
                  stock, like if you didn't have it in stock why take the order,
                  the return policies are so pathetic that most of the time the
                  return request will get cancelled. The recent update of having
                  two carts is already a painful experience especially when the
                  UI for the app is already messed up and always lagging.</t>
  </si>
  <si>
    <t xml:space="preserve">Taking long time to deliver and not even delivering on
                  scheduled date. Scheduled delivery date is keep on changing
                  every day. Even customer support not not able to fix it. Other
                  grocery apps are very best when compared to service and fast
                  delivery even for min order of 199. Dropped mail couple of
                  times as per your advice but still issue not resolved</t>
  </si>
  <si>
    <t xml:space="preserve">Installed and found that prices were too cheap but I ordered
                  twice from it but both the time wrong product was delivered .
                  Showed that it will get maximum delivered by 30 min hyperlocal
                  but delivers only after 2 hrs . Need to work upon jio mart to
                  compete with others till that no use of jiomart . Living in
                  urban City where competition is at peak and this was not
                  expected . Focus on how to solve the problem even by starting
                  and focusing on few places not to go directly at larger scale
                  .</t>
  </si>
  <si>
    <t xml:space="preserve">Customer experience is very bad. Not sure how they developed
                  this app with these many bugs . Taking hell lot of time when
                  adding any item to cart. Taking much time to render something
                  where the user dont even know whether it was navigating or
                  not. Search engine is very bad and its very inappropriate.
                  More improvements needed. The business was good but having
                  such kind of apps for this kind of business is really a joke .
                  Never expected this kind of an app from reliance.</t>
  </si>
  <si>
    <t xml:space="preserve">Most disgusting shopping mart.. they will never fulfill their
                  commitment towards deals.. like someone purchased anything at
                  50% discount and after 2 days price of that product gets
                  changed, JioMart will cancel the order and initiate refund..
                  and the customer will receive the amount back in 10-12 days! I
                  have faced this multiple times with JioMart but never with
                  BigBasket!! The only +plus point is that there is no minimum
                  order for free delivery yet.. that's why the 2nd star
                  given....</t>
  </si>
  <si>
    <t xml:space="preserve">The WORST grocery delivery service. Would recommend
                  grofers/bigbasket. Horrible horrible service by Jio, tried to
                  order monthly groceries from this trash app and only half my
                  items were delivered, app showed remaining will be delivered
                  in 2 days and randomly at 1AM I get an SMS saying the items
                  are cancelled and won't be delivered. I was depending on those
                  items and waited but they just cancel without warning and now
                  I have to wait more to reorder from somewhere else. Absolute
                  trash service.</t>
  </si>
  <si>
    <t xml:space="preserve">1. The App sucks, bcoz browsing experience is worst,
                  especially back button every time takes to Home Page. I today
                  browsed to buy apparels. Not bought bcoz the filter settings
                  was bad, each n every option was not working. This is directly
                  impacting Reliance Business. I may have to sell stocks, if I
                  have. 2. Also I am getting refund of few orders after so many
                  days as it getting cancelled, they not giving reason. 3.I
                  repeatdly keep on sending complain about rotten products they
                  delivering to me.</t>
  </si>
  <si>
    <t xml:space="preserve">you can not trust this app at all, and the service of this app
                  sucks too. I had placed a prepaid order on this app, a few
                  days later the order got cancel automatically. It's being 2
                  months since that day I'm trying to get my refund but I
                  haven't get any refund. They are continuously avoiding me.
                  It's been months , but I am not getting a proper response they
                  keep on delaying me</t>
  </si>
  <si>
    <t xml:space="preserve">I don't know how's getting 3.9 rating to this. There are bad
                  in the service plus there delivery system is bad and its to
                  much time after completing then also they don't work properly.
                  Even customer complaint they don't think to take action or
                  solve the customer problem, and there order tracking page are
                  very bad. Every day delivery date change. But delivery doesn't
                  happen after completing also. When u call to there customer
                  service then they take 8-10 minutes to connect customer
                  service.</t>
  </si>
  <si>
    <t xml:space="preserve">Delivery time is perfect. Also care for delivery goods.</t>
  </si>
  <si>
    <t xml:space="preserve">The worst service platform ever. customer care is there only
                  in name. And order are rejected even without calling us</t>
  </si>
  <si>
    <t xml:space="preserve">Worst experience with online grocery shopping. I ordered twice
                  from this app and recived near to expiration vegetables both
                  the times and return policies are not customer friendly. I
                  tried to lodge complaint but while uploading pictures for poor
                  quality vegetables it is not accepting as the file size is
                  big. I feel like I need to resize photos as if i am applying
                  for some competitive exam form. It's really disheartening when
                  you want to lodge complaint but can not because of frusting
                  reasons.</t>
  </si>
  <si>
    <t xml:space="preserve">Worst experience Guys , if we order here and wanted to return
                  the product it's highly impossible and for me I had received
                  damaged product and they haven't picked up my order and its
                  been more than 20 days , and none of the customer executives
                  knows when your order will pick up and get the refund . Please
                  team help me here</t>
  </si>
  <si>
    <t xml:space="preserve">Pathetic service! First of all they delivered the order very
                  late and some items were missing. When I asked for refund they
                  took a lot of time to initiate the refund. They kept on
                  communicating that it is initiated and will reach in 7
                  business days. But today it has been almost 2.5 months and
                  still I haven't got my refund.I have written mail twice they
                  are not replying.</t>
  </si>
  <si>
    <t xml:space="preserve">CHEATERS.. If there would be negetive ratings, I have used it.
                  I ordered Dry Fruits on 15th August and app showed delivery on
                  17th, a day after I check for progress then It show delivery
                  on 19th. Now today I check for delivery progress - Out of
                  imagination - It shows me that order is delivered. Which I
                  don't received. I don't know to whom they have delivered!? And
                  now my money is blocked. It's a CHEATING app.</t>
  </si>
  <si>
    <t xml:space="preserve">Initially this app was working fine and our several orders
                  completed on time as well. But after past 4week when you click
                  on any product, it show page as no products available. I think
                  this issue is producing after they also added fashion and
                  clothes in app. Very disappointed with the experience. I have
                  sent an email as per your request, hope you guys able to
                  resolve the issue soon.</t>
  </si>
  <si>
    <t xml:space="preserve">Reasonable price and very much customer friendly. Disputes are
                  resolved hassle free and instantly.</t>
  </si>
  <si>
    <t xml:space="preserve">I ordered 4 to 5 time and my amount deducted and ordered shown
                  returned every time and customer care Countinue to tell to
                  reorder and try. My amount isn't refunded still. Lots of
                  technical problem, if item isn't available then it shouldn't
                  to added cart. This cause my amount blocked. Too costly items
                  as per near market. Very very worst experience with App,
                  customer support, delivery system</t>
  </si>
  <si>
    <t xml:space="preserve">Horrible Experience..! They don't deliver the correct product
                  in the first place and then you need to call them every 48
                  hours for return/replacement This is my second time where I am
                  harassed for a replacement Just because this app had the exact
                  same product and same color, ended up placing the order -
                  Never ever!! I prefer any other online store over this.. Such
                  bad experience!!</t>
  </si>
  <si>
    <t xml:space="preserve">Order placed again and again it got cancelled stating
                  unforeseen circumstances. The customer support is the worst as
                  they don't have answer and when u ask them the reason for
                  cancellation, they say technical issue. 4 of my orders were
                  cancelled for the same issue and no one took an initiative to
                  solve the issue. The customer support is too worst, if u ask
                  them as question, they don't have an answer, they will say,
                  'sorry to interrupt, are we still connected'. Guys don't use
                  this app/service.</t>
  </si>
  <si>
    <t xml:space="preserve">I am extremely disappointed with the JioMart app service. I
                  recently placed an order which was delayed and eventually
                  cancelled without any notice or explanation. This has caused
                  me a great deal of inconvenience, wasted time, and money. The
                  customer service is terrible, and the app is very unreliable.
                  I had made arrangements for the delivery and now I am left
                  with no other option but to purchase the items again from a
                  different service provider. I urge all potential customers to
                  beware app</t>
  </si>
  <si>
    <t xml:space="preserve">Worst shopping experience. Initially it was fine but since
                  April whenever i placed order it kept getting delayed and then
                  got automatically cancelled. First time i was refunded on time
                  but last order got cancelled on 10th may and no refund until
                  now. Even the customer care service is useless. They send
                  automated messages saying that the issue has been resolved but
                  actually they are not capable enough to resolve any issue. My
                  issue has never been resolved. Big basket is way better than
                  this</t>
  </si>
  <si>
    <t xml:space="preserve">Terribly slow interface, I have amazing internet speed and my
                  phone is working absolutely fine. I can not send you an screen
                  shot because I deleted your app and probably will not use ever
                  again unless there's an update. It's a problem to many people,
                  need to fix the slow working of your app</t>
  </si>
  <si>
    <t xml:space="preserve">The recent update has made this app absolute trash! It
                  glitches so much, adds useless stuff to the cart on its own,
                  the cart list changes on its own. God knows how the things get
                  removed and useless things get added! And it crashes so much!
                  Not to mention I have to sign in again and again. This app
                  frustrates me so much!</t>
  </si>
  <si>
    <t xml:space="preserve">The worst online shopping app. I prefer this app if anyone
                  want to loose their money. They wont deliver the product and
                  wont return your money back. Best thing is you dont have any
                  idea whats happening with your order. You can't track it
                  properly. They will deliver and cancel order. I wont get the
                  product till now its about a month after estimated delivery
                  date. I lost my money. Please don't use this app. And also
                  they will always delete negative ratings...</t>
  </si>
  <si>
    <t xml:space="preserve">One of the worst delivery app. They over promoted and don't
                  deliver. They cancel delivery on their own. 99 percent of the
                  time they don't have the product listed on their website. it's
                  is not reliable and there is no guarantee that what u order it
                  will get delivered. One more thing the developer will
                  immediately reply to your comments but when they will never
                  immediately resolves the product delivey related issues. Hat's
                  off of this</t>
  </si>
  <si>
    <t xml:space="preserve">this is just a scam to loot peoples money. whenever you are
                  starting any online shopping app the 1st thing you need to
                  take care is the proper order tracking and a good customer
                  service... when you call on the number it just sends a sms and
                  disconnect. if you try the option to check with customer
                  support it gives you some irritating music for 10 mins and
                  then goes blank pin drop silence... whatsapp is just there for
                  the sake and they never respond to your mails but they respond
                  here for ratings</t>
  </si>
  <si>
    <t xml:space="preserve">Worst online shopping app! They take months to deliver items.
                  Don't depend on track order it's completely useless. Arriving
                  date keeps changing everyday. Pathetic customer service. They
                  don't even have a cancel option for customers after the item
                  is dispatched even if they take months to deliver a product.
                  The item that I ordered is out for delivery from past 12 days.
                  Customers don't deserve such a pathetic service and with such
                  services why would a customer return to shop from your app?</t>
  </si>
  <si>
    <t xml:space="preserve">Orders are accepted. But not everything is delivered. Refunds
                  are made for things which are not mentioned. App shows in
                  stock, but they say out of stock while packaging. If u want
                  missings things to be delivered, u got to order again and wait
                  for another week. Worst ever experience. I'm sure there'll be
                  a reply saying mail my experience.Though many have complained
                  the same issue</t>
  </si>
  <si>
    <t xml:space="preserve">Very bad service. I didn't get the product but in the app it
                  showed as delivered. I have called customer care for
                  approximately 20-30 times but till now issue is not resolved.
                  Everytime when I call, they just say to wait for some more
                  days. Very pathetic service and very irresponsible from their
                  side. Ola dash and swiggy instamart are much much better. It
                  took them around 6 days to deliver product after that too so
                  much problem they are creating for customers.</t>
  </si>
  <si>
    <t xml:space="preserve">After recent update very bad experience in placing the order.
                  I have added items in my cart but is not showing the list to
                  check and modify items. Secondly If i am trying to place order
                  then make payment button not active. Thirdly chat us option
                  not working and no reply. Fourthly if i am trying to log app
                  related complaint, order id is compulsory. Very useless.</t>
  </si>
  <si>
    <t xml:space="preserve">Firstly, the order got delayed then dispatched late! I never
                  received any order neither any call as such it happened after
                  dispatch of order. If it's your technical issue then too order
                  now can't be placed nor the refund can be done at the same
                  time! And, not even a single information was informed to me
                  regarding the late delivery or return! Now, the same product
                  isn't available and raised their prices. You should stop using
                  this scam of returning the order once placed by technical
                  issues reason</t>
  </si>
  <si>
    <t xml:space="preserve">Worst experience... delivery dates keep changing after i
                  receive msg that order is out for delivery and then next day
                  order is in returned status. customer service just say there
                  was a technical issue and can't explain anything and told to
                  reorder and even after that it's a repeat.i had to wait 1 week
                  and still not receive any items. ( 5 separate orders were
                  cancelled). don't be fooled cheap prices ....i would rather
                  pay little more in other app or go shopping myself and really
                  receive the items</t>
  </si>
  <si>
    <t xml:space="preserve">Too late delivery. It took 4 days to deliver the product. The
                  store is just 3 km far 4m my house. I won't recommend this
                  app. Although they give some offers and free delivery but
                  check the rate of the product on local store before ordering
                  the product. They wrote that the price of a shampoo is 265 and
                  they are giving in 251. But when I received the product its
                  price was 225. And there are many more issues...... From today
                  I won't order any product totally waste of time.</t>
  </si>
  <si>
    <t xml:space="preserve">Developers keep on deleting my comments and i will keep on
                  writing it. Now i understand why the rating is 4.3 instead of
                  1. Useless app and customer service. All my last 5 orders got
                  status as return even though they were never delivered. When
                  raised to customer service they say we can not help.you go
                  ahead replace the order again. Its lags, have sorting issues,
                  price on the screen is different and in basket it is higher.
                  The amount spend on adversting if invested in logistic things
                  may turnarnd</t>
  </si>
  <si>
    <t xml:space="preserve">All coupons are fake, no quick delivery and grocery prices are
                  high. Delivery is horrible and customer care is useless. App
                  is full of bugs and runs like a tortoise.</t>
  </si>
  <si>
    <t xml:space="preserve">Worst experience... When we order product shows in stock and
                  then once ordered they will cancel the products without
                  intimation. If there was no stock then why they have shown it.
                  This has happened multiple time. I am still waiting for refund
                  now for my cancelled product. Ridiculous. Edit - 2nd time
                  ordered some groceries again they cancelled 4 items....worst
                  experience</t>
  </si>
  <si>
    <t xml:space="preserve">Worst app for ordering grocery. The delivery guys never check
                  whether some items are missing in the delivery package. I
                  raised an ticket for missing items. The customer services has
                  not still bothered to check the complaint. If you get damaged
                  product or some ietms are missing, then you cannot do
                  anything. Bigbasket and grofers are much better than jiomart
                  app.</t>
  </si>
  <si>
    <t xml:space="preserve">Nice experience with your speed delivery, but some errors are
                  observed in the time of adding the iteam to the cart. it takes
                  soo much of time and same items was able to add only 4 times
                  its not good, their is a limit of adding the same item to the
                  cart want to tell u please increase the limit of adding the
                  same iteams to the cart.</t>
  </si>
  <si>
    <t xml:space="preserve">Worst ever experience with this app. All my orders got delayed
                  and my money got stucked in it,they were not even refunding
                  the amount quickly it's being months to have the refunds. And
                  it's being weeks and months to have the deliveries and the
                  customer support is also too worst. Not even resolving the
                  issues and keep on delaying days and weeks for the
                  resolutions. What I post the issue happened to me and what I
                  got the reply from the developer end... I haven't mentioned
                  any connectivity issue.</t>
  </si>
  <si>
    <t xml:space="preserve">Writing this review after having 4 bad experiences out of 5
                  orders that I placed in the last 2 weeks. 2 of my orders were
                  cancelled automatically by your end 3 days after placing the
                  orders. So I had to visit the nearest available store to get
                  stuff in the last moment. From the other 2 orders I received
                  only half of the items that I ordered each time that too the
                  delivery was late by 3 days. So again I had to rush to nearest
                  available store to fill in my supply. Uninstalling this app.
                  No use.</t>
  </si>
  <si>
    <t xml:space="preserve">Ordered groceries. One item missing. At the time of delivery,
                  delivery agent said that the item is missing and I will
                  automatically receive a refund for it. Waited for a few days
                  as there was no record of any refund. Contacted customer
                  service and I was told that the complaint window is now closed
                  as if it's my fault. They still have my money. . Edit: finally
                  got a call from them and got the refund. Therefore, changing
                  from 1 star to 3 star.</t>
  </si>
  <si>
    <t xml:space="preserve">Very poor app with least important to customer time. Many of
                  the times product will be returned or cancelled by them
                  directly, if you are out if stock or not capable to transport
                  that shipment then why are you showcasing it on your portal?
                  Also wrong product will be delivered and then delivery agent
                  request you to cancel the order. Such a waste of time and
                  money. Need lots of improvement from inventory management
                  point of view. Poor skilled workers in handling orders.</t>
  </si>
  <si>
    <t xml:space="preserve">The app is fine, but not the service. I'm experiencing
                  following issues since my first order. 1) Items are Missing
                  and whichever is present damaged or not good quality. 2) No
                  response from customer-care even I mailed and Whatsapped. 3)No
                  door step Delivery (I'm not in restricted area), we have to go
                  to the delivery vehicle. Also the dellivery guy is asking
                  extra tip. So much disappointed!!!</t>
  </si>
  <si>
    <t xml:space="preserve">Worst experience with delivery. It happened many times that I
                  order something, it gets out for delivery but the delivery
                  executive cancels the order by giving the reason that customer
                  refused to accept the order, without even making attempt to
                  deliver. Jiomart customer care doesn't help in this at all. I
                  saw that other customers also giving the same review. Jiomart
                  need to resolve this delivery issue on priority or it will
                  start losing customers one by one</t>
  </si>
  <si>
    <t xml:space="preserve">The app has the most useless customer service. I ordered twice
                  from the app and it shows the order was cancelled by delivery
                  partner. When I tried to reach out to chat support the chat
                  support dummies give me standard reply stating its a technical
                  issue without letting me know the exact reason for the
                  cancellation. They have zero idea of what the issue is and how
                  to solve it. I wonder why is there even a human chat assistant
                  if the want to give std dummy replies.</t>
  </si>
  <si>
    <t xml:space="preserve">Very bad experience each time. Never delivers on time. If
                  you're fortunate, delivery'll reach you after 15 days of
                  placing order. Old products are delivered to me. No timely
                  customer support. It usually takes more than 5 followups to
                  get any action started from JioMart team. Usually they'll
                  cancel delivery than resolving delivery cause Reg. App/Site -
                  site doesn't log complaints properly &amp; hv several basic
                  development glitches. a 'full stop' in issue title is
                  considered a special character</t>
  </si>
  <si>
    <t xml:space="preserve">Very bad experience.It donot dhie the search product and many
                  time when I order it show free delivery and then when I shaw
                  it there was delivery fee added and many time I cancel bcz of
                  that and jio mart just block my case on delivery options .Very
                  poor app now . I am using it from long time but now it becomes
                  a disgusting app. It returns my order auto mattically ðŸ˜¡</t>
  </si>
  <si>
    <t xml:space="preserve">The app may not be able to compete with Amazon or Flipkart in
                  terms of overall experience. However the products which are
                  marked as hyper local delivery are sourced from nearby
                  Reliance Smart Bazar and delivered within a few hours. Some of
                  the products are also available in good discounts which are
                  not available in any other popular apps. A decent app so far
                  but always there is a room for improvement in future.</t>
  </si>
  <si>
    <t xml:space="preserve">It's a good app but recently a lot of bugs has been faced. I
                  ordered something and received different product. Few days
                  back there is continuous delay in my order which results in
                  cancellation of order but for the same I have to send email to
                  them. There is no where in the app where I can raise such
                  complaint. Customer support no. available on the app is also
                  not working and now when I'm trying to cancel m order it is
                  showing error I tried multiple times but still nothing is
                  working.</t>
  </si>
  <si>
    <t xml:space="preserve">Very worst experience from jio mart. Whenever I order for
                  products, after receiving the invoice bill only it shows that
                  the product are not available, and for the last two orders my
                  products has been returned without delivery and there is no
                  reason stated for the return... I will not recommend anyone to
                  go for it.</t>
  </si>
  <si>
    <t xml:space="preserve">Very poor delivery app . When we order something it gets
                  returned at last minute. I talked to customer care they said
                  this is technical error then I placed order again. The same
                  issue wrises again . In 4 try I get my items but some items
                  are in defective conditions I complaint to customer care to
                  replace it they said it is replaced in 2 days but my item is
                  not replaced .</t>
  </si>
  <si>
    <t xml:space="preserve">Its a funny app and pathetic at same time. Funny : Delivery
                  date kept on changing.Despite internet connectivity shows no
                  connection. In the list of items ordered,no link to the
                  particular item if you want to reorder. Pathetic : Shows order
                  is delivered but may be on in some other world. You are
                  PATHETIC Jiomart*. *Luring with heavy discounts and then
                  cheating customers more heavily.ðŸ‘ŽðŸ‘ŽðŸ‘ŽðŸ‘Ž</t>
  </si>
  <si>
    <t xml:space="preserve">I had a terrible experience with JioMart. My order placed on
                  30th June was canceled without notice. I tried again on 7th
                  July, and after multiple delays, it was canceled on 11th July
                  without any intimation. This happened three times in half a
                  month. Their service is highly unreliable and frustrating.
                  Avoid using their app.</t>
  </si>
  <si>
    <t xml:space="preserve">Worst experience ever. I placed my grocery order fir 4 times
                  in a row and they cancelled every time with lame excuses even
                  after talking to their customer care service which is by the
                  far more than worst. They assure me that this time we are
                  going to deliver every time and after 4 th cancellation order
                  I just uninstalled the app. Don't fall for their deals. They
                  don't deliver. And one more thing god knows who gave them 4
                  stars their delivery partner is more powerful than other,they
                  cancel</t>
  </si>
  <si>
    <t xml:space="preserve">Worst experience shopping with this app. They will show the
                  product as available and after ordering they will cancel
                  themselves stating "Technical issue" or "unavailability" and
                  Post that your money would be stuck for 7-10days atleast. This
                  has happened with me 3 times and I have decided to never use
                  this app again âœ…</t>
  </si>
  <si>
    <t xml:space="preserve">I ordered groceries and the delivery agent kept cancelling
                  repeatedly without even calling me and when I call customer
                  service they told to reorder. I did it and guess how many
                  times it got cancelled without even getting a single call from
                  delivery agent..12 times i get otp and notification that
                  delivery agent is on the way but suddenly it's cancelled no
                  call from agent nothing every single time. No help from
                  costumer service even after I filed complaint to them. No
                  words. Nice prank. Superb.</t>
  </si>
  <si>
    <t xml:space="preserve">I have been using jiomart from last 1 year and I have never
                  faced any issue. The good thing about the platform is they
                  have sodexo payment option and discounts are better than
                  competitors. Recently two of my consecutive orders were
                  cancelled and One of the item I received was of inferior
                  quality. I felt frustrated and raised it with customer support
                  and they issued a refund. Also placed a fresh order and it was
                  delivered on the same day.</t>
  </si>
  <si>
    <t xml:space="preserve">Worst app for grocery, does not show any expiry date of the
                  product and always delivers wrong products, option to return
                  or exchange on the app is pathetic, no use of customer
                  service. Instead of customer convenience these people always
                  look at their own convenience, once purchased we should forget
                  about return or exchange.</t>
  </si>
  <si>
    <t xml:space="preserve">Please tell your delivery agents not to give phone numbers of
                  manager in charge of packing orders if item is missing. They
                  don't take action and by the time you contact support they
                  will tell you that order window closed without checking full
                  details of the issue. If item is missing in delivery, need to
                  directly contact support for refund instead of contacting
                  their irresponsible delivery persons. This happened with me
                  and I paid money for items which I did not get. Changing
                  ratings from 5 to 1</t>
  </si>
  <si>
    <t xml:space="preserve">I have been experiencing significant delays with the app's
                  performance, which affects the shopping process. Additionally,
                  I've noticed that the search engine optimization could be
                  improved to facilitate better user experience. Furthermore, on
                  several occasions, products have gone out of stock during the
                  ordering process, leading to inconvenience. I hope these
                  issues can be addressed promptly to enhance the overall
                  efficiency and reliability of the service.</t>
  </si>
  <si>
    <t xml:space="preserve">Don't buy in this app. It is completely fraud. They have
                  closed my ticket without resolution. The product was showing
                  hyper local delivery hence i ordered it. After the order the
                  delivery date was after ,2 days. The product which I ordered
                  was not delivered and refund is also not initiated. Very worst
                  app pls don't use it</t>
  </si>
  <si>
    <t xml:space="preserve">Worst experience in shopping online with JioMart . While
                  delivering the order the delivery person rudely said that do
                  not order such a lot of things. While placing second order at
                  first the order was accepted and after 2 days when i was
                  expecting the delivery it stated cancelled . The help desk is
                  of no help and all the answers are automated , cant evenlog in
                  our complains. Its better to choose some other shopping app
                  rather choosing this . Uninstalling the app now.</t>
  </si>
  <si>
    <t xml:space="preserve">If you love your sanity, never ever install this app. Firstly,
                  they take days to process orders, then their delivery partners
                  are not even aware of the products you've ordered and there's
                  always a miss in the products, then they say you should speak
                  to customer support, which is absolutely not supporting(lol).
                  Later, they won't give you your money back even after
                  thousands of calls and emails. Least bothered about customer's
                  money and looting them. I think this is how they're the
                  richest.</t>
  </si>
  <si>
    <t xml:space="preserve">They deliver the items on time or keep canceling your orders
                  if the location is far &amp; customer service is the worst I
                  ever seen and my orders were canceled till now 8 times,
                  customer service dont care about it &amp; they waste your time
                  and funny thing is that I still keep receiving messages to
                  place orders &amp; offers but order wont get delivered and I
                  complained many times but they wont even listen so I hope
                  either you remove this location from deliver option or learn
                  to deliver orders without return</t>
  </si>
  <si>
    <t xml:space="preserve">Almost 30% of prepaid products ordered are not delivered, but
                  are invoiced!!?? When questioned the outlet says it would be
                  credited back to original payment method. Why are they
                  invoicing for products which they are not delivering? Secondly
                  the products delivered in recent deliveries are close to
                  expiry date. I am frustrated so much that I am not going to
                  order any more from Jiomart. Period.</t>
  </si>
  <si>
    <t xml:space="preserve">The experience on this has been deteriorating day by day. I
                  ordered some stuff, but a couple of items were missing, so I
                  said to the delivery agent I'll only pay for the stuff I
                  recieved but he refused and said I'll get refund online. I
                  still haven't gotten any refund. Such a scam. It's happened to
                  me more than once.</t>
  </si>
  <si>
    <t xml:space="preserve">This has been the worst experience ever. I recently ordered a
                  product but received the wrong item. The delivery boy assured
                  me he would deliver the correct product within a few minutes.
                  It has now been two weeks, and despite calling him regularly
                  and having call recordings as proof, I have neither received
                  my product nor a refund. I contacted customer care multiple
                  times, but each complaint is closed without resolution. As a
                  regular customer, this has been the most frustrating and
                  disappointing</t>
  </si>
  <si>
    <t xml:space="preserve">I'm using this app since last 2 years and my experience is not
                  good yet, few products shown available and after order
                  placement you get to kmow that these products refund
                  initiated. The inventory management is poor in jio mart app if
                  you have shortage of few products then why it is showing
                  available in the app and this is not a new problem I m facimg
                  this from long time but app developer or inventory manager not
                  resolved this yet.</t>
  </si>
  <si>
    <t xml:space="preserve">Horrible experience. Unprofessional customer care. Doesn't
                  have basic communication skills. I have raised issue multiple
                  time about item worth 580 missing from my order. Its been more
                  than 2 weeks and issue is still not resolved. Never shopping
                  again from jio mart. Total fraud.</t>
  </si>
  <si>
    <t xml:space="preserve">Such a useless app. Requesting you all to be aware while
                  collecting your order. One or the other product is always
                  missing on every order. Only one help they can do that is
                  apologizing instead of improving their service. Don't even
                  provide you proper refund or replacement. This neusance should
                  be stopped. Only and only fooling people with their fake good
                  service statements. Very disappointed . Stop paying online. At
                  the end they blame you only. Think before ordering from here</t>
  </si>
  <si>
    <t xml:space="preserve">I placed an order on August 16th. That night, I received a
                  message saying the delivery was attempted but I was
                  unavailable, though I wasnâ€™t contacted. On Aug17th,morning
                  someone contacted and asked for an OTP, stating the order
                  would be delivered in the evening. I refused to provide the
                  OTP, and the caller canceled the order. When I contacted
                  customer support, they simply advised me to reorder. This
                  experience reflects poor service from JioMart and
                  unprofessional behavior from their employees.</t>
  </si>
  <si>
    <t xml:space="preserve">Very much disappointment regarding the recent experience I had
                  with your delivery service. My order was automatically
                  cancelled without any prior notice or explanation. This lack
                  of communication is unacceptable and has caused significant
                  inconvenience.</t>
  </si>
  <si>
    <t xml:space="preserve">It is such a fraud platform. I placed an order for a laundry
                  basket, and they have delivered a wrong product- a cloth
                  organiser and when I placed a return and refund request it has
                  been in process for past 1 week. I even received a message
                  from a delivery platform saying that your return will be
                  picked up but no initiative was made by them or even contact
                  and then by evening received another message saying the pickup
                  failed. I have raised request and contacted the customer care.
                  No help at all.</t>
  </si>
  <si>
    <t xml:space="preserve">They started OK but have had the worst downfall. Their
                  customer support is worthless, have no resolutions, they close
                  tickets without any resolution. They take forever to reply to
                  tickets and then say the windows for grievance is expired.
                  They can cancel your order at any point of time.</t>
  </si>
  <si>
    <t xml:space="preserve">It is the slowest app I have ever witnessed. "Bada Khiladi
                  App" as any one can bear witness to the fact of a huge
                  difference in rates of some products between searched price
                  and its price during placing of order from the cart. What a
                  smart app I have ever seen!</t>
  </si>
  <si>
    <t xml:space="preserve">It is very worst app and app function is very very slow . It
                  takes a whole day to order some products. If we have some
                  amount on jiomart wallet it can never be used again ,while
                  ordering there is no option of wallet .there is no refund and
                  products will be always unavailable</t>
  </si>
  <si>
    <t xml:space="preserve">As mentioned i had shared my order details &amp; concerns to
                  email id. I Received an auto generated email stating, I will
                  get an update within 24 hours. It's been more than 3 days, no
                  call or update from jio mart other than automatic email Orders
                  getting canceled very frequently that too after 10 days which
                  includes 2 delivery date change. No calls or update from
                  Jiomart support. Even if we try to reach out to them, they
                  give template answers. No use, pathetic service and one cannot
                  believe on them</t>
  </si>
  <si>
    <t xml:space="preserve">Very bad ui they send wrong items and when raised a complaint
                  with photos as proof they resolve the issue saying they
                  delivered the ordered item but which is not true. Raising a
                  concern, returning or exchanging option is not available they
                  are fraudsters the packing of items is like as if they are
                  giving it for free worst app never recommend it worst customer
                  support (mean no customer support)</t>
  </si>
  <si>
    <t xml:space="preserve">The delivery location tab with location icon is flickering
                  without loading any grocery item, the app is dead slow and
                  unresponsive. I hv very good internet connection. Always jio
                  side don't accept their fault instead they put the blame on
                  internet connectivity.</t>
  </si>
  <si>
    <t xml:space="preserve">It used to work good. I have been a customer since past 3
                  years but now its not taking any order for any product. Says
                  Hyperlocal delivery is not available at your location yet.
                  Tried calling customer care, contacted them via mail. But i
                  couldn't get any satisfactory answer as to why suddenly just
                  now my area is not getting serviced ? Very poor service. It
                  has shaken my "reliance" that i had put on reliance's jio
                  mart. Edit: your customer service team couldn't solve my
                  issue.</t>
  </si>
  <si>
    <t xml:space="preserve">Very bad experience. We had purchased Jiomart vouchers and
                  used it in their website for an order. That order got
                  cancelled at the time of delivery. As per their website, it's
                  mentioned that when order gets cancelled, they refund the
                  total voucher amt. They refunded only the order amt and kept
                  the remaining amt with them. The voucher was of 7500 and order
                  was for 450. They refunded only 450 and kept all remaining amt
                  with them saying that you can't use voucher multiple times.
                  Cheaters and scammer</t>
  </si>
  <si>
    <t xml:space="preserve">Very disappointed by the service. Wish there was a 0 star
                  option. Had requested an order with multiple items which was
                  supposed to ve received in 2 days but the delivery dates kept
                  changing daily for 5-6 days. Raised compalints via the
                  customer chats but got no response. Later when called customer
                  care they replied there is a technical fault and the order
                  will be cancelled and money would be reflected back in 7
                  working days. Would always prefer Dmart as I have never faced
                  such an issue ever</t>
  </si>
  <si>
    <t xml:space="preserve">Utterly disgusting app. Two times I placed an order next day
                  it shows unavailable. If items are not in stock do not show to
                  add na. And refund is after 3 or 4 working days neither we can
                  purchase outside as waiting for refund. Refund should be there
                  and then so that we should not suffer. Improvement is much
                  needed in app.</t>
  </si>
  <si>
    <t xml:space="preserve">I had been using jiomart for some time. But recently their
                  service has become too poor. They are repeatedly returning the
                  product on the delivery date. Not at all dependable.
                  Complained to the customer service too. But same issue. Giving
                  the rating 1 star only. I always used to give 5 stars. Not any
                  more.</t>
  </si>
  <si>
    <t xml:space="preserve">pathetic delivery service and on top of it customer experience
                  team doesn't have any information about the order once it is
                  under process. You might not even get the product and refund
                  policy also is too time consuming and frustrating App api is
                  too pathetic that they even don't have cancellation button. if
                  you have better services from Amazon or flipkart or swiggy or
                  zepto please try those out</t>
  </si>
  <si>
    <t xml:space="preserve">Worst experience I'm facing! On 29 June, I placed an order,
                  and they failed to deliver on the promised date. Then
                  according to the app they gave me the delivery date on 3rd of
                  July and till date there is no sign of delivery or any kind of
                  messages ensuring the delivery. And this is a PREPAID ORDER!
                  How long will I have to wait for this simple hyperlocal
                  delivery?? And there is no tele support on this app, so be
                  very cautious before placing any order. Pathetic service from
                  this renowned company.</t>
  </si>
  <si>
    <t xml:space="preserve">They delivered incorrect item.. For getting the correct item I
                  raised a ticket, a chat and a customer service call. They
                  close all the requested as resolved with a note (will check
                  and update )and dis not process replacement. They never
                  checked and updated. Never order in Jio Mart.</t>
  </si>
  <si>
    <t xml:space="preserve">Worst experience as it's 3rd time whenever I ordered they
                  canceled it and returned automatically, And some items is not
                  available not in stock they not mentioned in the list but when
                  we placed the order and after payment they said that it is not
                  available and automatic cancel the order ,no doubt money is
                  refund but still not worth it</t>
  </si>
  <si>
    <t xml:space="preserve">Placed an order but then realised ordered it at a wrong
                  address... Tried cancelling it within less than a minute...
                  But unable to do so.. because the order is under process.. it
                  is not an instant delivery app... That they cant cancel an
                  order withinh 1 minute also</t>
  </si>
  <si>
    <t xml:space="preserve">Very bad experience. Still my refund amount has not initiated.
                  When I search for a product it is showing they will deliver
                  and later on they canceled. Very pathetic service. Will
                  recommend not to buy any product from this jio mart online.</t>
  </si>
  <si>
    <t xml:space="preserve">Pathetic delivery service. They keep cancelling the order even
                  though the address is correct. They bill for items that is not
                  being delivered. Customer care will inform theybwill refund
                  the amount .. but they never do.. just have keep calling them.
                  Worst service ever.</t>
  </si>
  <si>
    <t xml:space="preserve">Most worst shopping app of all time I could have selected zero
                  if I could. They never deliver any product, delivery dates
                  keep on changing but ultimately you have to cancel the order.
                  Tried many time to talk to person n let them know why they are
                  still doing work if they don't even want to confirm the order.</t>
  </si>
  <si>
    <t xml:space="preserve">Worst app ever, the get automatically cancelled/returned and
                  the customer care is saying due to technical issue this
                  happens. The team are not even open to feedback that it should
                  not happen to other orders. You guys needs to be customer
                  centric atleast if your app didn't worked correctly.</t>
  </si>
  <si>
    <t xml:space="preserve">One of the worst and pathetic experience ordering on jio mart,
                  never order on this.... 1)the delivery timelines are far
                  DELAYED than shown even for grocery orders... everyday the
                  delivery timeline gets incremented to the next date... The
                  customer support is also not useful at all.. 2)orders can't be
                  cancelled once placed. Not like Amazon and Flipkart. 3) none
                  of the coupons shown in the app worked even though my cart
                  value is greater than the offer value. 4) irresponsive app
                  UI/UX design...</t>
  </si>
  <si>
    <t xml:space="preserve">I am a very old customer of Reliance &amp; Jio mart online
                  shopping since last 10 years. But from last 6 to 8 months
                  their irregularities started. Some of their delivery in charge
                  people are creating unnecessary problems. Their old delivery
                  people were very very good at their work. That problematic
                  people want to degrade jiomart. Shame on them. Just throw them
                  out of jiomart. I have that record of those people are
                  creating unnecessary problems. Pls take care of your online
                  shopping's promotions.</t>
  </si>
  <si>
    <t xml:space="preserve">Every time I place order on Jio Mart, it is experiencing hell
                  as none of the order is executed without any issues, My order
                  was supposed to be delivered on 7th July whisk is not
                  delivered as usual delayed and revised date was confirmed 9th
                  July. I have waited the whole day for delivery and now on 10th
                  July the status is showing as returned. When I have not
                  received the products how can I return the same. Pl. check and
                  confirm why my order is returned without any info or call.</t>
  </si>
  <si>
    <t xml:space="preserve">Very very worst experience ever don't need to tell about
                  customer service they don't respond at all. The product will
                  always remain unavailable or if the product is available then
                  it won't be available for the pincod. App function is so slow
                  that it takes whole day to order few things. There is no
                  options for refund the money will go to the wallet and while
                  ordering anything we can't use that wallet. All the money will
                  be gone , no customer service will be there. I have lost my
                  money .</t>
  </si>
  <si>
    <t xml:space="preserve">Very bad services! Order was getting cancelled without
                  notification without any calls. They are not returning the
                  money nor they are delivering the the products. I recommend
                  not using this app for orders. You will get stuck like me!!</t>
  </si>
  <si>
    <t xml:space="preserve">Once I ordered something for my daily use,and the delivery got
                  cancelled without any prior notice and not even messaged about
                  cancellation.I opened the app to track order then only I found
                  out that the order is cancelled,contacted customer care and
                  they said about some technical issues and act like they don't
                  care at all</t>
  </si>
  <si>
    <t xml:space="preserve">Worst app I had a very disappointing experience with this app.
                  I have 75 in my wallet, and I just wanted to use it, but the
                  option not available. Initially, it disappeared. I emailed
                  Zepto to resolve this issue, but they were not supportive and
                  didn't respond at all. This has been extremely frustrating.and
                  also not a provide call centre</t>
  </si>
  <si>
    <t xml:space="preserve">zepto</t>
  </si>
  <si>
    <t xml:space="preserve">I have downloaded this app first time, my experience is not
                  good. Although, I don't have issues with delivery timing.
                  There are lot of things which are missing in this app. As soon
                  as I selected all the items and proceed for payment, the order
                  got confirmed in seconds without payment (I didn't selected
                  for cash on delivery or anything). Then there is no back
                  option, no chat option with the delivery person. Delivery
                  charges was levied, I wanted to check the bifurcation but
                  order got confirmed.</t>
  </si>
  <si>
    <t xml:space="preserve">Found it super useful when I was using it for the first time
                  ... Every item's price is much higher than the original
                  (except when you use the super saver ). Zepto cas disabled for
                  this account issues and cash not available issues are very
                  much frustrating . Zepto super saver gives drastic limit and
                  set a boud which we have to cross to order something. For
                  example, I need to buy items worth 699 to order something in
                  ordinary price or pay the highest price of that items. Hope it
                  was a REVIEW</t>
  </si>
  <si>
    <t xml:space="preserve">Waste app had a very disappointing experience with this app. I
                  have 100 in my wallet, and I just wanted to use it, but the
                  option not available. Initially, it disappeared. I emailed
                  Zepto to resolve this issue, but they were not supportive and
                  didn't respond at all. This has been extremely frustrating.and
                  also not a provide call centre no. this very disappoint</t>
  </si>
  <si>
    <t xml:space="preserve">had a very disappointing experience with this app. I have 125
                  in my wallet, and I just wanted to use it, but the option not
                  available. Initially, it disappeared. I emailed Zepto to
                  resolve this issue, but they were not supportive and didn't
                  respond at all. This has been extremely frustrating.and also
                  not a provide call centre no. this very disappoint
                  .......ðŸ˜¡ðŸ˜¡ðŸ˜¡ðŸ˜¡</t>
  </si>
  <si>
    <t xml:space="preserve">had a very disappointing experience with this app. I have 125
                  in my wallet, and I just wanted to use it, but the option not
                  available. Initially, it disappeared. I emailed Zepto to
                  resolve this issue, but they were not supportive and didn't
                  respond at all. This has been extremely frustrating.and also
                  not a provide call centre no. this very
                  disappoint.....ðŸ˜¡ðŸ˜¡ðŸ˜¡ðŸ˜¡ðŸ˜¡ðŸ˜¡</t>
  </si>
  <si>
    <t xml:space="preserve">I had a very disappointing experience with this app. I have
                  150 in my wallet, and I just wanted to use it, but the option
                  is unavailable. Initially, it disappeared. I emailed Zepto to
                  resolve this issue, but they were not supportive and didn't
                  respond at all. This has been extremely frustrating and call
                  centre no. is also not provided this is very disappointing.
                  One customer care told me this zepto cash valid for next order
                  Then I had ordered some product and delivered then zepto cash
                  expired..</t>
  </si>
  <si>
    <t xml:space="preserve">The app is fine. But their payment or ordering option is
                  terrible. I pressed on the order option by mistake, there was
                  no two step confirmation like in other apps, and my order was
                  confirmed. There wasn't any way to cancel my order or get
                  through customer service either. I had zepto cash, which I was
                  unable to use too. Please look into two step confirmation for
                  orders, so that other people don't make the same mistake.</t>
  </si>
  <si>
    <t xml:space="preserve">I recently ordered items on the Zepto app, and during
                  checkout, it showed an option to apply a "Zepto Cash Rs. 100"
                  coupon. I clicked on it expecting the discount to be applied,
                  but it did not reflect on the final bill. This is misleading
                  and creates a poor user experience. If the coupon cannot be
                  applied, it should not be shown as an option. Kindly address
                  this issue to maintain transparency and improve customer
                  trust. Looking forward to a resolution.</t>
  </si>
  <si>
    <t xml:space="preserve">Won't recommend. They are very cunning. I paid for pass. And
                  they didn't show the surge fee in the payment page. Once I
                  clicked pay on delivery, I got charged a 30 ruppees, even
                  after having a pass. Useless... I'm updating my review. It's
                  horrible. There's no customer service. The options in the
                  customer complaint makes it hard to reach out to the agent.</t>
  </si>
  <si>
    <t xml:space="preserve">I had a very disappointing experience with this app. I have
                  125 in my wallet, and I just wanted to use it, but the option
                  not available. Initially, it disappeared. I emailed Zepto to
                  resolve this issue, but they were not supportive and didn't
                  respond at all. This has been extremely frustrating.and also
                  not a provide call centre no. this very
                  disappoint.........ðŸ˜¡ðŸ˜¡ðŸ˜¡ resolve it</t>
  </si>
  <si>
    <t xml:space="preserve">had a very disappointing experience with this app. I have 125
                  in my wallet, and I just wanted to use it, but the option not
                  available. Initially, it disappeared.I emailed Zepto to
                  resolve this issue, but they were not supportive and didn't
                  respond at all. This has been extremely frustrating.and also
                  not a provide call centre no. this very disappoint....</t>
  </si>
  <si>
    <t xml:space="preserve">I had a terrible experience with this app. It is full of bugs.
                  They offer Zepto Cash, but when you try to place an order
                  using it, the cash gets deducted, yet the order doesn't go
                  through. To make matters worse, the "Something went wrong"
                  screen appears frequently. On top of that, they don't have
                  direct customer care support, making it nearly impossible to
                  resolve issues. Overall, the worst experience I've had with an
                  app.</t>
  </si>
  <si>
    <t xml:space="preserve">I had a very disappointing experience with this app. I have
                  125 in my wallet, and I just wanted to use it, but the option
                  not available. Initially, it disappeared. I emailed Zepto to
                  resolve this issue, but they were not supportive and didn't
                  respond at all. This has been extremely frustrating.and also
                  not a provide call centre no. this very disappoint.....ðŸ˜¡ðŸ˜¤</t>
  </si>
  <si>
    <t xml:space="preserve">For the past three days my location is unserviceable citing "
                  traffic congestion" at all hours of the day. I've shared
                  multiple messages with your team and have heard nothing other
                  than the typical templated messages. I got a call, once, it
                  went on for 4 rings and by the time I could receive it, it
                  went disconnected. Pretty clear the only reason you'd make
                  that call is to have to on record and show that the customer
                  wasn't available to communicate. It's just sad.</t>
  </si>
  <si>
    <t xml:space="preserve">Delivery is quick and reliable, but pricing lacks
                  transparency. Item prices are shown without GST, making them
                  seem cheaper than competitors. At checkout, GST is added
                  silently to the total, but individual item GST isnâ€™t shown.
                  This makes it hard to know the exact price of each item unless
                  added separately. If you donâ€™t manually sum up the prices, you
                  wonâ€™t realize the extra GST being charged. This lack of
                  transparency in pricing is disappointing.Clearer pricing is
                  essential to build trust.</t>
  </si>
  <si>
    <t xml:space="preserve">I am extremely disappointed with the Zepto app. The wallet
                  feature is completely unreliable - I have money in my wallet
                  that I am unable to use, and this has caused me a lot of
                  inconvenience. I reached out to the Zepto team via email to
                  resolve the issue, but they have been unresponsive and
                  unhelpful. It is frustrating to deal with an app that doesn't
                  prioritize customer support. I would not recommend this app
                  until these issues are resolved. Avoid until they improve
                  their service!</t>
  </si>
  <si>
    <t xml:space="preserve">I am extremely disappointed with the zepto app. The wallet
                  feature is complete unreliable. I have money in my wallet that
                  I am unable to use, and this has caused me a lot of
                  inconvenience. I reached out the zepto team via email to
                  resolve the issue, but they have been unresponsive and
                  unhelpful. I would not recommened this app until this issue
                  resolved. Avoid until they improve their service. They have no
                  any customers service number!</t>
  </si>
  <si>
    <t xml:space="preserve">Waste app had a very disappointing experience with this app. I
                  have 150 in my wallet, and I just wanted to use it but the
                  option not available. Initially, it disappeared emailed Zepto
                  to resolve this issue, but they were not supportive and didn't
                  respond at all. This has been extremely frustrating and also
                  not a provide call cente no. this very disappoint</t>
  </si>
  <si>
    <t xml:space="preserve">The most disappointing quick commerce app. Gave me some amount
                  in the wallet when I logged in first &amp; then say you cannot
                  use it at your location. All my friends are able to use it but
                  I am not. Raised the concern many times but still no progress.
                  Also, so many times the home page of the app shows "Out of
                  service. try again after 15 minutes". So many apps already
                  available &amp; you come into a new market with such services.
                  V baaaaddd service. Uninstalled right away.</t>
  </si>
  <si>
    <t xml:space="preserve">Zepto gave me a different level of disappointment... Inspite
                  of having the zepto pass, the free delivery option isn't
                  automatically applied like on other the apps such as swiggy or
                  zomato... You have to manually apply the free delivery option
                  which is often missed because it's hidden inside the "To Pay"
                  bill summary... Very unethical of them to use this to their
                  advantage as many people aren't aware that they have to
                  manually apply for the free delivery...</t>
  </si>
  <si>
    <t xml:space="preserve">The app is so bad. First, the UI is really bad compared to
                  other applications on the market. Second, the whole "10-Minute
                  grocery" is a scam, it takes so long for the order to be
                  "packed" even when its a bottled beverage. Third, getting an
                  issue resolved is just not possible as there's no option to
                  talk with an assistant and the chatbot keeps on repeating the
                  same thing over and over again. Its better to stick with
                  Blinkit and Swiggy Instamart.</t>
  </si>
  <si>
    <t xml:space="preserve">am extremely disappointed with the Zepto app. The wallet
                  feature is completely unreliable - I have money in my wallet
                  that I am unable to use, and this has caused me a lot of
                  inconvenience. I reached out to the Zepto team via email to
                  resolve the issue, but they have been unresponsive and
                  unhelpful. It is frustrating to deal with an app that doesn't
                  prioritize customer support. I would not recommend this app
                  until these issues are resolved.Avoid until they improve their
                  service!</t>
  </si>
  <si>
    <t xml:space="preserve">Extremely disappointed on this app.... poor customer service,
                  frequent delivery issues like missing items or late
                  deliveries, unresponsive support, difficulty resolving order
                  problems, and sometimes even issues with incorrect charges or
                  payments not reflecting properly, leading to a generally
                  unreliable and frustrating shopping experience!!!!!!!! Had a
                  terrible experience with Zepto, ordered groceries that never
                  arrived, customer service was unhelpful ................ So
                  disgusting!!!!!!!!!!</t>
  </si>
  <si>
    <t xml:space="preserve">1/11/24 I've been using the Zepto app for a while, and
                  overall, I like the convenience it offers. However, I've run
                  into a recurring issue when trying to use my Zepto Wallet
                  cash. Every time I go to place an order, I don't get an option
                  to use my wallet balance at checkout. This has been
                  frustrating, as I'd like to utilize the funds in my wallet. I
                  hope this issue gets resolved soon so I can enjoy a smoother
                  experience on the app. not able to use the wallet amount, this
                  is really irritating.</t>
  </si>
  <si>
    <t xml:space="preserve">I had a very disappointing experience with this app. I have
                  â‚¹100 in my wallet, and I just wanted to use it, but the option
                  to do so is no longer available. Initially, the option was
                  visible, but after a few days, it disappeared. I emailed Zepto
                  to resolve this issue, but they were not supportive and didnâ€™t
                  respond at all. This has been extremely frustrating.ðŸ˜¡ðŸ˜¡ðŸ˜¡ðŸ˜¡ðŸ˜¡</t>
  </si>
  <si>
    <t xml:space="preserve">Very Disappointing Experience I recently had a terrible
                  experience with Zepto. Once you place an order, even if itâ€™s
                  by mistake, thereâ€™s absolutely no way to cancel it. The app
                  doesn't provide any option to cancel or modify the order, and
                  there's no way to chat with customer service eitherâ€”no chat
                  option at all. This is incredibly frustrating and feels like a
                  major flaw in the app. I won't be using it again, as the lack
                  of flexibility and support makes it unreliable.</t>
  </si>
  <si>
    <t xml:space="preserve">Delivery agent are pathetic and most of their products are
                  expired, there's no option to return or cancel, just ended up
                  throwing out. The best part is there is no customer support,
                  I'm mean the chat option is the only option available and we
                  need to ensure the problem we have is only from the list they
                  decide else there is no option at all to get support. Honest
                  recommendation is to avoid downloading the app!!</t>
  </si>
  <si>
    <t xml:space="preserve">I have a 5 mobile phone and I already login all phone. I had a
                  very disappointing experience in this app. Have 50 rupees
                  voucher in 4 mobile phone in zepto wallet, and I just want to
                  use it, but the option not available. Initially, it
                  disappeared. I emailed Zepto to resolve this issue, but they
                  were not supportive and didn't respond to all. This has been
                  extremely frustrating and also not a provide call centre no.
                  This very disappointing.</t>
  </si>
  <si>
    <t xml:space="preserve">Dissatisfied with Zepto's Free Wallet Cash Availability I
                  recently used Zepto and was really excited to take advantage
                  of the "free wallet cash" offer, but my experience was
                  frustrating. I had accumulated a decent amount of wallet cash,
                  only to find that when I tried to use it, the system kept
                  showing it as "unavailable." This issue persisted even though
                  I followed all the instructions and ensured my account was in
                  good standing. I tried to reach out to customer support, but
                  they didn't respon</t>
  </si>
  <si>
    <t xml:space="preserve">21/11/24 I've been using the Zepto app for a while, and
                  overall, I like the convenience it offers. However, I've run
                  into a recurring issue when trying to use my Zepto Wallet
                  cash. Every time I go to place an order, I don't get an option
                  to use my wallet balance at checkout. This has been
                  frustrating, as I'd like to utilize the funds in my wallet. I
                  hope this issue gets resolved soon so I can enjoy a smoother
                  experience on the app. not able to use the wallet amount, this
                  is really irritating.</t>
  </si>
  <si>
    <t xml:space="preserve">I recently came across Zeptoâ€™s ads promising 10-minute
                  delivery, which piqued my interest. Excited, I downloaded the
                  app to try it out, only to find that their service isnâ€™t
                  available in my location. Itâ€™s frustrating to see so many
                  posters advertising their quick delivery service when, in
                  reality, itâ€™s inaccessible to many. If they can't deliver in
                  certain areas, it would be more transparent to avoid such
                  advertising. Overall, my experience was disappointing.</t>
  </si>
  <si>
    <t xml:space="preserve">I don't review very often but I have to warn about zepto , 1.
                  They are never on time 2. They hire Delivery partners without
                  basic understanding of google maps 3. Customer support is
                  almost non existent and even if you get through, they'll be of
                  no help. The only reason I can think of people using it is
                  their discounted price. Other then that , service quality is
                  below it's competitors. Don't spend money on the pass because
                  it's useless.Randomly stops working</t>
  </si>
  <si>
    <t xml:space="preserve">My experience has been nothing short of frustrating. First,
                  the delivery times are highly unreliableâ€”what's the point of
                  promising "10-minute delivery" when it always takes 30 minutes
                  or more? On top of that, the items I ordered were often out of
                  stock or substituted without any prior notice, which was
                  inconvenient. The app itself is glitchy and crashes
                  frequently, making it hard to track my order. Customer service
                  was also not helpful; they didnâ€™t seem interested in resolving
                  my issues.</t>
  </si>
  <si>
    <t xml:space="preserve">Pathetic app. You add your entire list of 10+ items by
                  choosing each one and at the time of payment it shows cart
                  uuserviceable. They could have stopped us at the time of
                  adding items. It's frustrating to order everything again on
                  other app like blinkit or instamart. This has happened again
                  and again that's why I am wasting my time to give this
                  feedback</t>
  </si>
  <si>
    <t xml:space="preserve">Can't use the app in first place. It shows my place address in
                  its address suggestion bar and then it says 'Location not
                  serviceable'. Despite it being in an accessable and good
                  locality, if they have such a lack of reach, then its not my
                  fault. How am I supposed to avail service if such issues come
                  at the initial stage itself. One of my friends also
                  experienced the same thing.</t>
  </si>
  <si>
    <t xml:space="preserve">10/11/24 I've been using the Zepto app for a while, and
                  overall, I like the convenience it offers. However, I've run
                  into a recurring issue when trying to use my Zepto Wallet
                  cash. Every time I go to place an order, I don't get an option
                  to use my wallet balance at checkout. This has been
                  frustrating, as I'd like to utilize the funds in my wallet. I
                  hope this issue gets resolved soon so I can enjoy a smoother
                  experience on the app. not able to use the wallet amount, this
                  is really irritating.</t>
  </si>
  <si>
    <t xml:space="preserve">Pathetic experience with the app. First of all the delivery
                  persons find it extremely difficult to find the locations and
                  also to take calls as they keep on disconnecting it. There is
                  no proper customer care service as well. This app shows that
                  your order is delivered even before you get it . Worst
                  experience</t>
  </si>
  <si>
    <t xml:space="preserve">Worst app, full of bugs, delivery charges are too high and
                  even the free cash that they are giving also not able to use
                  because of the bugs. No proper customer support service. I'm
                  too disappointed with this app. But one thing is good fast
                  delivery to the door steps. Now the free cash is showing as
                  unavailable even though I have them in my wallet and they are
                  getting expired automatically. Then what is use of giving free
                  cash to the customers. Is this a bug or a strategy to cheat
                  the customers</t>
  </si>
  <si>
    <t xml:space="preserve">worst customer support. firstly you dont have any way or
                  option to contact support through the app, had to search up
                  their mail, and even through that, they give a really
                  unfulfilled response. opened a ticket twice for the same
                  concern, but only got disappointed. the support also misleads
                  you. they asked me to place 2 orders to be able to use my
                  zepto cash, but as soon as i placed my orders, they made thr
                  cash expire and wont do anything about it. dont trust this
                  company!!</t>
  </si>
  <si>
    <t xml:space="preserve">I have used the Zepto app twice, and unfortunately, both times
                  were bad user experiences. Despite having a wallet balance of
                  â‚¹135, the app didn't allow me to use it. I ended up having to
                  pay via UPI and card instead, which was both inconvenient and
                  frustrating. It's disappointing that such a fundamental
                  feature isn't functioning properly, and it really affected my
                  trust in the app. Zepto needs to address these issues and
                  improve its payment system. Until then, I can't recommend it
                  to others.</t>
  </si>
  <si>
    <t xml:space="preserve">Hi I am using zepto since long time the app is good but
                  unfortunately I have to say i had a very disappointing
                  experience with this app recently. I have 100rs in my wallet,
                  and I just wanted to use it, but it's showing unavailable. I
                  also emailed Zepto to resolve this issue, but they were not
                  supportive and didn't respond at all. This has been extremely
                  frustrating solve this problem as soon as possible otherwise I
                  have to uninstall this app.!!</t>
  </si>
  <si>
    <t xml:space="preserve">Waste application to use, other apps are better. Other apps
                  will provide you the customer care service but there is no
                  option in the zepto. I had a very disappointing experience
                  with this app. I have 110 in my wallet, and I just wanted to
                  use it, but the option says not available. I emailed Zepto to
                  resolve this issue, but they were not supportive and didn't
                  respond at all. Such a worst application to use. Even though
                  if you got the customer care number, there is no response from
                  the other end.</t>
  </si>
  <si>
    <t xml:space="preserve">I had very disappointing experience with this app. I have 100
                  rupees in my wallet and I just want to use it, but the option
                  is not available. initially, it disappeared. I emailed to
                  Zeptoto resolve this issue, but they were not supportive and
                  didn't respond at all. This has been extremely frustrating and
                  also not a provide call centre no. This is very disappointing
                  ....ðŸ˜¡ðŸ˜¡ðŸ˜¡ðŸ˜¡</t>
  </si>
  <si>
    <t xml:space="preserve">The support system of the application is so pathetic. I have
                  tried reaching out multiple times through the their customer
                  care and also through the assisted bot but can't establish any
                  contact. Though it is shown that the amount has been refunded,
                  I have not yet received the refunded amount and it seems like
                  their is no way I could contact them. This is so
                  unsatisfactory and worthless.</t>
  </si>
  <si>
    <t xml:space="preserve">Everything is good about this app except one, and that is the
                  missing of order cancellation option. This is a big big flaw
                  of this app which i think must be included because sometimes
                  it happens that an order has been placed by mistake or
                  mistouch of an option. So i would request the authoriry to
                  consider on this and include a short time cancellation option.</t>
  </si>
  <si>
    <t xml:space="preserve">I downloaded the Zepto app because I heard about the cash
                  balance offer for new users after signup. However, despite
                  completing the process, I did not receive any cash balance.
                  This is misleading and disappointing. I even tried reaching
                  out for support, but no resolution was provided. If this is
                  how new users are treated, I don't see much reliability in the
                  service. Please fix this issue or clarify your promotional
                  offer</t>
  </si>
  <si>
    <t xml:space="preserve">The app was working really great but yesterday I payed for an
                  order and the payment was done but the order was not placed.
                  Soon after the order was cancelled and I didn't got any
                  refunds. I'll make sure to let everyone know this so that no
                  other person gets scammed. Also, there is no contact number
                  for customer care or anything except a mere email id. That too
                  was unresponsive.</t>
  </si>
  <si>
    <t xml:space="preserve">Frustrating ExperienceðŸ˜¤ðŸ˜¡ðŸ˜¡ðŸ˜¡ The Zepto app is terrible to
                  use. It crashes often, the interface is clunky, and the search
                  function doesnâ€™t work properly. On top of that, it canâ€™t track
                  my GPS correctly, leading to delivery issues. The app is slow
                  and far from user-friendly. It needs a major update to fix
                  these problems. Such a nonsense app I have ever used ðŸ˜ </t>
  </si>
  <si>
    <t xml:space="preserve">This app is very disappointing. First of all, it delivers to
                  the wrong location, which is extremely frustrating. Secondly,
                  the Zepto Cash is always unavailable to use. And if you want
                  to cancel an order, they never allow it. Overall, a terrible
                  experience!</t>
  </si>
  <si>
    <t xml:space="preserve">The app gives you zepto cash when you login but doesn't allow
                  it to use it on your first order. App also promises you half
                  kg onions for only 1rs as a trial pack but doesn't add it to
                  cart. If you want to reach out to customer service you ll have
                  to place an order and if you still have the mind to place your
                  first order and talk to an agent, they are so not ready to do
                  anything. Prices are also higher as compared to other instant
                  apps.</t>
  </si>
  <si>
    <t xml:space="preserve">I have had a terrible experience with customer support and
                  delivery services. The delivery personnel often cancel orders
                  if it is not convenient for them, and the app fails to notify
                  customers about these cancellations. When I report the issue,
                  the customer support team responds with generic, pre-recorded
                  messages instead of addressing my concerns. Overall, it's a
                  frustrating and unsatisfactory experience.</t>
  </si>
  <si>
    <t xml:space="preserve">At first they will credit 25/50 Cash in your wallet for
                  promotion which is usable in next order. But they lock your
                  wallet. If you want to use it you have to orders items zepto.
                  Even after few orders the money in the wallet is not usable
                  and will be expired after first order. I complained many
                  times, they called me and said that it will be activated in
                  few hours but in practice it's not activate even after days.
                  Some times they don't answer.</t>
  </si>
  <si>
    <t xml:space="preserve">The worst delivery app ever, everytime I order something goes
                  wrong. Sending different products than what I ordered or
                  having payments fail twice in a day. Never had that happen
                  with Instamart or Blinkit. With other apps if they do mess up
                  they give a refund, here they just send whatever they want.</t>
  </si>
  <si>
    <t xml:space="preserve">The worst customer service. Waited one hour to get a refund
                  for an order not delivered, and they refunded the wrong
                  amount, had to wait more time and still unresolved. Items I
                  wanted had gone out of stock and refund was still not properly
                  processed, wrong amount! Service associate was clueless. And
                  the fake reviews on the playstore are just funny to read
                  through.</t>
  </si>
  <si>
    <t xml:space="preserve">The worst app for help and customer support issues. Responded
                  very lately. Be careful, there's a catch with the bill. Zepto
                  also levies packing charges, even for packed foods and it does
                  not reflect in bill and you will get to know only if you see
                  invoice. Always check for discrepancies in bill total and
                  value of individual goods.</t>
  </si>
  <si>
    <t xml:space="preserve">This app has the WORST customer service Iâ€™ve ever experienced!
                  Theyâ€™re only interested in you until you make a purchase, but
                  the moment you face an issue, they completely disappear. No
                  callbacks, no effort to respond to messagesâ€”itâ€™s absolutely
                  unacceptable and infuriating! This kind of service is beyond
                  frustrating.</t>
  </si>
  <si>
    <t xml:space="preserve">Zepto has been an awful experience every time. There's no
                  customer support, and once you place an order, you're stuck
                  with itâ€”even if something goes wrong or an item is added
                  incorrectly. You can't even cancel immediately after ordering.
                  I've had multiple bad experiences, and honestly, Iâ€™d recommend
                  using any other service instead.</t>
  </si>
  <si>
    <t xml:space="preserve">I am extremely disappointed with my experience using the Zepto
                  app. ðŸ˜¤ After requesting a refund for my recent order, I have
                  yet to receive it despite multiple follow-ups.ðŸ˜®â€ðŸ’¨ Customer
                  support has been unresponsive and unhelpful, leaving me
                  frustrated and out of pocket. I expected better service and
                  reliability from Zepto. I would not recommend this app to
                  others until they improve their refund and support processes.</t>
  </si>
  <si>
    <t xml:space="preserve">Extremely Disappointing ExperienceðŸ˜¡ðŸ˜¡ I had the worst
                  experience with Zepto. I placed an order, and the app showed
                  that it was "delivered." However, the delivery partner never
                  actually delivered my order. To make things worse, customer
                  support didnâ€™t even bother to call or address my issue
                  properly. This is completely unacceptable. Such poor service
                  and lack of accountability make me question the reliability of
                  this platform. I do not recommend Zepto to anyone..</t>
  </si>
  <si>
    <t xml:space="preserve">"Zepto is a lifesaver! The 10-minute delivery is no jokeâ€”itâ€™s
                  incredibly fast and super reliable. I ordered groceries, and
                  they arrived fresh and perfectly packed in record time. The
                  app is easy to use, with a wide range of products and
                  reasonable prices. This service is perfect for last-minute
                  needs or when you donâ€™t want to step out. Highly recommend
                  it!"</t>
  </si>
  <si>
    <t xml:space="preserve">Extremely disappointed with Zeptoâ€™s service. I made a payment,
                  but my order was stuck in the "processing" status for over 25
                  minutes and later canceled without any explanation. This is
                  unacceptable and shows a lack of professionalism. I wonâ€™t be
                  using Zepto again and would advise others to think twice
                  before trusting this app.</t>
  </si>
  <si>
    <t xml:space="preserve">Worst experience with the app. Worst customer.er service. My
                  last three orders were delivered incomplete, and when I asked
                  for refund, no response. No way to contact customer support,
                  only robot responses. They faiked to deliver my latest order
                  and then cancel by themselves and also the refunded amount is
                  less that of what I paid. Still no response yet.</t>
  </si>
  <si>
    <t xml:space="preserve">Zepto is an excellent app for quick and efficient grocery
                  delivery. Its user-friendly interface makes shopping seamless,
                  offering a wide range of products at competitive prices. The
                  standout feature is its ultra-fast delivery, often within
                  minutes, which is perfect for last-minute needs. The app also
                  provides timely updates, reliable service, and multiple
                  payment options, ensuring a hassle-free experience. Highly
                  recommended for anyone looking for convenience and speed in
                  grocery shopping*</t>
  </si>
  <si>
    <t xml:space="preserve">I have added money to zepto wallet and while placing the
                  order, wallet was unavailable and when I contact customer
                  support they have asked to place multiple successful orders to
                  get it activated till then wallet won't be activated. I that
                  case why did they allow add money to zepto wallet?? Contacted
                  support team,it's been 10 days got over still not received. 1.
                  the functionality of making wallet unavailable is not customer
                  friendly. 2. If required don't allow add money to wallet.</t>
  </si>
  <si>
    <t xml:space="preserve">I had a bad experience with Zepto twice. They say it is 5 mins
                  delivery app but it will not be delivered in 5 mins. Sometimes
                  without delivering the items they update the status the order
                  status as delivered. It's happened to me. We will not get
                  proper response response from customer care also.</t>
  </si>
  <si>
    <t xml:space="preserve">I have a very bad experience with zepto platform your customer
                  support is very bad there is no option in app to get touch
                  with customer support like other marketing apps, you have
                  given an option to write on email but if customer send you a
                  mail to resolve a query, you doesn't care about it &amp; no
                  response.. You should improve your service first..</t>
  </si>
  <si>
    <t xml:space="preserve">Was using for a long time had a good experience but lately
                  having a lot of trouble. My order showed delivered but did not
                  receive my order and made me wait for 2 hours saying the order
                  would come and then had to request them multiple times to get
                  a refund. Also my money is stuck for past 10 days no response
                  from their end. Just prolonging the process. Only leading to
                  loosing trust from the customer.</t>
  </si>
  <si>
    <t xml:space="preserve">I have purchased many items yesterday out of which one
                  electronic items I have received defective. After that I have
                  raised request for return. That items were successfully picked
                  up by delivery boy but in app why it is showing return failed?
                  Also I haven't received refund amount for that returned items.
                  When I am claiming over the chat support they didn't want to
                  address my issues and putting efforts to resolve my issues. I
                  want my money back for the items that I have returned
                  yesterday.</t>
  </si>
  <si>
    <t xml:space="preserve">Rating 1 for the experience of buying electronic item from
                  this store. Their exchange policy is non existent and they
                  keep on transferring the chat to different executives,
                  basically trying to waste your time and exhaust you. I have
                  wasted one hour and waited for 02 cancelled exchange attempts,
                  and still they are trying to buy time and make excuses. Please
                  dont buy expensive items from here.</t>
  </si>
  <si>
    <t xml:space="preserve">Worst experience till now. Deliveries have never been on time.
                  I ordered a product today and it said to be delivered in
                  13mins. It took more than an hour. The delivery guy came to
                  nearby my location, gave a missed call and cancelled my order.
                  I even called him back before he cancelled the order but he
                  cut my calls again and again. It was clearly all
                  intentionally. Not the first time. Overall, I don't recommend
                  to use this app.</t>
  </si>
  <si>
    <t xml:space="preserve">Really very pathetic experience with it. They did not have
                  customer support. The delivery boy was also not supportive. He
                  is not ready to say his name. Even he canceled the order also.
                  Very bad experience. There is no option to cancle the order if
                  the time is showing is longer then expectation. So we can use
                  other option.</t>
  </si>
  <si>
    <t xml:space="preserve">i rated one star because of your bad business practices. Once
                  ordered the order cannot be cancelled. I have bought one item
                  where the delivery partner was helpless and so was I. i didn't
                  got a button to cancel the order. consequently i had to buy
                  the item at higher price than market. in other words your
                  business practices to loot fellow people. I am going to delete
                  my account and never buy anything from your app.</t>
  </si>
  <si>
    <t xml:space="preserve">The app is good and it is much better with other 10 minute
                  delivery apps as it offers free cash from time to time and
                  even in many festivals we get mystery box for free that is a
                  very good thing. The only problem is that the handling charge
                  is so high like 11 rs and 2 rs of gst that makes a total of 13
                  rs. So we are basically paying around 13 more ryppes for an
                  order. It needs to get lowered.</t>
  </si>
  <si>
    <t xml:space="preserve">Zepto is running a total scam at the billing, like why there
                  is a miscalculation in the bill. I have seen you doing this
                  several times. This is really disappointing zepto. If there
                  was a option to paste the screenshots and show you what you
                  are doing would be really nice!</t>
  </si>
  <si>
    <t xml:space="preserve">Below average Every item listed is way too pricey. Half of the
                  things are again assorted so you wouldn't get the exact design
                  you have ordered. Extra hassle to make the customer care
                  understand that you were looking for a specific design and
                  still they wouldn't understand. Worst experience!</t>
  </si>
  <si>
    <t xml:space="preserve">I have available wallet balance of Rs. 125 but every time I
                  wanted to use it for my order, it is always showing that it is
                  not applicable. I've emailed their customer support to resolve
                  the issue with the reference screenshot and requested them to
                  solve this ASAP but they just replied with a generated ticket
                  no. of the issue, and its been around 15days since this issue
                  is not resolved yet. I've tried too many ways by myself to
                  resolve it but didn't worked out. Quite frustrating!</t>
  </si>
  <si>
    <t xml:space="preserve">FRAUD!!!! I had saved my debit card details while making a
                  payment on this app. Recently, there was an attempted fraud on
                  my debit card, and I was advised to remove it from all online
                  platforms. I did not see any such option on zepto, and when I
                  reached out to their customer service, I was told that I DO
                  NOT HAVE AN OPTION TO REMOVE MY CARD DETAILS FROM THE APP...
                  Unbelievable!!! This sounds like fraud to me...</t>
  </si>
  <si>
    <t xml:space="preserve">Uninstalling the app and deleting my account. Received a
                  damaged product and raised its complaint through the chat but
                  no one responded. I called the customer care but it was not
                  picked up for more than 15 minutes. Then I was put on hold for
                  more than 10 minutes. But suddenly my call was disconnected by
                  the customer service representative and my number was blocked.
                  No one has reached out since then. Absolutely disappointing
                  service. Never going to use the app till this is made right.</t>
  </si>
  <si>
    <t xml:space="preserve">Can you guys please revert back to old UI. It's frustrating to
                  have price on top of product photo. Usually people see product
                  first and then focus on price . It puts strain on eyes to look
                  back up to look price. I hope this feedback is forwarded to UI
                  team . Thank you</t>
  </si>
  <si>
    <t xml:space="preserve">Waste app had a very disappointing experience with this app. I
                  installed app and order some items and recived 100rs cash but
                  within 10mins I checked my wallet and I just wanted to use it
                  so that amount is expired that shown in wallet. So how within
                  10mins its expired. I also email to zepto but no one is
                  suportive. This has been extremely frustrating and also not
                  provided call center no. For further information.</t>
  </si>
  <si>
    <t xml:space="preserve">I'm not able to use the zepto cash which was added by me
                  through my bank account in my zepto wallet. This has been
                  going on since last three weeks and it is not caused by any
                  serviceable address issues or any other issue since I was able
                  to use it the last time it got credited to order for the same
                  address. I think the entire point of giving a wallet, is for
                  me to be able to use it while shopping, not get my funds stuck
                  in it after I add them. I've tried to report to the email but
                  no response.</t>
  </si>
  <si>
    <t xml:space="preserve">Very poor customer service and there is a lot of glitch. In
                  this app you will make payment. Order will be placed and it
                  will be cancelled automatically and sometimes it doesn't even
                  show in the order list. There is no option to communicate with
                  zepto team. They don't have a phone number neither do they
                  have a chat option. Only thing you can do is write a mail and
                  wait for several days. One of the most pathetic experience on
                  apps across they worst experience very poorly managed and
                  operated. I</t>
  </si>
  <si>
    <t xml:space="preserve">Zepto has pathetic service as compared to other apps. Never go
                  for Zepto use any other like binkit, swiggy or any other.
                  Zepto delevered the defective products and don't take it
                  back.. zepto's customer support is also very poor. I faced
                  this issue not once but number of times.... in short if you
                  want to waste your time and money then ZEPTO is the best
                  platform.</t>
  </si>
  <si>
    <t xml:space="preserve">I chose Zepto because of its promise of fast delivery, but my
                  last few orders were delivered late, sometimes over an hour
                  after the promised time. This defeats the purpose of using a
                  quick delivery service. Very disappoint ing. "The app has too
                  many glitches. Sometimes items are added to the cart multiple
                  times, and other times, it crashes right when Iâ€™m about to
                  make a payment. Very frustrating experience." "The quality of
                  fresh produce delivered was poor. Some of the fruits were
                  bruised, and a</t>
  </si>
  <si>
    <t xml:space="preserve">I had very bad experience with this app. First time I ordered
                  one router and paid too it was showing arriving in 7 minutes.
                  Then it showed reached your location. So I went down to
                  receive my order suddenly it showed me like it's refunded and
                  canceled the order. Tried calling the Zepto delivery agent
                  didn't connect and contacted customer care they said some
                  silly reason. Not gonna order again. Worst experience ever.</t>
  </si>
  <si>
    <t xml:space="preserve">A very poor experience. I order 2 protein bars from the app.
                  Received 1 bar with tempered expiry date and one with the
                  expiry date removed from it. When i taste the bar, it was
                  rotten, and taste very bad, most probably expired. I asked for
                  help but the staff was denying that product is in good
                  condition and didn't help with anything.</t>
  </si>
  <si>
    <t xml:space="preserve">I recently tried to place an order and the amount was deducted
                  from my bank account but not only was the order not placed but
                  even the customer service was terrible. I could not find any
                  way to register my complaint on the app. Eventually I got an
                  email id to which I mailed my issue but haven't got any
                  response. Even the phone number given on the playstore does
                  not work. This is really pathetic. Edit: Refund was initiated
                  so changed the rating to just 3 as the customer support exp.
                  was bad.</t>
  </si>
  <si>
    <t xml:space="preserve">Worst experience ever. I have placed an order with gift option
                  and extra money also charged for the same. But they deliver
                  the package without gift wrapped. I tried customer support.
                  but no response on the same. Uninstalling the app and
                  recommending bot to use. #FalseCommitment #Fraud</t>
  </si>
  <si>
    <t xml:space="preserve">I am also facing the wallet issue. In that amount was not
                  useful. This issue is facing from last 25 days. I contacted
                  through email also. They also not respond. I think it like a
                  attract the people for giving zepto cash and that cash is not
                  use. It's a fake app. I am very disappointed</t>
  </si>
  <si>
    <t xml:space="preserve">I am extremely disappointed with zepto.The wallet feature is
                  completely unreliable , i have money in my wallet that i am
                  unable to use,and this is caused me a lot of inconvenience.I
                  hope zepto team fixed this as soon as possible. I believe that
                  zepto is far much better than other platforms because delivery
                  system is good .but now i am facing a problem my wallet is
                  unavailable. Resolved the issue</t>
  </si>
  <si>
    <t xml:space="preserve">Even while having zepto pass, we need to ensure ourselves if
                  the free delivery is applied or not. All other platforms do it
                  by themselves if the order surpasses the minimum amount
                  criteria, but not this. And once you did order anything, you
                  can't cancel it. It's just another way of making money and
                  taking advantage. Even after having zepta pass, customers are
                  needed to take care of their delivery fees. It should be
                  inbuilt. This is ridiculously unacceptable behaviour, looting
                  people anyhow.</t>
  </si>
  <si>
    <t xml:space="preserve">The design of the app is very poor.. Except search option for
                  the brand or product, no features like, price sorting, product
                  ratings, discount selections, catogory selection, etc.. in the
                  listing displayed.. Very dumb app in term of browsing
                  experience to find suitable products as per ones requirement
                  .. Disappointed.</t>
  </si>
  <si>
    <t xml:space="preserve">Very disappointed with the service as I am having cash balance
                  in my wallet but when I try to order items in my cart , the
                  cash balance is showing unavailable and there is a exclusive
                  offer showing on my home page... ( your Exclusive offer will
                  be auto applied to your cart) it is also not showing in my
                  order items. Then I connected with customer support even they
                  didn't help ....directly said we can't do anything in this
                  ....</t>
  </si>
  <si>
    <t xml:space="preserve">Worst experience today, I was checking the offers on an item,
                  and I just added 1 item to cart, then the order has been
                  placed automatically and I can't cancel the order. So I took
                  the order and I don't have any other option. Why we can't
                  cancel the order, the worst app I have seen.</t>
  </si>
  <si>
    <t xml:space="preserve">If you can't provide service in a location then why does your
                  app keeps sending notifications to order. From last 4 days my
                  zepto app is saying "unserviceable due to traffic", how it is
                  possible that there is traffic on the road in night or in
                  morning or in noon, and i am unable to see any traffic jams on
                  the roads. So if you can't deliver just don't irritate me by
                  sending notifications to order.</t>
  </si>
  <si>
    <t xml:space="preserve">The worst experience ever. I had ordered groceries in this app
                  and got it 3 hours late. They are not delivering the groceries
                  on time though the zepto pickup place is 3mins away. I can't
                  find the delivery partner and there is no tracker at all. It
                  only shows that the delivery partner is just 2 mins away but
                  comes very late</t>
  </si>
  <si>
    <t xml:space="preserve">Please check properly while ordering in zepto. They charging
                  item handling cost and gst for the same. They not showing it
                  in mail bill. When I click ok info button on my bill, I am
                  able to see it. For 1000rs They charges 19rs as item handling
                  cost and gst. They can show it directly in bill but they
                  hiding it.</t>
  </si>
  <si>
    <t xml:space="preserve">I ordered few items from zepto cafe. On receiving the main bag
                  and opening it, a product was missing and on complaining the
                  customer service just say they enquired with the delivery hub
                  and do not even process a refund. Highly disappointing. Will
                  NOT recommend the app to anyone. There are better alternatives
                  available already. Was using the app from the first time.</t>
  </si>
  <si>
    <t xml:space="preserve">I had worst online shopping experience with zepto . Firstly
                  they delivered expired items and they didn't even refunded me
                  the amount of the items, but when I ask for customer support
                  they immediately arranged a pick up for those items, but they
                  didn't refunded the amount of those products, I must say it is
                  the worst online shopping platform and one must avoid using
                  it.I will definitely not suggest this app to anyone , this
                  application should definitely focus on their requirements and
                  services ..</t>
  </si>
  <si>
    <t xml:space="preserve">I've been a regular user of the zepto , but the recent update
                  has made it completely inaccessible with Google TalkBack. This
                  is frustrating and disappointing. As a visually impaired user,
                  I rely on screen readers to navigate apps, and this has
                  severely impacted my ability to use zepto . address this issue
                  immediately and provide an urgent fix to restore
                  accessibility. Zepto is not accessible with the Google
                  talkback after the latest update. I am unable to search
                  anything using Google talkback.</t>
  </si>
  <si>
    <t xml:space="preserve">Fraud app. Don't add your hard earned money to their wallet.
                  You will not be able to use it coz it will always be
                  unavailable to you. Even after sending emails to them. They
                  will give you silly solutions but don't make it available for
                  you to use it on any purchase. Maybe its their way of keeping
                  the users hooked to the app waiting to retrieve their added
                  amount and in the meantime keep purchasing products by upi or
                  card payments. I donated my added amount to their wallet to
                  them &amp; deleted app</t>
  </si>
  <si>
    <t xml:space="preserve">My amount was deducted from my wallet, but during the payment
                  processing, the popup got stuck.(Their servers is busy on that
                  time) As a result, my order wasn't placed, but the amount was
                  still deducted from my bank account. It's been 3 days now, and
                  I filed a complaint via email on the same day, but I haven't
                  received any response yet ðŸ˜¡ðŸ˜¡ðŸ˜¡. They don't even have a
                  dedicated support chat. They only display their email ID in
                  the support chat.</t>
  </si>
  <si>
    <t xml:space="preserve">Worst interface where you have to manually click the hidden
                  apply free delivery button even when you have pass. If you are
                  in hurry and forgot to apply that, you cant retrieve that
                  amount which beats the quick delivery moto of the app because
                  the customer support interface is just useless FAQ</t>
  </si>
  <si>
    <t xml:space="preserve">The app is great but when it comes to customer support, it's
                  one among the worst support ever. The advisor doesn't care
                  whether your active on the chat or anything he/she will take
                  there own time to respond back and if your not responding
                  within certain time they close your chat and again you need to
                  raise a new request and this keeps on going but you don't find
                  a proper resolution for the issue. Not gonna use this app
                  anymore thnks!</t>
  </si>
  <si>
    <t xml:space="preserve">I had a very bad experience with this app. I have 125, 100 in
                  my wallet, and I just wanted to use it, but the option not
                  available. After two to three days, it disappeared. I emailed
                  zepto several times to resolve this issue, but they were not
                  supportive and didn't respond at all. I think they should fix
                  their app first..</t>
  </si>
  <si>
    <t xml:space="preserve">Very poor and unprofessional customer support. Unable to
                  understand the concern and just insiting on his point based on
                  mear findings. Totally upset with it even though I have being
                  subscribed to Zepto pass for long now. Won't recommend it to
                  anyone as if there is anything wrong the customer has to pay
                  for it and team is neither interested in providing resolution
                  nor in compensating the loss of customer!!</t>
  </si>
  <si>
    <t xml:space="preserve">Order received with less item as delivery partner just handed
                  over and capture the packet photo. When I call back the he
                  said let me check and then showing I am not calling from
                  registered number and call cuts. No support from Zepto care.
                  No one responding there either in chat and call. I wasted my
                  money here . Worst user experience ever on any app with worst
                  customer support</t>
  </si>
  <si>
    <t xml:space="preserve">Worst experience on this app. Many glitches and ordered some
                  products and money was debited but no order showing and on the
                  top of that no way to connect with their customers support
                  team. After the refund I'm never gonna use it again. Better to
                  go with blink it or Swiggy Instamart atleast they are
                  trustworthy.</t>
  </si>
  <si>
    <t xml:space="preserve">I had bad experience with Zepto. On my first time order I
                  selected product and add to cart, few of them where discounted
                  price. When finally planned to make payment and add address
                  and choose discount coupon. But just before making payment
                  suddenly price changed. All discounted product where changes
                  to original price and all discount coupon where disappeared.
                  So my view is be far from this app. I still trust and will
                  stuck to blinkit or insta.</t>
  </si>
  <si>
    <t xml:space="preserve">Here's a sample email or chat message you can send to Zepto:
                  "Hi Zepto Support, I'm writing to report an issue with my
                  daily credits. Although I receive messages stating that â‚¹100
                  has been credited to my wallet, the amount is not reflecting
                  in my balance. I've been receiving these messages daily, and
                  it's getting frustrating. Could you please look into this
                  matter and resolve the issue? Requesting you to stop sending
                  these daily messages until the issue is resolved. Thanks,
                  [Nitin]"</t>
  </si>
  <si>
    <t xml:space="preserve">Zepto is no doubt the best app normally no problems with on
                  time delivery or refunds. Quality of vegetables thou not good.
                  Anyways Yesterday i got zepto christmas box on minimum
                  quantity ordered. But found items missing from the box Thou it
                  is free i have paid a certain amt to get it free. Items
                  costing sm worth were missing I came to know of this when i
                  watched other you tube videos Whoes taken those missing items
                  is any bodies guess. Just for zepto to know, if this pilfrage
                  is in volume</t>
  </si>
  <si>
    <t xml:space="preserve">Pissed with Zepto's customer service. No resolution at all,
                  just false promises. Riders cancelling orders before even
                  contacting or reaching the location, leading to the cod
                  getting disabled. Going on the payment page and pressing the
                  back button is treated as cancelled order and an undelivered
                  order from the riders end is also considered and marked as a
                  cancelled order. Seems like the Product team is just fooling
                  around. Finally deleted my account and permanently switched to
                  Blinkit.</t>
  </si>
  <si>
    <t xml:space="preserve">I recieved melted ice cream 35 mins after I placed the order.
                  So much for quick delivery! I reported the issues and I got a
                  resolution after 40 mins that my order will be replaced. The
                  exchange order shows delivered but I haven't recieved it
                  yet...the delivery guy isn't picking up and I haven't been
                  assigned an agent on call or on chat since 10 mins. Great
                  service guys never using the app again!</t>
  </si>
  <si>
    <t xml:space="preserve">Customer support sucks at supporting customers. Platform shows
                  misleading information about many products and if you end up
                  buying those there is no return or replacement. Recently I was
                  looking for a induction type frying pan and the product
                  appeared on the top I bought that. After receiving I found out
                  that the product is not induction compatible, so it's a
                  garbage to me. I raised the support request but they said that
                  the product is not upto my expectations. Better go for
                  swiggy/bigbasket</t>
  </si>
  <si>
    <t xml:space="preserve">Worst app please don't use it I have zepto cash in my wallet
                  but everytime it's unavailable to use and i tried to much but
                  now i lost my hope and this whole process and experience is
                  very frustrating for me. The experience of delivery is also
                  bad because no nagivation map is given to track order and when
                  ever i tried to call delivery executive then call not send,
                  Zepto is only frustration to order something Is better to use
                  other app like swiggy, blink it Even zepto don't have customer
                  care no.</t>
  </si>
  <si>
    <t xml:space="preserve">Trust me do not download this app. First of all I ordered a
                  quite costly order, didnt receive it although it showed
                  delivered. When I asked for customer support they made me wait
                  for 40 minutes and when I finally thought they are resolving
                  the issue, I get a message , Please ignore the above Message,
                  we are still working on the issue. I don't think I'm getting
                  my money back but i dont want anyone else to experience the
                  same. Please work on your customer care support.</t>
  </si>
  <si>
    <t xml:space="preserve">"Terrible experience! My order was never delivered, and
                  customer support was unresponsive. Despite multiple attempts
                  to resolve the issue, I still havenâ€™t received a refund.
                  Completely unreliable service. I wonâ€™t be using this app
                  again."</t>
  </si>
  <si>
    <t xml:space="preserve">~I had a terrible experience with Zepto. ~They are very
                  cunning. ~Fake advertisement. ~No customer-support.
                  ~Unprofessional behaviour. ~Always deliver half order, items
                  are missing in my order. SHAME ON ZEPTO. Zepto will give you
                  some cashback and claims that you can use it on your next
                  order, but in actual you can't be able to use it on your next
                  order and then it will automatically expired within seconds.</t>
  </si>
  <si>
    <t xml:space="preserve">App Crashes all the time. Otherwise services are good enough.
                  I use it daily and there is no issue for services with few
                  exceptions where my money was deducted from account but order
                  wasn't placed and they refunded the money as well.</t>
  </si>
  <si>
    <t xml:space="preserve">I had a very disappointing experience with this app. I have
                  100 in my wallet, and I just wanted to use it, but the option
                  to do so is no longer available. Initially, the option was
                  visible, but after a few days, it disappeared. I emailed Zepto
                  to resolve this issue, but they were not supportive and didn't
                  respond at all. This has been extremely
                  frustrating.ðŸ˜¡ðŸ˜¡ðŸ˜¡ðŸ˜¡ðŸ˜¡ðŸ˜¡</t>
  </si>
  <si>
    <t xml:space="preserve">If you are experiencing high demand, why don't you show that
                  before placing the order. It shows "5 mins" while placing the
                  order and then "slightly delayed due to high demand" once the
                  order is placed. Then it takes 25-30 mins to finally deliver
                  the order. This cannot be a technical limitation, it is fraud
                  business tactics.</t>
  </si>
  <si>
    <t xml:space="preserve">Delivery is so bad I had to wait for more than an hour to get
                  it!! Like stop lying to people as if you deliver stuff in 10
                  minutes! Like seriously showing it on the front page of your
                  UI that you deliver in 10 minutes! Bro atleast try to own up
                  to your words! I am in the middle of that order that's taking
                  an hour to reach like it's been more than an hour already and
                  the package isn't here!! Great job zepto!ðŸ˜ðŸ˜</t>
  </si>
  <si>
    <t xml:space="preserve">Pathetic support! Uninstalling the app and deleting my
                  account. I will also ask everyone I know to do the same. I
                  received a damaged product and raised its complaint through
                  the chat but no one responded. I called the customer care but
                  it was not picked up for more than 15 minutes. Then I was put
                  on hold for more than 10 minutes. But my call was disconnected
                  by the customer service representative and my number was
                  blocked. No one has reached out since then. Absolutely
                  disappointing service.</t>
  </si>
  <si>
    <t xml:space="preserve">It has the worst service ever possible. Every time it takes
                  more than 15 mins when they claim to deliver in 5 mins. Try
                  reaching out the customer care and it's even worse. Oh and the
                  other annoying part is the automated reply to these comments.
                  They can't build a system to use these feedbacks. They want us
                  to mail it again to some email address. And if we mail, next
                  they will probably ask us to send an SMS???</t>
  </si>
  <si>
    <t xml:space="preserve">There is an application glitch which first showed me that the
                  one of the items are out of stock and then secretly added that
                  into my order due to which I ended up overpaying. When I
                  complained about it they agreed that it was error but did not
                  take any action. I am really disappointed.</t>
  </si>
  <si>
    <t xml:space="preserve">Only useful when in urgency and no other options. Used all
                  ecommerce grocery apps so far for quite some time. Same brands
                  are expensive here. Epass is useless. Offers will be based on
                  shopping cart value cap forcing customers to spend more and
                  buy unwanted stuff to avail offer prices. Fooling customers in
                  this aspect. Many of the delivery guys are rude as well. What
                  is the point in door delivery when i need to step out of the
                  compound everytime.</t>
  </si>
  <si>
    <t xml:space="preserve">They will delivered me one less item and 2 wrong products.
                  When I complaint about it. Vendor refused to accept their
                  mistake. I didn't get the refund or a replacement. My only
                  mistake was that I didn't check each and every product while
                  receiving it from the delivery guy. Zepto is a cheater
                  company!!</t>
  </si>
  <si>
    <t xml:space="preserve">Worst application I ever seen, there is no option to cancel if
                  you ordered something by mistakenly and they don't provide
                  delivery boy contact details to tell that to cancel, No help
                  option, no customer care contact details, nothing worst worst
                  application, I have zepto cash but it is not applicable it
                  means no use of that zepto cash. So I suggest you to use other
                  applications instead of Zepto.</t>
  </si>
  <si>
    <t xml:space="preserve">It's just frustrated experience . I had zepto cash in my
                  wallet but it's not usable they asked to have Frist order
                  after that it will be usable. But now it's not usable at the
                  moment . Wrost treatment if it's not for use then don't add
                  that amount there . Either remove that option form there</t>
  </si>
  <si>
    <t xml:space="preserve">Very bad experience, why am I trying to order for so long,
                  order is not coming and always saying "try again in 15
                  minutes." If you have made a platform to help the general
                  public then please do some update to solve this problem. If
                  you can't do this then close your application, my experience
                  is really very bad. And finally i uninstalled the Application.</t>
  </si>
  <si>
    <t xml:space="preserve">I use Zepto since 2022. Initially there was no delivery/
                  handling charge (above an order value). In 2024, a handling
                  charge of Rs 6.99 was introduced - soon it became Rs 9.99. Now
                  they r running a new category of shopping 'Super Saver'. For
                  order val &gt; Rs 1000/-, they offer addl discount and there
                  is no delivery/ surge charge. Today I ordered some items - I
                  was charged a handling fee of 19.99!!! They have no customer
                  care Phone / mail seeking clarification. E com apps are taking
                  us for a ride.</t>
  </si>
  <si>
    <t xml:space="preserve">I've been using the app past month but, 1st it was like
                  minimum order value is â‚¹99 then it changed to â‚¹199 and now its
                  showing that minimum order value is â‚¹999. It was said that any
                  item under 10 mins but now how can we purchase for â‚¹999 often.
                  Its not fair. When it was an urgency it helped but now I can't
                  use the app.How to buy daily groceries or day to day needs.Its
                  quite dissapointable. Now I feel like opting another app
                  instead of zepto.</t>
  </si>
  <si>
    <t xml:space="preserve">There is free cash in my wallet but I am not able to use it .
                  I would have not downloaded the app if they don't kept on
                  saying free cash when it is not even accessible. Now there is
                  no option to cod.i t says you must have cancelled order
                  earlier. I was using it for first time. Small cart fee which
                  used to be applicable under 50-70 now is applicable under 150.
                  This is the worst delivery app. I swear. I heard such good
                  things and and recieved such disappointment.</t>
  </si>
  <si>
    <t xml:space="preserve">Zepto Cash is a scam! Cheating! Beware do not load your hard
                  earn money in this wallet because you will not be able to
                  spend it and they said it is not refundable. The App will
                  credit your wallet with 75/- or 100/- for availing this credit
                  you will load more money in the wallet but at the time of
                  final payment the app will show you a message that Zepto Cash
                  is unavailable please try after sometime and this message is
                  showing every time but at the time of taking credit wallet ts
                  always available</t>
  </si>
  <si>
    <t xml:space="preserve">ðŸ‘»Most USELESS!! app I have ever used . Whenever I open this
                  app to order something it always shows "Unserviceable due to
                  traffic" or "Traffic Congestion" and it doesn't accept any
                  order . I understand that I live in a bit trafficked area but
                  it is impossible that there is 24Ã—7 traffic .I only want is to
                  just have it serviceable, the delivery time doesn't matter.
                  EDIT: The zepto team resolved the issue and now it hardly
                  shows once or twice a day "Traffic Congestion" and i am able
                  to place order</t>
  </si>
  <si>
    <t xml:space="preserve">LITERAL THIEVES M cart item total is coming to 212 Instead of
                  showing that amount they are showing item total as 227 ( Note
                  : no additional charges charges were shown and my delivery is
                  free as i have taken zepto gold membership ) I would advise to
                  NEVER use this app and if downloaded uninstall immediately . .
                  . . UPDATE : I even emailed zepto support the problem which
                  they ASKED ME TO DO THEY DID NOT EVEN REPLY ... IT HAS BEEN
                  OVER A MONTH</t>
  </si>
  <si>
    <t xml:space="preserve">I previously installed Zepto and tried to order food, but the
                  application kept malfunctioning and getting stuck. I advise
                  everyone not to install this app, even for a small discount.
                  It seems unreliable and provides a poor user experience.
                  Please avoid using it, as it could potentially compromise the
                  security of your mobile device</t>
  </si>
  <si>
    <t xml:space="preserve">Till date not a single delivery done on time. For an ETA of
                  5-6 mins. at the time of ordering, the deliveries only happen
                  after 40-45 mins. each time. The customer care is almost
                  impossible to reconnect to and when they do get connected they
                  just act helpless and beg you to wait endlessly.</t>
  </si>
  <si>
    <t xml:space="preserve">worst interface Every time you open the app, you must first
                  access the location otherwise the app will not run. Even today
                  there is no grocery full. It showed 13 minutes delivery but it
                  took 25 minutes and your payment app is stuck. . . Poor
                  delivery partner is also worried, location is not showing in
                  the app and app is stuck in payment.</t>
  </si>
  <si>
    <t xml:space="preserve">I have used this app for a while. It is a good app but it
                  spams messages of coupons and zepto cash and when you open app
                  there is none. Sometime when you do get zepto cash then it's
                  unavailable you can't use it. We don't need your coupons but
                  don't spam fake messages of rewards and coupons. I have used
                  it for 1 month.</t>
  </si>
  <si>
    <t xml:space="preserve">Technical _sync issue. They are serving zepto cafe on both
                  their grocery delivery app as well as their zepto cafe app. I
                  had 4 items in cart in their zepto cafe app. However, I
                  ultimately ordered 2 zepto cafe items through their zepto
                  grocery delivery app. But while the order was being placed
                  order got upatded to 4 items and my money was deducted total
                  amount of 4 items which was unreasonable. I did not get time
                  to check the updated cost as I was paying through paylater.</t>
  </si>
  <si>
    <t xml:space="preserve">You should not charge customers at the time of placing an
                  order. If you do, an OTP system should be implemented to
                  ensure secure delivery. Itâ€™s extremely disappointing that your
                  delivery personnel marked the product as delivered when I
                  havenâ€™t received it yet. This is unacceptable, and your
                  customer service is unhelpful, repeatedly giving the same
                  response: "We have delivered the product."</t>
  </si>
  <si>
    <t xml:space="preserve">After a 10-minute commitment, a rider canceled my order,
                  saying one item was out of stock. I mean, the Zepto team would
                  take 30 minutes to know an item is out of stock? And when I
                  asked which item, he said he didn't know. That's really great,
                  Zepto. And after watching your review panel, I learned that it
                  is not rare; it's normal. Everyone is complaining.</t>
  </si>
  <si>
    <t xml:space="preserve">This app is so frustrating! They keep spamming me daily,
                  reminding me about the â‚¹150 in my ZEPTO wallet, but when I
                  actually try to use it, they say it's unavailable. Plus,
                  thereâ€™s no COD option either! What kind of nonsense is this? I
                  wouldnâ€™t have even given it 1 star if there were any other
                  option.</t>
  </si>
  <si>
    <t xml:space="preserve">Serously an worst app. Moreover it's customer service it's soo
                  irritating. They will not understand your concern. And will
                  not help you. I ordered an product and it was an wrong item.
                  Basically I was asking for an replacement or return and
                  refund. But they refused and spoke with so many agents. No
                  resolution received. Hence deleting my account and deleting
                  this app. It's worst. And total waste of money . I wasted my
                  750 inr here.</t>
  </si>
  <si>
    <t xml:space="preserve">Zepto delivery agents are fraud, like its service...Today
                  24/12/24 I have ordered 4 items as pre paid, but within a few
                  minutes, the zepto app shows that the order has been delivered
                  without attempting the delivery. When I tried to call the
                  agent with the zepto app, then there system plz call with your
                  registered number. It's a really very disgusting app which I
                  have ever used before.....uninstalling now. Please use this
                  app at your own risk.</t>
  </si>
  <si>
    <t xml:space="preserve">At first i liked this app but after some order i faced a
                  problem to utilise the amount added in zepto and the free cash
                  feature and there is no customer care feature for chat or
                  call. All they have is pre recorded message which is not
                  useful at some place. Edit : I received some message from
                  zepto but didnot receive further response and the customer
                  support is really bad</t>
  </si>
  <si>
    <t xml:space="preserve">It's frustrating when you want to try out new apps and offers,
                  but you don't get them as promised. I emailed Zepto regarding
                  my Zepto Cash not working as it has shown as unavailable for 2
                  weeks now. Emailed the support team but there has been no
                  timely response from their end. It shows how Zepto treats its
                  customers. Zero responsibility taken from their end.</t>
  </si>
  <si>
    <t xml:space="preserve">I want to add few points, if there is an option like resuction
                  of amount for returning a paper bag is very attractive for
                  all..like 2 to 5 rs per bag. And also good to navigate the
                  delivery person route map so that we can easily find where he
                  is.</t>
  </si>
  <si>
    <t xml:space="preserve">I used Zepto for the first time. I ordered goods worth 1000
                  rupees. After 10-12 minutes my order did not arrive. I opened
                  the application and saw that my product was showing delivered.
                  But I did not receive any order. I called the support but
                  there was no response from support also. I then used the chat
                  option and told them my problem but I was not being given any
                  proper information from their side also. My messages were
                  being replied late. When I told them that I have not received
                  any product,</t>
  </si>
  <si>
    <t xml:space="preserve">Zepto cash is always disabled. Promo code doesn't work. Prices
                  are very high compared to other apps. I also want to add that
                  the cash in the wallet with 1 yr validity gets expired in 1 or
                  2 days only. And the price of products is higher in high end
                  mobiles.</t>
  </si>
  <si>
    <t xml:space="preserve">I placed an order a few minutes ago, and after payment is
                  done, money got deducted from my bank account, but the order
                  showed failed. I tried to call zepto call center, but it is
                  showing invalid / busy all the time. Sent an email to the
                  support team, but there was no response. I dont understand how
                  to solve this problem. Such a ridiculous service.</t>
  </si>
  <si>
    <t xml:space="preserve">Zepto keep sending and updting zepto free cash and at the same
                  time off the feature to use that zepto cash, I've checked in
                  to my friends wallet too, they also can't use there free cash.
                  customer help care service is so bad no support no executive,
                  application is also malfunction some time calculate the wrong
                  figure. Extra charges on products ,</t>
  </si>
  <si>
    <t xml:space="preserve">Today I made my first order from Zepto and the experience was
                  horrible. I ordered a 16GB pendrive. they sent a defective
                  pendrive. I complained immediately but they refused to provide
                  replacement, return or refund. Pathetic behaviour of customer
                  care executives. I urge everyone not to use this app to
                  purchase electronic items. Their only statement was, we have
                  sent it in a sealed pack so it can't be defective. I will
                  complain in the consumer forum and put the result here. They
                  can't get away.</t>
  </si>
  <si>
    <t xml:space="preserve">I had the worst experience with Zepto. I ordered two curds,
                  and one of them was expired. When I tried to reach zepto's
                  customer care, I couldn't find any proper customer support. I
                  attempted to contact the delivery executive through the app,
                  but he stated that he is not associated with Zepto. This is
                  extremely disappointing. Delivering expired items and
                  providing such poor service is unacceptable. Highly
                  dissatisfied</t>
  </si>
  <si>
    <t xml:space="preserve">Giving one star is a pain for me. The services are so so so so
                  bad. I had ordered a frozen item . And 4th time in a row it
                  was In a bad condition. Refuse to address my issue and closed
                  the Chat.Chat box was open for 40 minutes. And no one
                  responded. Wrong orders , bad experience, worst services,
                  order status says delivered but I didn't receive it. Just said
                  sorry :) For over an hour they put your Chat on hold. Skip
                  this please. They provide good services only for the first few
                  orders. Hi</t>
  </si>
  <si>
    <t xml:space="preserve">This is the worst app i ever seen, no good customer service
                  and I am facing issue with the location. I tried multiple
                  locations but nothing happened. In my area the zepto service
                  is available but I can't set the location.</t>
  </si>
  <si>
    <t xml:space="preserve">I had a very bad experience with the app , I ordered something
                  but it was not delivered completely, the container was half
                  full, the quantity delivered was not the same as written on
                  the product and the support team didn't even listen to my
                  issue. I suggest everyone not to use this app.</t>
  </si>
  <si>
    <t xml:space="preserve">My experience with Zepto is very bad. I had order placed an
                  item, after some time(same day) when I opened it's seal it's
                  quality was not good also it's smell was very bad. I
                  complained about it, but they didn't agree to take back it. So
                  if anybody want to buy anything from zepto please be aware it
                  may happen with you also. Choose wisely other platform who
                  provide better services.</t>
  </si>
  <si>
    <t xml:space="preserve">I ordered for the very first time and the experience was worst
                  . The delivery agent first showed me the status of "
                  prepairing, then packed and at the end Anket marked the order
                  as delivered. Where the hell is my order I don't know, after
                  calling him he's saying I can't deliver you can cancel it.
                  Their customer service is nothing just an online hell, no one
                  will get connected with you they'll keep transferring your
                  chat or call.. worst experience ever</t>
  </si>
  <si>
    <t xml:space="preserve">Of late I have been receiving rotten products especially eggs.
                  This has caused a lot of concern but the issue is repeating
                  over and over. They just issue the refund without considering
                  the other consequences. I have now shifted to BlinkIt and have
                  uninstalled the app as of today.</t>
  </si>
  <si>
    <t xml:space="preserve">Pathetic app. Amount changing automatically after every
                  refresh.. Take 15+ min from payment processing to payment
                  confirmed.. While otlrdering it show 8 min. After order
                  delivery time changes from 8 min to 18 min..or 29 min Money
                  debited but order not placed.. even it not showing in the
                  order lost as well. There is not chat support in the app.
                  Every thing/every query have to mailed them. Seems like their
                  tech team is enjoying..</t>
  </si>
  <si>
    <t xml:space="preserve">I have placed order on 19oct but it got cancelled
                  automatically but the money was debited, since then I am
                  trying to get my refund. Especially the people in chat of are
                  no use they can't provide any support except sending those
                  template messages Support team is worst good for nothing. Buy
                  the way still didn't got my money back.</t>
  </si>
  <si>
    <t xml:space="preserve">I placed an order on the Zepto app and made the payment
                  through Paytm, but my order is not showing. The Zepto app does
                  not have any customer support, which makes me feel like they
                  are engaging in fraud. I couldn't find any option for support
                  or inquiry in the app. Additionally, the Zepto website also
                  lacks any customer support options.</t>
  </si>
  <si>
    <t xml:space="preserve">Very very very bad experience from Zepto I am too much
                  disappointed. They are running a scam in the market where they
                  first provide free 100 rupees wallet cash and then make it
                  unavailable after few orders . I did mail to their customer
                  support but no response. Too bad experience no customer
                  support totally a **SCAM**</t>
  </si>
  <si>
    <t xml:space="preserve">Zepto has been a reliable service for quick grocery
                  deliveries. The app interface is user-friendly, and the
                  delivery times are impressive. Most of the products are fresh
                  and well-packed. However, there is some room for improvement
                  in customer support and the availability of certain items.
                  Overall, a convenient and efficient service!</t>
  </si>
  <si>
    <t xml:space="preserve">Waste application...don't install...starting they add cash to
                  your wallet and you get nice discounts...later it shows "Zepto
                  Cash Unavailable" ...from 1 month I have 100rs in my wallet
                  and unable to use it...I'm trying to contact the customer care
                  and no one is responding..really disappointed and frustrated
                  because of this application</t>
  </si>
  <si>
    <t xml:space="preserve">Was charged 30rs for delivery fee in spite of having zepto
                  pass! Free delivery needs to be applied. What scummy tactics
                  are these. Also, I was charged an extra 14rs for packaging.
                  Just another app to cheat people. And now they're saying they
                  will share the feedback. To whom will you share the feedback?
                  It is you, who took the delivery fee from the customer.</t>
  </si>
  <si>
    <t xml:space="preserve">Catalogue is good, quality and prices are competitive,
                  delivery is quick, even though slightly slower than it
                  claims.. but the sorry part is customer support..no phone no
                  given in the app, only chatbot available.. the email not
                  responsive even in two days, wakes up only after escalation of
                  the grievance, and even they respond mechanically, not giving
                  any importance to the customer's sentiments.. very bad
                  experience....</t>
  </si>
  <si>
    <t xml:space="preserve">Bekar app. Had a pathetic experience. The app was showing
                  traffic congestion in my area for over 4-5 days continuous.
                  Now when the congestion got cleared (from app) it shows wallet
                  can't be used. Mailed support they don't respond. Should be
                  banned from Play Store such a misleading app. I am reporting.</t>
  </si>
  <si>
    <t xml:space="preserve">Don't use zepto, they didn't deliver your grocery in 10min and
                  there is no any option to contact customer support, I've a
                  wallet balance when I used it to book order, my order didn't
                  book and wallet balance is debited and when I trying to
                  contact them there is no single option to contact customer
                  support... Only they added questions to customer support,
                  we've no choice to contact customer support...</t>
  </si>
  <si>
    <t xml:space="preserve">FRAUD It's 1st time I was using this app and I added some
                  money in my zepto cash, they just locked it. I am not able to
                  use my own money. They do not have any customer care no. Or
                  chatbot to resolve any customer's query in their app. Support
                  section. After highlighting on mail they do not revert easily
                  you have to wait for they for days. When they revert they gave
                  the customer care support no. story doesn't end here now from
                  days I am trying to connect with their CS no. but not resolved
                  yet.</t>
  </si>
  <si>
    <t xml:space="preserve">Worst app, worst experience, I ordered by paying through upi,
                  app hanged during payment, money deducted no item delivered,
                  no refund initiated, lost 780 rs. Because of this, its almost
                  a scam. Money properly transferred to geddit convenience, I
                  cant even make a proper customer aupport call or chat. Its
                  completely irritating. I mailed this incident to Mr.Aadit and
                  support team as well. No proper action except an autonatic
                  reply. Useless app..</t>
  </si>
  <si>
    <t xml:space="preserve">Worst service ever, First of all your app doesn't have cancel
                  option at night and rider refuses to take item back. I placed
                  the order by mistake, I was about to add more item but it got
                  placed. Worst UI and experience.</t>
  </si>
  <si>
    <t xml:space="preserve">I had placed an order on 24th and order got cancelled. I did
                  not get any contact details so I emailed them what about the
                  money deducted, but there was no response. Later on 29th I
                  again emailed them so an automated email was generated that my
                  query will be looked and answered within 24 hours. Its 30th
                  and still no response and no refund.</t>
  </si>
  <si>
    <t xml:space="preserve">When I started using this app, I was so happy because the
                  treat their customers go lovingly. I was happy with their
                  offers and super-savers. But now I can't place an order in the
                  super-saver section, it says the minimum order should be of
                  699/-. And that's not fair. Because you charge fee apart from
                  gst and delivery in the normal zepto section. I didn't like
                  this feature ðŸ‘ŽðŸ». It was just to attract costumers. I really
                  thought zepto was better than other fast delivery apps.</t>
  </si>
  <si>
    <t xml:space="preserve">App and interface getting good but credits refund and customer
                  support executive are so mannerless loud and rude, haven't
                  seen this kind of behaviour in any other app. Basically
                  throwing work frustration on customers, and cce complain
                  portal has become so complicated that for regular problem
                  extra you can't connect with cce. Pathetic as always. Nothing
                  new. negative rating if possible.</t>
  </si>
  <si>
    <t xml:space="preserve">Everytime there is a problem with the delivery Everytime I
                  have to keep running to the chat to explain what has happened
                  and they would again take 30 mins to solve that issue or to
                  even respond some times The order says it will be delivered in
                  4 mins but it would definitely take more than 20 mims why even
                  say 4 mins when it's not the case Completely doubting the
                  service</t>
  </si>
  <si>
    <t xml:space="preserve">I placed a order and payed the amount but there was a glitch
                  in the app and even though I payed the amount no placed order
                  is showing this happened twice and customer care is also not
                  responding and not picking up any calls I haven't gotten any
                  refund it was good in the star but now this app is totally
                  unrelaible and fraud</t>
  </si>
  <si>
    <t xml:space="preserve">i am very disappointed with you zepto , phele they give you
                  some free cash money which they say you can use it to purchase
                  things but everytime I try to get something the cash money
                  become unavailable. agar you don't want us to make purchases
                  with that free cash just don't give that ,but if you are
                  giving it stick to your promise and let us use the free cash
                  .I would like to give 0 start but unfortunately their is no
                  option for that</t>
  </si>
  <si>
    <t xml:space="preserve">In this Application there is not available option for delete
                  search history and showing items as they want to sell us not
                  that which I want to purchase. Sometimes irrelevant products
                  also showing as search results, developer team please make
                  sure correction in the application features.</t>
  </si>
  <si>
    <t xml:space="preserve">The customer care support sucks. There customer care is
                  basically non-existent. They have a Phone number which is
                  always busy and "Chat with us" option where no agent is
                  available for Hours. The order is either cancelled or
                  delivered incomplete.</t>
  </si>
  <si>
    <t xml:space="preserve">Don't go for this app. They are delivering in bag without any
                  invoice and without verifying the ordered item. Items are
                  missing and if you inform them about the missing item they
                  simply deny it. Nothing is transparent. Better go for Amazon
                  Fresh or Blinkit.</t>
  </si>
  <si>
    <t xml:space="preserve">Terrible experience with Zepto's wallet feature and customer
                  service. I added â‚¹500 to my wallet but can't use it, and the
                  app keeps malfunctioning. Despite raising the issue, their
                  support team promised a refund within 2-3 days, but it's been
                  over 15 days with no action or update. The lack of
                  accountability and follow-up is unacceptable. I strongly
                  advise against using their wallet until they resolve these
                  issues and improve their service.</t>
  </si>
  <si>
    <t xml:space="preserve">I have a very bad experience with this app my 125 rupees in on
                  wallet and now my account is showing its on hold Even before
                  they kept on hold the money was never used in the app due to
                  their so called reason everytime,even their customer care
                  service is not proper whenever I call they say all agents are
                  busy and kept my phone on hold each and everytime I really
                  have very bad experience, and now I can't trust this app again</t>
  </si>
  <si>
    <t xml:space="preserve">Had a very disappointing experience. I ordered a item and
                  received a completely different order . I complaint against
                  this but neither they refunded me nor they exchanged. Had a
                  really bad experience this was the first time I ordered n I
                  think this would be my last order. The team is really not
                  cooperative they didn't even listen my complain. This is
                  really frustrating.</t>
  </si>
  <si>
    <t xml:space="preserve">Most useless app I have ever used in my life . With good
                  interface and technology user expects some more advanced from
                  the application. Every time I open app for order groceries it
                  shows location not serviceable then why you allow us to
                  install the app in that location.</t>
  </si>
  <si>
    <t xml:space="preserve">Dear Zepto Team, I recently made a purchase but accidentally
                  ordered the wrong product, and I was unable to exchange or
                  return it. While I understand policies are in place, I would
                  appreciate it if Zepto could consider offering exchanges or at
                  least partial credit for incorrect orders. Mistakes happen,
                  and having an option for exchanges would enhance customer
                  satisfaction and encourage future purchases. I hope Zepto can
                  improve this aspect of its customer service. Thank you, Chetan
                  Sharma</t>
  </si>
  <si>
    <t xml:space="preserve">It was very brutal and rudest. First they delivered melted,
                  crushed, opened and less than expected amount of ice cream in
                  freezing cold temperatures outside. They arranged a return
                  exchange, cancelled it without giving any reason, then denied
                  for refund or exchange and after one and a half hour, they
                  said that I had to complain within 20 minutes for the frozen
                  item. Zepto does not care about the condition in which the
                  order is delivered. It just cares about hiw the order was set
                  from the store.</t>
  </si>
  <si>
    <t xml:space="preserve">Got cheated twice- did not receive Christmas giftbox nor New
                  Year giftbox, and was offered 50 rupees compensation which
                  didn't get credited for the first one. Wasted 1 hour 20
                  minutes of my time talking to customer support with no proper
                  resolution. There's no option to even get a giftbox in
                  subsequent order if we don't receive it in the initial one. I
                  would not have placed huge orders on this app if not for the
                  giftbox offer. Total frauds. Even the delivery partner lied to
                  my face. Fraudsters.</t>
  </si>
  <si>
    <t xml:space="preserve">I went crazy while changing my location useless app I had
                  ordered something I got something else and I was not able to
                  exchange it or return it I talked with agents They reply very
                  slowly i really hate this now they have taken that product, it
                  is showing that refund credited to your account but I haven't
                  received any refund yet These people who are giving them 5
                  stars must all be their people. don't go with this app</t>
  </si>
  <si>
    <t xml:space="preserve">Subject: Payment Issue with Order and Inability to Cancel
                  Description: I recently ordered a pack of Pringles for â‚¹103
                  using the Zepto app. During checkout, I applied a â‚¹75 coupon
                  from my Zepto balance, and the app showed that my balance was
                  fully utilized, leaving no amount due. However, when the
                  delivery person arrived, they stated that the payment had not
                  been made and that the â‚¹75 coupon was not applied.</t>
  </si>
  <si>
    <t xml:space="preserve">When Zepto is started I felt it will take all insta delivery
                  apps, but from so many days I am facing so many issues
                  regarding customer service. They are providing very pathetic,
                  worst customer service, they will give promotional amount, in
                  app we can't use that amount for purchasing, did we are asking
                  you to give promotional amount moreover if we contact customer
                  support they are giving very negligence, worst, unacceptable
                  answers. As I know so many known customers shifting to other
                  platforms</t>
  </si>
  <si>
    <t xml:space="preserve">Worst experience Zepto is cheating the clients. Does not
                  deliver complete order and after raising complaint the are not
                  at all helpful. Bluntly refused to refund. I had sent the
                  complaint immediately after the delivery. The delivery boy was
                  asked to Wait so that the delivered order may be checked but
                  he didn't wait and evendidnt picked the call. So this
                  application for me is pathetic team work. They don't know what
                  quantity to deliver. Bill is ok the payment is ok but the
                  delivery is incomplete</t>
  </si>
  <si>
    <t xml:space="preserve">I installed the app expecting to use Zepto Cash, but itâ€™s not
                  applicable on my orders. Even after updating to the latest
                  version, the issue persists. This is disappointing and makes
                  the app less useful. Please fix this or clarify the
                  eligibility criteria for Zepto Cash.</t>
  </si>
  <si>
    <t xml:space="preserve">Fraud app which sneaks in hidden charges if you are not
                  careful enough to open the "To Pay" section and see all the
                  details. Don't fall for the high rating. Most of them seem
                  paid. If you see carefully they have similar format with
                  special characters like * or "" as if copied from somewhere
                  word for word.</t>
  </si>
  <si>
    <t xml:space="preserve">The wallet feature was the only bearable feature that the app
                  had, otherwise its not much different from blinkit.
                  Exaggerated prices on everyday items and now that they've
                  built a customer bank, they simply got rid of the wallet
                  feature.</t>
  </si>
  <si>
    <t xml:space="preserve">What a bakwas app, Amount is debited from my account but order
                  not placed. 1. No emergency contact number 2. On today's
                  digital world refund of money Takes 3 - 5 working days. Dont
                  understand we didn't deposit the check. 3. To be honest such a
                  weird service I haven't seen in any standard app. Please do
                  check your mail have already shared all the required details.</t>
  </si>
  <si>
    <t xml:space="preserve">Worst app. No option to contact customer care to resolve
                  issues. Instead there are a list of generic FAQs which are
                  useless. The amount got debited, but the order was not placed
                  and now I have no way to get my money back.</t>
  </si>
  <si>
    <t xml:space="preserve">It's been more than 1.5 hour that I placed my order. I ordered
                  veggies for dinner and now I have cooked something else and
                  eaten as well , still no glimpse of order. And these guys are
                  not even cancelling the order. You din even informed it will
                  be delayed nor allowing customer to cancel the order. Would
                  recommend everyone to uninstall the app.</t>
  </si>
  <si>
    <t xml:space="preserve">I had a terrible experience with Zepto regarding my order
                  #992BABSPL09762. The delivery was delayed by 45 minutes,
                  causing a lot of inconvenience and disrupting my plans.
                  Despite reaching out to their chat and call support multiple
                  times, I did not receive any proper response or resolution.
                  The service did not meet the promised standards, and their
                  support team was completely unhelpful. I requested a refund
                  for the poor service, but they haven't resolved the issue yet.
                  Highly disappointed.</t>
  </si>
  <si>
    <t xml:space="preserve">Really disappointed with the delivery system. The delivery
                  guys drop the stuff without looking at you and go away only
                  for u to realise that complete order is not delivered. When
                  being called they decline the call. The customer service when
                  reached out saybthenorder has been completed hence nothing can
                  be done. Never faced this from Swiggy or Blinkit. I am
                  uninstalling the app right away.</t>
  </si>
  <si>
    <t xml:space="preserve">Very bad experience..it was my first time with zepto and they
                  provided mi 100 rupees free cash using which I ordered 4
                  items...later when the order arrived..the guy started asking
                  for money..which I totally denied too...then I realised that
                  ..just bcuz I ordered items costing under 100..I was suppose
                  to pay the delivery charge...which is totally waste I think..</t>
  </si>
  <si>
    <t xml:space="preserve">Worst sale service, after sale service if more worst. Blinkit-
                  Instamart is better. I bought some gift with gift packaging
                  but received without of it. I raised it with them for
                  exchanging it with gift packaging. But are not doing it. I am
                  somewhere outside &amp; need to gift it to someone, now I am
                  stuck with it.</t>
  </si>
  <si>
    <t xml:space="preserve">Horrible experience with the app. No timely support, every
                  order has one or the other issues. Customer support is
                  horrible. They do not allow us to delete the saved card
                  details from the app. Email support does not work. Chat
                  support agent give scripted answers and I am running behind
                  them from 6th of December, still no response. Ridiculous...</t>
  </si>
  <si>
    <t xml:space="preserve">Full scam app! The total cost of items in cart is less than
                  the total cost shown in final amount, and they show platform
                  fee as 0 but keep additional packing costs hidden to fool
                  gullible customers! Also since pointing out the same online,
                  the app is always showing my location as unserviceable due to
                  traffic while others apps work great!</t>
  </si>
  <si>
    <t xml:space="preserve">had a very disappointing experience with this app. I have 125
                  in my wallet, and I just wanted to use it, but the option not
                  available. Initially, it disappeared. I emailed Zepto to
                  resolve this issue, but they were not supportive and didn't
                  respond at all. This has been extremely frustrating.and also
                  not a provide call centre no. this very disappoint... And
                  Return your money but 10-50 short money</t>
  </si>
  <si>
    <t xml:space="preserve">I am extremely disappointed with the zepto app. The wallet
                  feature is complete unreliable. I have money in my wallet that
                  I am unable to use, and this has caused me a lot of
                  inconvenience. I reached out the zepto team via email to
                  resolve the issue, but they have been unresponsive and
                  unhelpful. I would not recommened this app until this issue
                  resolved. Avoid until they improve their service. They have no
                  any customers service number</t>
  </si>
  <si>
    <t xml:space="preserve">My experience was not great. Most of the time it shows
                  unavailable in your location prompt. The products are
                  relatively highly priced. When I am able to order, it shows
                  zepto cash is unavailable in your location. These are frequent
                  problems. I would request zepto team to tackle these issues.</t>
  </si>
  <si>
    <t xml:space="preserve">Very bad experience with this app if you are offering some
                  zepto cash then let us use it as well. All the time I am
                  trying to order something it is showing that zepto cash
                  unavailable and price of products is also higher that other
                  applications. Also there is no option to contact customer
                  support on the application itself.</t>
  </si>
  <si>
    <t xml:space="preserve">The app sucks. It barely works. It feels like I'm using the
                  old blackberry phone again when I'm using this app. The wallet
                  cash is always unavailable even though I keep getting the sms
                  and notifications about it being there. It's so time consuming
                  and difficult to add items.</t>
  </si>
  <si>
    <t xml:space="preserve">I ordered for the first time from Zepto and it's disgusting.
                  Dal packet was ripped off, bread was handled not properly and
                  it comes in the shape of bun. When I am trying to get
                  replacement but they are saying you have to use it. Wow. I pay
                  for it but if I am getting garbage products from Zepto, I have
                  to use it. This was my first and last time. Disgusting app.
                  Will never use it. Big basket and BlinkIt are way better than
                  this 0 app.</t>
  </si>
  <si>
    <t xml:space="preserve">It was so good till November but then suddenly everything I
                  try to check has an error and it shows please come back later.
                  I checked my internet connectivity, it's all fine but this app
                  is showing errors every now and them for the past few days.</t>
  </si>
  <si>
    <t xml:space="preserve">I will give it 1 star since there is no transparency
                  available. No OTP based delivery, no proper tracking, totally
                  unreliable estimated delivery time estimation. This rating has
                  been updated due to my recent order experience 1. Showed
                  delivery in 12 mins actually delivery time was more than 1
                  hour. 2. No OTP based delivery system. Order marked delivered
                  without actually being delivered 3. No proper order tracking
                  system 4. No timely customer suppot/resolution</t>
  </si>
  <si>
    <t xml:space="preserve">your app sucks. there is no way to chat instantly if there is
                  some issue. i have some offer/zepto cash in 3 of my accounts.
                  but it all vanished when i tried ordering something. sooner or
                  later everyone will get to know that your zepto cash is total
                  waste and you are just using it to lure the customers.
                  uninstalling your app with 1 star rating on playstore.</t>
  </si>
  <si>
    <t xml:space="preserve">Several glitches on the app. Payment deducted but no order was
                  placed.. and after 1 hour. the order was accepted. on its own
                  when not required customer care was not feasible at all.
                  Kindly work on your customer service and app.</t>
  </si>
  <si>
    <t xml:space="preserve">Worst experience ever. Not a single time have they delivered
                  the correct order or complete order. They put your call on
                  hold for 30 mins. On chatbox the person ( mr aamir Kamil)
                  didn't respond me after stating that he will be back in 2-
                  3mins. He was neither responding nor taking any action to fix
                  the issue. Don't ever use this app. Blinkit and Swiggy insta
                  are way way better than this cheater lathargic company.</t>
  </si>
  <si>
    <t xml:space="preserve">Horrible delivery I have had issues twice in the past 1 month
                  ,first my order was cancelled and I was not refunded and
                  second time my order was not delivered they claimed that it
                  was delivered and I was not refunded . The chat was not
                  properly conducted and the delivery person could not be
                  contacted. Horrible service, horrible experience ,in the name
                  of cheap rates they are scamming us. Extremely disappointed
                  expected better from such a big name company ðŸ˜ž</t>
  </si>
  <si>
    <t xml:space="preserve">Good grocery app. But bad tactics. They are charging delivery
                  fee for pass members unless you remove it manually using apply
                  button, even if you apply, it's not guaranteed. If you modify
                  cart it might come back.</t>
  </si>
  <si>
    <t xml:space="preserve">Bad experience. Tricking peoples by giving 100 rs off, 75 rs
                  off etc. First they were effective and didn't had any hidden
                  charges. Now they are like After Applying 100 RS Off Coupon On
                  30 RS Lays The Balance Amount I Have To Pay Is 118.94 Rs. I
                  don't know what calculation they are using but i order the
                  same thing at the time they started there were nothing to pay
                  after doing this same process. If the coupons can't be used
                  then why bother giving. Why tricking users. To bad</t>
  </si>
  <si>
    <t xml:space="preserve">Worst app for delivery because everytime in this app occurs
                  network issues,I try to run this app with my wifi but it
                  doesn't work a white screen is visible till 1 minute and after
                  this app runs for 2 minutes and then the app stopped and says
                  no network connection</t>
  </si>
  <si>
    <t xml:space="preserve">Usually I order all electronics or electrical items from
                  Amazon or flipkart but this time I ordered 2 USB charging
                  cables from Zepto but accidentally I ordered C type. I did the
                  mistake but when I contacted customer care they said they have
                  no return, no exchange policy and then Closed the chat. I
                  think Zepto is okay for food delivery but Remember be careful
                  when order anything else from Zepto since there is no return,
                  no exchange. I am surprised , all e-commerce apps allow
                  returns or exchange.</t>
  </si>
  <si>
    <t xml:space="preserve">I just downloaded this app and all I could was see the main
                  dashboard. Unable to scroll, even if it does that will take
                  like 30secs. I was unable to search a single product nor able
                  to select any. You guys need to get a fix asap</t>
  </si>
  <si>
    <t xml:space="preserve">I recently placed an order and made the full payment online.
                  However, my brother collected the order on my behalf and
                  mistakenly gave the rider extra money. When I contacted
                  customer care about the issue, they were unable to resolve the
                  matter as the rider denied receiving any additional payment. I
                  understand that mistakes can happen, but I am disappointed
                  with the lack of resolution and the rider's denial. I hope the
                  company can review this incident and take steps to prevent
                  similar situations</t>
  </si>
  <si>
    <t xml:space="preserve">Poor service. They have not delivered the entire order and
                  there's no response from the customer care also. My delivery
                  agent says order not given to him fully by the hub and will
                  bring the missing items in 10 mins. Am still waiting..
                  pathetic and risky also . Not at all secure.. will uninstall
                  and refer friends not to install the app...</t>
  </si>
  <si>
    <t xml:space="preserve">Iâ€™m disappointed with Zepto after noticing a sudden drop in my
                  wallet balance. I received â‚¹125 on December 18, 2024, valid
                  until December 18, 2025, but today I found my balance at â‚¹0,
                  with the expiry changed to 2024. This feels like a scam and
                  manipulation, especially after initially trusting their
                  cashback offers. Iâ€™m no longer using Zepto and will stick to
                  other apps that donâ€™t engage in such misleading tactics. This
                  experience has left me frustrated and disillusioned.</t>
  </si>
  <si>
    <t xml:space="preserve">*THE WORST APP* I have never been able to use the free Zepto
                  Cash in my wallet, despite receiving it since I installed the
                  app. Not once have I been able to redeem it, so I always end
                  up paying for orders myself. To make matters worse, the app
                  charges nearly three times the MRP of items due to GST,
                  handling fees, and delivery charges. After mailing the Zepto
                  team, they advised placing two orders, but I found no "Cash on
                  Delivery" option. Despite explaining this, they repeated the
                  same response.</t>
  </si>
  <si>
    <t xml:space="preserve">Worst app ever they have advertised about it everywhere but
                  can't deliver everywhere... I have seen so many ads about this
                  app so I installed and said "I'll try it " but in a place like
                  Mumbai City they don't deliver everywhere and that's very sad
                  to see.... Bad company zepto</t>
  </si>
  <si>
    <t xml:space="preserve">I had an extremely disappointing experience with Zepto. My
                  order took more than 30 minutes to arrive, which defeats the
                  entire purpose of a quick delivery app. The delivery guy was
                  loud, rude, and annoyingâ€”he literally asked me to come to his
                  location to collect the order instead of delivering it to me.
                  When I inquired about a surprise gift promised by Zepto, he
                  rudely responded that he doesnâ€™t know and doesnâ€™t care. This
                  is beyond unprofessional.</t>
  </si>
  <si>
    <t xml:space="preserve">It's a horrendous experience to specify a delivery address.
                  The app seems to only allow this by using my location or by
                  searching an address list. I don't see a way to edit the
                  address or to add more details. If there's a way to do this
                  it's very well hidden. I've been so frustrated that I've
                  uninstalled it. I strongly suggest that the designers look at
                  the design of any other delivery or taxi app and copy that!
                  There's no shame in copying a better design. Just do it.</t>
  </si>
  <si>
    <t xml:space="preserve">My order has not been delivered but still it is showing as
                  delivered in the app. This is a very bad app. Please do not
                  download it and complain to the customer support. I went to
                  the vehicle, I am not getting a call, nor am I getting chat
                  support. Very good experience is requested. tu u all please
                  don't download the app thank u</t>
  </si>
  <si>
    <t xml:space="preserve">It has pro and cons but the thing is they claim that they
                  deliver goods in 10 min and after ordering around 15 - 16
                  order from zepto I have seen most of the order(8-9) doesn't
                  even arrive even in 20 min and 2 times I have to go to them(
                  around 500m away from my house ) to get the delivery and when
                  I ask them why they are like we don't know the location what
                  kind of logic is this that's why there are maps and my house
                  is easy locatable through maps even a 12 year old can locate
                  the house. ðŸ˜”</t>
  </si>
  <si>
    <t xml:space="preserve">Worst delivery app whenever I try to place an order using my
                  zsogo cah Or even normally it always shows unservicable Or
                  traffic congestion and it is no joke it shows that always
                  after my first order I haven't been able to place any order
                  ALWAYS SHOWS UNSERVICABLE. FIX THIS PROBLEM ZEPTO</t>
  </si>
  <si>
    <t xml:space="preserve">Worst delivery app. I would suggest to use blinkit or Swiggy
                  Instamart for faster and accurate delivery. First of all they
                  do not provide products as described in the app and ask us to
                  accept the damaged product too. They do not listen at all,
                  their chat support is even worse, they do not reply properly.
                  All they do is apologise for it, what about the product? Why
                  you expect anyone to accept the damaged product. Delivery
                  partner ask to rate 5 stars forcely and stands until I give
                  them.</t>
  </si>
  <si>
    <t xml:space="preserve">Was initially good but now became spoil. First it used to show
                  the price with transparency, which now has some weird prices
                  shown. Please do clarify what is the difference between
                  delivery charges and item Handling charges. Are you paying
                  each of your employees this item Handling charges. And the
                  calculations of gst is bizarre. How can you come up with non
                  existent gst charges. So bye bye. And I urge any new customer
                  to use any other app than zepto</t>
  </si>
  <si>
    <t xml:space="preserve">when we are seeing in time of order they are showing less
                  price in the invoice. when we are paying the amount they are
                  increasing the price about 10/- on each items .this is very
                  bad and stealing our amount . very very sad to purchase in
                  this app.Don't purchase in this app . thank you friends.</t>
  </si>
  <si>
    <t xml:space="preserve">Being a regular customer of Zepto for last few years , for the
                  first time I had bad experience with Zepto. I got a damaged
                  and defective product but they are not ready to take the
                  return process and refund my money. Instead they are saying
                  the product was is in good condition since it was packed. What
                  is this logic ? Even I was in ahope that the product was in a
                  good condition and fresh stock delivered until I unpacked the
                  product. The very same day I had mailed the ZEPTO team but no
                  response.</t>
  </si>
  <si>
    <t xml:space="preserve">Worst shopping experience. These zepto take full advantage of
                  customer who if by mistake order any wrong product , when u
                  ask for exchange they will neither refund not exchange the
                  product. On top they are earning from such people. Never I
                  recommended this app. Now a days the prices of products are
                  increased.. This app my last preference as they haven't
                  improved their services</t>
  </si>
  <si>
    <t xml:space="preserve">Wallet was unavailable while doing payment. Money was stuck in
                  zepto wallet. No other option other than placing an order. No
                  proper support from customer care, even after sending emails
                  and chatting they are not going to refund the amount.</t>
  </si>
  <si>
    <t xml:space="preserve">1. I am using this only because Zepto accept Pluxee for food
                  items. But tell me since when "Thick Pohe" became non food
                  item? Pluxee option enabled after removing Thick Pohe from
                  cart! Blinkit, BB considers as food item!! 2. User can't
                  purchase food item (via Pluxee) and non items (via any other
                  payment options) in single order. User has to place two
                  different orders! Big Basket is having better user experience
                  on this. Please check BB app once to improve user experience
                  for Pluxee card owners!</t>
  </si>
  <si>
    <t xml:space="preserve">I had a very disappointing experience with this app. I have
                  â‚¹100 in my wallet, and I just wanted to use it, but the option
                  to do so is no longer available. Initially, the option was
                  visible, but after a few days, it disappeared. I emailed Zepto
                  to resolve this issue, but they were not supportive and didn't
                  respond at all. This has been extremely frustrating</t>
  </si>
  <si>
    <t xml:space="preserve">Would have given zero or -1 but this is minimum I can give All
                  goes fine but if order get failed they deduct money and say we
                  will refund in 3-5 working days and it happens a lot. 1st time
                  I tracked with one of my orders on 5th December, the refund is
                  not back and their customer service agents say we did not
                  receive money and app give a reference number for refund
                  (however bank say that number invalid) Be careful if you are
                  paying online as they are tricking customer in " order failed"
                  scam</t>
  </si>
  <si>
    <t xml:space="preserve">I've had the worst experience , i downloaded this App today
                  and ordered some items, some of the items were missing, I
                  raised a complaint but they did not offer any refund against
                  it, worst experience ever, I'm never ordering anything else
                  from this app again</t>
  </si>
  <si>
    <t xml:space="preserve">Revising my rating to 1-stars from 5-stars because the Zepto
                  pass price is not being applied while still being a member. It
                  shows the special pass discount is applied on the order page,
                  but when you checkout the cart, it makes you pay the higher
                  non-pass amount. Furthermore, the Zepto support does not want
                  to understand your concern and gives botish replies without
                  sincerely trying to help. You can contact them over chat and
                  emails only. Going to uninstall the Zepto now. Good bye Zepto!</t>
  </si>
  <si>
    <t xml:space="preserve">One of the worst delivery app and just throws a small bait to
                  attract customers to purchase from them and if you fall for
                  the trap they will continuously send messages to buy masala
                  and salt, don't waste your time in purchasing through
                  zep(waste)to, they don't even allow us to use free 125 cash if
                  you are trying to purchase, they only allow free cash purchase
                  for frequent users and my sincere request to everyone zepto is
                  worst and don't waste your time in zepto.</t>
  </si>
  <si>
    <t xml:space="preserve">Make an easy interface.. you guys are dumb, I dont wish to
                  order a product, but as soon as I added and pressed cash/upi
                  option, they have placed my order, you dumb peoples at least
                  should ask about confirmation of order and you even dont have
                  cancellation option</t>
  </si>
  <si>
    <t xml:space="preserve">The customer service is very bad, and they also send defective
                  products."My experience with this service has been extremely
                  disappointing. The customer support is unresponsive, and the
                  products sent are of poor quality. I received an unripe and
                  undersized avocado, and despite reaching out, there was no
                  resolution. Would not recommend this service to anyone.</t>
  </si>
  <si>
    <t xml:space="preserve">Bad app with wrost customer service, they give zepto cash and
                  tells that the expiry is of one year and it will expire in
                  2025 but it got expired today itself (13-12-2024). They also
                  don't have call facility through which you can easily call
                  them, not just call but they dont answer on mails as well.
                  Overall ok-ok app with bad customer service.</t>
  </si>
  <si>
    <t xml:space="preserve">Wrost experience using Zept I am experiencing an issue with my
                  Zepto Wallet, as it shows a message stating that the wallet is
                  temporarily unavailable at my location. However, my friend,
                  who is at the same location, is able to use the Zepto Wallet
                  without any issues.</t>
  </si>
  <si>
    <t xml:space="preserve">I recently ordered a product, but unfortunately, it didn't fit
                  me. When I reached out to customer service, I was informed
                  that they donâ€™t have a return policy like Amazon or Flipkart.
                  Itâ€™s really disappointing to see such a lack of flexibility in
                  their policies. Please upgrade your application as per
                  customer requirement.</t>
  </si>
  <si>
    <t xml:space="preserve">I had money in my zepto wallet but they were not allowing me
                  to use that cash.I complained about it they said to call at a
                  number that is not working.Daily messaging me "Free cash is
                  waiting for you use it" But when I am opening the app they are
                  saying not applicable.They also that you order first then only
                  your wallet will work otherwise wasted. Worst App! Get
                  solution of the above problem then only I will order otherwise
                  no.</t>
  </si>
  <si>
    <t xml:space="preserve">Need lot of improvements. Pathetic response time 1. If any
                  issues with the orders you won't be able to chat with support
                  team. Has very limited options in chat support 2. Does not
                  show the accurate delivery time,, says 5 mins but will be
                  delivered to you in 15-20 mins 3. And items when you calculate
                  manually cost less, they charge more, and descripancy will not
                  be shown anywhere until you notice and calculate manually.</t>
  </si>
  <si>
    <t xml:space="preserve">I've had a frustrating experience with this app multiple
                  times. During peak hours, it's almost impossible to place an
                  order it keeps showing errors and doesn't process the order.
                  Also there's no (COD) option when I need it the most, which is
                  really inconvenient. To add to the frustration, my Zepto
                  Wallet shows a balance, but every time I try to place an order
                  using it, an error occurs and I can't complete my purchase.
                  This defeats the purpose of having a wallet feature. I am
                  going to delete</t>
  </si>
  <si>
    <t xml:space="preserve">Though the service is good, Extremely disappointed with zepto
                  cash, till now I have received zepto cash multiple times but
                  not able to use that at least once. Instead of giving and
                  disabling option to use better not to give nd create false
                  hope. Hope this will be fixed soon. Thanks!!</t>
  </si>
  <si>
    <t xml:space="preserve">I'm rating it with 1 star because the option of pay on
                  delivery is not more available now and if you don't allow
                  users to use the money that you have given them in their
                  wallets, then why do I give it to them at first place.
                  Everytime I want to order something and use the money in the
                  wallet, it says unavailable. What's the use? And then it has
                  an expiry date as well within which if not used the money will
                  be disappeared. You don't allow users to use it and it gets
                  expired.</t>
  </si>
  <si>
    <t xml:space="preserve">Cannot track your order. No proper help center, just empty
                  replies. No customer care number. I am still waiting for my
                  order, it has been 40 mins since I ordered, when the ETA
                  promised was 12 min. Cannot do anything. And after wasting 1
                  hr of time, and mental stress, they cancelled my order. And
                  says refund after 3-5 business days. Very bad service from
                  zepto. Now they will just ask to write to support, where they
                  will ignore me and just forward mails continuously.</t>
  </si>
  <si>
    <t xml:space="preserve">Horrible Experience, just ordered some groceries, paid the
                  price online, now it's been around an hour but they still
                  haven't delivered, not received any resolution in help chat
                  either, and they don't have any customer support voice call
                  facility.</t>
  </si>
  <si>
    <t xml:space="preserve">Worst service of zepto. I have ordered a product, zepto wallet
                  cash is added in the bill it got subtracted from actual bill
                  during placing the order, but when the product got delivered
                  it's showed full amount. I paid full amount. Bad coustomer
                  service, when I am asking some questions from the chat the
                  coustomer care ended the chat by giving reckless reply. This
                  app don't even have cancellation of order. mails also not
                  responding properly. What is the use of having coustomer
                  support of zepto?</t>
  </si>
  <si>
    <t xml:space="preserve">The customer service is terrible. They deliver products
                  nearing expiry and don't even replace or refund. This is the
                  3rd time it's happening. Honesty I am done. I would rather
                  order from some place with better customer service even if
                  it's a few rupee more expensive like Instamart.</t>
  </si>
  <si>
    <t xml:space="preserve">Hey! Hi! Really annoyed by your company literally everything
                  is fine with the app! Products are being delivered well and
                  good! But stop calling me 10 to 15 times a day! For promotion!
                  Is it that necessary? It's really annoying no matter how many
                  numbers I block I get call from different numbers! Kindly look
                  into this! It's really annoying! Very Bad!</t>
  </si>
  <si>
    <t xml:space="preserve">Worst app ever use. While ordering I stuck on payment
                  processing page so I exit the app and again order now I just
                  get to know that I order the product 2 time so I try to cancel
                  but their is no option even in help section cancel order is no
                  working that said your order Is packed what the hell I just
                  order after 20 sec is got packet and leave for delivery than
                  how I even cancel my order.Now I say blinkit is best in term
                  of service</t>
  </si>
  <si>
    <t xml:space="preserve">They are scammers first they will give you promotional money
                  in your zepto app to attract people then once you utilised the
                  money and make fresh purchase they will collect money from
                  your bank account and cancel the order and will say money will
                  be refunded in 3-5 days but will never refund. It's 10 days
                  haven't received refund and support team is very
                  unprofessional they won't reply to your emails and will keep
                  you on wait if you try to chat with then on the app. Scammers
                  do not use.</t>
  </si>
  <si>
    <t xml:space="preserve">Unnecessary order is getting cancelled with any prior
                  intimation. Such worst quality of service. Customer care
                  executive is trained to say Sorry, apologize and Refund will
                  be given. Not much. Zero Star experience. So many players in
                  the City. Think of it and Improve your service quality. Now I
                  am withholding my future order. Don't force me to uninstall
                  this app. Don't reply with email to support. I know the same
                  trained staffs will be responding to the mail.</t>
  </si>
  <si>
    <t xml:space="preserve">Lavie bag was ordered and delivered. But the bag has
                  defectives - black smudged marks and stitches have gone at one
                  place. I reported immediately, but there was no action taken -
                  neither the product us replaced nor money returned. The
                  packing material was also terrible with all dust and black
                  marks on it. I am utterly disappointed with thquality
                  acustomer service of Zepto. If it was Amazon, Instamart or any
                  other e- commerce platform would have done the service
                  satisfying to the customer. Useles</t>
  </si>
  <si>
    <t xml:space="preserve">I had a very disappointing experience with Zepto. The delivery
                  person appeared to be intoxicated, and instead of delivering
                  the ordered water bottles, he brought bottles purchased from a
                  local market. Additionally, it took over 40 minutes for the
                  delivery, and the bottles were leaking upon arrival.</t>
  </si>
  <si>
    <t xml:space="preserve">Pathetic app support. No option to talk to customer support
                  executive. It shows eta 10 mins then once the order is placed
                  it gets increased by 200% or mostly more than that. If you
                  want to cancel the order they will not let you only. Super
                  cheap strategy. They don't even deserve any ratings</t>
  </si>
  <si>
    <t xml:space="preserve">I recently started using zepto app &amp; at the starting there
                  will be 'free cash wallet' i was very excited for that but
                  since the last 2 weeks,the app stopped giving 'free cash'. I
                  don't know why they do like this !! Even I messaged them in
                  whatsapp about this,but they didn't responded. unsatisfied !!</t>
  </si>
  <si>
    <t xml:space="preserve">Zipto app is not safe for money transaction.paymant service is
                  not good,their service goes offline while making payment.And
                  refund also takes a lot of time.Zepto's customer care team is
                  of no help customer's calls are not answered on time. Even if
                  a call is made ,our customer service people are busy.Who makes
                  you wait on call by playing some music. I would say that you
                  should not use such apps whose servers are not correct or
                  safe. My money is stuck in Zepto app And I have a prof.
                  #Boycottzepto</t>
  </si>
  <si>
    <t xml:space="preserve">They are fraud They don't show the handling charge first. when
                  I placed my first order that was free delivery but after
                  clicking order, the price was increased because of handling
                  charge and I can't cancel the order So , they took handling
                  charge in the place of delivery charges</t>
  </si>
  <si>
    <t xml:space="preserve">Hi Zepto, I really appreciate your app, but I wanted to bring
                  something to your attention. When a user adds a product very
                  quickly on the homepage (by clicking the button twice), it
                  sometimes gets removed instead. This happens because the "add"
                  and "subtract" actions are in the same spot for a second. I
                  faced this issue recently when I was in a hurry while placing
                  an order. Some products I intended to add were actually
                  removed, and this caused confusion after delivery.</t>
  </si>
  <si>
    <t xml:space="preserve">Don't use zepto wallet. They can disable it anytime and it is
                  non refundable. In one of my order one item was missing. For
                  which they refund in zepto wallet and wallet is unavailable
                  since last 6 days. Customer care is saying keep placing orders
                  after few orders it will be available. Seriously pathetic
                  thought process.</t>
  </si>
  <si>
    <t xml:space="preserve">Fraud.... I have been using zepto in Jaipur, Too many issues
                  with it and worst support assistance. You buy buy 1 get 1 free
                  they delivered single item. I ordered a moon lamp and they
                  delivered me a non working moon lamp, without any accessories
                  l. I ordered a photo frame and they delivered me shattered
                  frame. On top of that Support directly shuts you up by saying
                  we contacted zepto store and they provided the product in
                  SEALED and good condition. Scammers everywhere....</t>
  </si>
  <si>
    <t xml:space="preserve">When I tried to check out at a lower price it kept giving me
                  an error but after trying for more than 10 minutes the price
                  updated to a higher rate and the checkout miraculously started
                  working again. Nice.</t>
  </si>
  <si>
    <t xml:space="preserve">Never ever have they delivered the food on time and after such
                  a long wait they will cancel your order. Delivery partner will
                  not pick up. Nothing is right about this app other then
                  spending the funding they are getting. No customer retention
                  no customer service. Definitely it's not a single instance
                  episode with zepto. They don't have enough riders, enough
                  stock and enough support team. The leftover of swiggy and
                  zomato are the operations team of this company how do you
                  expect for it to survive</t>
  </si>
  <si>
    <t xml:space="preserve">The app is pretty good...!! I will give only three stars
                  because cash on delivery is not available if someone want to
                  buy we have to pay online please give cash on delivery so that
                  if they want to purchase something we can easily give to hand
                  with cash and some of them do not have online payment to do so
                  please do cash on delivery it's and request ðŸ™ðŸ™ðŸ™ðŸ™</t>
  </si>
  <si>
    <t xml:space="preserve">Ordered tandori momos from the app , worst experience, the
                  momos were uncooked and stale , soggy , can't eat a piece,
                  worst quality total wastage of Money , don't order this
                  product, the food wasn't edible , its a shame to get such
                  service from you , i need a refund of my money 125 rupees ,
                  such food can lead to health issues , zepto please give a
                  solution to my problem, i totally lost my money , such items
                  shouldn't be available on the app , worst experience!!!! Just
                  disappointed!!!</t>
  </si>
  <si>
    <t xml:space="preserve">Zepto delivery agents are fraud like it's service...Today
                  24/12/24 I have ordered 4 items as pre paid but within few
                  minutes zepto app shows that order has been delivered without
                  attempting the delivery. When I tried to call the agent with
                  zepto app then there system plz call with your registered
                  number. It's really very disgusting app which I have ever used
                  before.....uninstalling now. Please use this app at your risk.</t>
  </si>
  <si>
    <t xml:space="preserve">The app is good but it do scams with the people. It's wallet
                  cash is not working and when you compose email they will said
                  you have to order first and then it will be applicable. And
                  once you order it the zepto cash becomes zero. Ashamed on the
                  zepto and their teams.</t>
  </si>
  <si>
    <t xml:space="preserve">Incredible experience with Zepto! I ordered a Zebronics
                  headphone, and it was delivered in just 9 minutesâ€”super quick
                  and efficient. The service is outstanding, and the delivery
                  team deserves all the praise for being so prompt. Highly
                  recommend Zepto for its reliability and speed. 5 stars all the
                  way!</t>
  </si>
  <si>
    <t xml:space="preserve">They play some cheap tricks to want us to pay more. It showed
                  i had zepto cash but later when i tried to use it I was unable
                  to, due to high demand or temporarily unavailable. What a
                  stupid reason to disable zepto cash. I hope you guys go
                  bankrupt</t>
  </si>
  <si>
    <t xml:space="preserve">Wrost app ever. Mostly items price overvalued. Second things I
                  have cash wallet amount but not able to use from last 15 days.
                  Most of the time service unavailable not able to order any
                  item. Most of the time surcharge applicable. Just looting
                  people. It will be good if we used dmart app.</t>
  </si>
  <si>
    <t xml:space="preserve">No customer support to deal directly .only email..that too 24
                  hrs waiting time..fake wallet cash for just promotion
                  purpose..it will not be applicable on orders..just to attract
                  customers they are providing wallet cash so that we will place
                  order..wallet cash is not applicable please try after
                  sometime. Same continues..like me there are so many facing
                  this issue...</t>
  </si>
  <si>
    <t xml:space="preserve">If we accidentally tap the cod order button without confirming
                  the products..we are unable to cancel the order. I suggest
                  there should be atleast 2-3 mins allowance of cancel order or
                  undo option. Then after 3 mins the cancel option should
                  disappear once the delivery agent leaves for delivery.</t>
  </si>
  <si>
    <t xml:space="preserve">One of the worst delivery app every, First they delivered me
                  something that I never ordered and then later they ordered the
                  wrong items, instead of ordering my new cart they ordered the
                  old cart and the customer care service is the worst, they
                  don't know how to resolve the issue and will close the chat on
                  your face, very disappointed with the app and service will let
                  everybody know about this and tell them to delete zepto WORST
                  APP EVER VERY ANNOYING AND IRRITATING.</t>
  </si>
  <si>
    <t xml:space="preserve">The products images takes a while to load almost 3 minutes.
                  With the same internet speed I am able to see Jio Mart or
                  Swiggy Instamart products quickly. This experience has to
                  improve and until then I will use other apps.</t>
  </si>
  <si>
    <t xml:space="preserve">very very very wrost and fraud app. I was very disappointed
                  with this app. I sign up on yesterday but today then it's
                  showing that zepto cash rs. 40 in my wallet. but today when I
                  want to use its showing that no longer available. and when I
                  use chat option using contact to zepto team. they also said
                  after few order it will be available. they are talking like
                  foolish type. it's totally unsupported and totally
                  disappointed to me. this app is extremely frustrated to me. I
                  apeal don't use this ðŸ˜¡ðŸ˜¡</t>
  </si>
  <si>
    <t xml:space="preserve">Zepto is an excellent grocery delivery app offering ultra-fast
                  delivery, fresh products, and a user-friendly interface. It
                  provides great discounts and cashback rewards, making every
                  purchase more valuable. Reliable and efficient, it's perfect
                  for hassle-free grocery shopping.</t>
  </si>
  <si>
    <t xml:space="preserve">The delivery service was good. But the app experience is
                  horrible. For last two weeks every time I want to order
                  something it keep saying "Unserviceable due to traffic jam"
                  all day. And I don't live in a very traffic congested area. I
                  don't know what is going on.</t>
  </si>
  <si>
    <t xml:space="preserve">Had to change my rating and review as for last few months
                  using app on my Samsung Galaxy J7 Nxt mobile is almost
                  impossible. It is terribly slow, screen takes forever to
                  refresh. Not facing any issues with other installed apps.
                  Reinstalled Zepto app numerous times. Written many many
                  emails, but no resolution, only stock responses. Requested
                  call back from escalation team, but no one called. The Zepto
                  cash being credited is going to waste.</t>
  </si>
  <si>
    <t xml:space="preserve">It's a horrible app. I added money using a gift card for
                  making an order. The Zepto cash greyed out and gave a message
                  that Zepto cash is unavailable I am continuously emailing
                  Zepto support service in order to redeem my Zepto cash BUT all
                  invain. Uninstalled and reinstalled the app again invain Dear
                  all seriously it's a horrible app. Never add cash to Zepto
                  cash. There is a possible scam going on. Once you add money it
                  greys out and is not usable. Terribly disappointed! Shame on
                  Zepto !</t>
  </si>
  <si>
    <t xml:space="preserve">Bad experience. Why accept order if there is an issue on your
                  end? Refund my â‚¹2000 asap. Edit: Yes, i have filed a complaint
                  through mail, they said it will be refunded but still no
                  refund. Edit 2: Says it has been refunded on the app but when
                  i check my account, not a single penny has been refunded.</t>
  </si>
  <si>
    <t xml:space="preserve">Worst app they don't even exchange the product if they brought
                  the wrong size. Avoid using this app. Because once you bought
                  the product they care less about the fitting or any other
                  issues. Worst service ever.</t>
  </si>
  <si>
    <t xml:space="preserve">No customer support whatsoever, can't chat with any agent nor
                  they reply to your emails. I can't use my wallet balance even
                  after a week it says temporarily unavailable sent a mail to
                  them no reply, tried calling no reply. Totally unstable app.</t>
  </si>
  <si>
    <t xml:space="preserve">I have ordered few stuff. After sometime it's showing order is
                  delivered but it's not and when I called the delivery guy he
                  is saying that he had an accident n then he's ph got switched
                  off. I m trying to explain the customer support to same issue
                  but they are not able to understand the issue. First of all
                  put some human over the phone if you can afford the machine is
                  not able to understand the situation. Is this the new way to
                  snatch people's pocket. This is my first order n i got this
                  .WORST</t>
  </si>
  <si>
    <t xml:space="preserve">These guys are total frauds. My order was marked delivered, I
                  tried reaching out to the delivery partner who was rejecting
                  the call repeatedly. Then the customer care didn't respond on
                  the chat nor are they picking up the call. This is the 2nd
                  time this week I am facing the same issue. @Zepto team please
                  help</t>
  </si>
  <si>
    <t xml:space="preserve">I have never seen ghatiya app than this. I give 1 star to
                  zepto first my zepto cash was not working I complain they say
                  first place 2 orders then it will work but till not it's
                  showing unavailable. Secondly, I contact with their customer
                  support further they will not picking up call. I also contact
                  with their email still there was no satisfactory solution.</t>
  </si>
  <si>
    <t xml:space="preserve">I bought a 500+ gift voucher and added it to zepto balance,
                  but guess what, I cannot use the same for placing orders.
                  Congratulations Zepto, well done. You are the first and the
                  only company I've came across which restricts users from using
                  their own money on orders. Such a pathetic company which can
                  stoop so low for its selfish gains!!!</t>
  </si>
  <si>
    <t xml:space="preserve">I used this instant delivery app, and it was a complete
                  disaster. The app promised delivery in 11 minutes, but after
                  an hour, my order still hadnâ€™t arrived. I contacted customer
                  support, and they had no idea where my order was or how much
                  longer it would take. They offered to cancel the order, but
                  that wasnâ€™t helpful, as I had already waited so long. The lack
                  of communication, transparency, and accountability was
                  shocking. The appâ€™s estimated delivery time was completely
                  misleading. Worse exp.</t>
  </si>
  <si>
    <t xml:space="preserve">This is a very useless policy in the matter of refund, that is
                  why no one should make any prepayment, firstly they make the
                  call without coming to the delivery location and After that
                  the delivery partner disconnect the phone and then give the
                  reason that we are not getting the location. Now I am talking
                  to support for refund from last 4 days, everytime same answer
                  that it will come in few days, brother please tell me how many
                  days it will take, showing no refund status is active in the
                  app.</t>
  </si>
  <si>
    <t xml:space="preserve">Zepto provided me free money of rs.125 as reward with 1 year
                  validity. It was credited on 12/12/2024 and it was valid till
                  11/12/2025 .I was trying to use it. But it was showing
                  temporarily unavailable. Within 24 hours zepto expired it.
                  Useless rewards and useless app. I will Never try to use it.
                  Blinkit is far better than zepto ,atleast blinkit don't commit
                  such scams.</t>
  </si>
  <si>
    <t xml:space="preserve">I received a bad-quality milk product from Zepto despite
                  having a Zepto Pass for free delivery on orders above â‚¹99. The
                  milk was curdled, and although I requested a replacement, I
                  was only offered a refund, which I didnâ€™t want as it made it
                  harder to reorder products below â‚¹99. This experience was
                  extremely disappointing. Iâ€™ve documented the issue with
                  screenshots of the chat and product. From today, I promise
                  never to use Zepto againâ€”consider the Zepto Pass a Christmas
                  gift from me.</t>
  </si>
  <si>
    <t xml:space="preserve">Iâ€™m disappointed with Zepto. My â‚¹175 balance dropped to â‚¹100,
                  and now itâ€™s marked as â€œunavailable to use.â€ the issue remains
                  unresolved. I wouldnâ€™t recommend this app and feel I shouldâ€™ve
                  stuck to Swiggy.</t>
  </si>
  <si>
    <t xml:space="preserve">This app is fraud they do fraud, always send wrong item and
                  when you go for support then they will not help you either,
                  they will give you half refund where you paid more than that,
                  today I place and order and got wrong item I told delivery guy
                  to check before delivery it he was also not helping. They send
                  me wrong item 11th time and still waiting on chat support for
                  resolution with wrong item.</t>
  </si>
  <si>
    <t xml:space="preserve">Don't add any money to your zepto wallet ever. Most of the
                  times it shows unavailable and you have to pay by other
                  methods. It's a waste of money. Tried contacting the zepto
                  support on email but they haven't even replied. Stupid app.</t>
  </si>
  <si>
    <t xml:space="preserve">Only the first few orders went well after signing up. The
                  prices seem to be a bit inflated, and often times, there is
                  surge charge involved. Moreover, I'm getting fake messages
                  about free credits, but when I open the app, there is nothing
                  like that. Despite having one month membership, I have to
                  think multiple times before ordering.</t>
  </si>
  <si>
    <t xml:space="preserve">Very poor management system. Helpdesk were not helpful,
                  recently I have order groceries and in that order one item was
                  missing, for that I am seeking for the help from the customer
                  care, they were not helpful for me. They told me they deliver
                  the package in seal, but when I received the order there is no
                  seal in package, don't fool the customer. This is not the way
                  to do business. @Mr. Aadit Palicha kindly improve your
                  management and helpdesk team, to resolve the customer issue.
                  bad experience.</t>
  </si>
  <si>
    <t xml:space="preserve">One of the dirtiest app to see Because they have high prise
                  for basic items and they say that you wallet has some amount
                  if I make order with that amount it never bills it to the
                  below value of that bill it will not let you to buy the
                  products from your wallet that amount is just a business
                  gimmick iam totally frustrated how people are so cheap . I
                  suggest don't go in way of these people just walk for a minute
                  to nearby your local stores and buy the products Iam deleting
                  it</t>
  </si>
  <si>
    <t xml:space="preserve">This app needs so many improvements. If the item is out of
                  stock, why can't you show this while we're adding the item to
                  the cart? Why do I have to search and add an item to the cart
                  first and then go to the cart to find out that the item I
                  needed is OUT OF THE FKNG STOCK!?</t>
  </si>
  <si>
    <t xml:space="preserve">Zepto has been a huge disappointment. My free cash is disabled
                  without explanation, and despite multiple emails and tweets,
                  no one has responded. If this isnâ€™t fixed soon, Iâ€™m deleting
                  the app and warning others to stay away. Horrible experience!</t>
  </si>
  <si>
    <t xml:space="preserve">I am deeply disappointed with my recent experience with Zepto.
                  I was given a wallet amount of Rs. 125 as a supposed
                  incentive, but it turned out to be nothing more than a lure.
                  Thereâ€™s no clear option to use the wallet balance, and
                  customers like myself are led to believe that this credit will
                  be applied at some stage during the order process. To my
                  frustration, as soon as the order was placed, I found out that
                  the wallet balance had expired. This feels misleading and
                  leaves a bitter impression.</t>
  </si>
  <si>
    <t xml:space="preserve">DO NOT USE THIS APP Amount was debited from my account 2 times
                  and customer support didn't helped in any way . Our Payment is
                  not safe with Zepto . DO NOT USE this app guys . My money is
                  still stuck with them and they don't care about their
                  customers. Talking to their CS executive didn't helped also.
                  DONT USE THIS APP</t>
  </si>
  <si>
    <t xml:space="preserve">never on the proposed time. always late delivery. there is no
                  contact number also to raise an issue or complaint. just
                  ordered a kids game for gifting purpose, firstly it came late
                  and the box is also broken. and now I have no number on which
                  I can complain about it. Very Disappointing</t>
  </si>
  <si>
    <t xml:space="preserve">Your store is always closed. Everyday the msg comes that use
                  75 rupees which has been added in your account but as usual
                  store remains closed. Other apps are better. Yet no action has
                  been taken 24 hours had passed I did complaint and still it
                  shows your cart is unserviceable try later store is closed. No
                  other option I can do is uninstall the app and would never
                  recommend anybody to go for it rather will suggest go for
                  blinkit, instamart, jio à¤®à¤¾à¤°à¤¤, Amazon any other app but not
                  this</t>
  </si>
  <si>
    <t xml:space="preserve">Zepto delivers expired products. It's very disturbing to get
                  an two month expired packet of id idli batter that needs to be
                  consumed within 3-4 days after production.very shameful. Now
                  zepto has new marketing strategy they allure the customer with
                  zepto cash and when a customer orders the items that
                  particular order get cancelyand with that your offer also get
                  cancelled very well played zepto.</t>
  </si>
  <si>
    <t xml:space="preserve">This free cash thing is total rubbish, didn't get available
                  even after many deliveries and it's just vanish without
                  meeting the deadline date as mentioned!! Very bad experience
                  with this , try to improve on this . Otherwise really good and
                  yaa please either totally remove this free coins things or
                  mend it properly</t>
  </si>
  <si>
    <t xml:space="preserve">I don't understand what's wrong with zepto I didn't get coupon
                  since 2 months and wherever I got the coupon I wasn't able to
                  use it .I hope the team fix the problem as soon as possible.
                  And recently the app was not even opening!!.!!!</t>
  </si>
  <si>
    <t xml:space="preserve">Very very disappointed about the refund policy. I have ordered
                  from zepto and payment mode through Lazypay after the payment
                  successful but order cancel from zepto I called so many time
                  to zepto customer care and 10 times mail but didn't received
                  any refund till now due to this my CIBIL score also impact.
                  Everytime they are saying will refund in 3 to 5 working day
                  but still after 3 months didn't not received any single order
                  amount. I will never order from Zepto again.</t>
  </si>
  <si>
    <t xml:space="preserve">Worst customer support. Before you explain your concern they
                  will close the chat. Unlike Swiggy Instamart and Blinkit very
                  worst customer experience. And they will sell electronics if
                  you got the product even though it's a bad quality they won't
                  provide option to return.</t>
  </si>
  <si>
    <t xml:space="preserve">Service is good when it works but the main problem is most of
                  the time when you try to order suddenly there is a surge in
                  demand and they keep asking you to order after sometime.
                  What's the point of zepto pass if you are not able to order
                  most of the time. Even their store is just within 500 meters
                  to my home. I am thinking to uninstall it.</t>
  </si>
  <si>
    <t xml:space="preserve">Why do u keep removing items from our cart?Things should be
                  kept in our cart as long we don't remove them or buy them, why
                  do u do this?We forget what we had kept there and we can't
                  find it then. And cart keeps changing with location.It is our
                  personal cart and no matter where we are items shud remain the
                  same.location shudn't matter here.Also there is no option to
                  like or wishlist an item in case we want to buy something
                  later,cz u remove them from our cart too n there is nowhere
                  else to find</t>
  </si>
  <si>
    <t xml:space="preserve">Such a poor app this is All chaos and a lot of waiting for
                  there's no response to your queries and they take a lot of
                  time even for a small thing also, N the delivery tube is also
                  very long n the electronics products they're a waste n your
                  refund will get struck</t>
  </si>
  <si>
    <t xml:space="preserve">"I had an issue where I was overcharged for my order. Despite
                  using â‚¹200 from my Zepto Cash balance, the delivery executive
                  collected the full order amount, leading to an overcharge. I
                  have emailed customer support but have yet to receive a
                  resolution. While the app is convenient and user-friendly,
                  such payment discrepancies and slow responses from the support
                  team need to be addressed to improve the user experience."</t>
  </si>
  <si>
    <t xml:space="preserve">I couldn't believe it would be that big. I was amazed and got
                  it delivered within a few seconds. This app is amazing guys (
                  YOU NEED TOO INSTALL THIS APP) I experienced : That the
                  package cost me â‚¹31 But the actual cost of the package was
                  above â‚¹300.</t>
  </si>
  <si>
    <t xml:space="preserve">1. Quality: "The products are consistently fresh and of great
                  quality. This makes every purchase feel worth it!" 2.
                  Packaging: "The packaging is neat and secure, ensuring that
                  items arrive in perfect condition." 3. Variety: "The product
                  range is extensive, covering almost everything I need in one
                  go." 4. Pricing: "Prices are competitive, and frequent
                  discounts add excellent value." 5. Delivery Time: " In 10 min
                  best</t>
  </si>
  <si>
    <t xml:space="preserve">CUNNING FELLOWS. Just like How j1O mobile kept cheap rates
                  mobile plans&amp; now tripled them years later, ZEPTO is doing
                  exactly the same. I was shocked by discounts at the start, but
                  now there's NOTHING, no discounts. U need to buy random things
                  above â‚¹999 to get your â‚¹40 milk packet for â‚¹39 along with
                  Zepto Pass Super saver(green). You can still choose â‚¹199 above
                  free with Zepto(violet) but Good luck finding a single rupee
                  discount. Bcuz of these people we killed our local grocery
                  shops. FK LAZY</t>
  </si>
  <si>
    <t xml:space="preserve">I had a terrible experience with Zepto regarding a refund. My
                  money was not refunded after a failed transaction, and their
                  customer support kept blaming the bank instead of taking
                  responsibility. Iâ€™ve contacted the bank, and they confirmed
                  itâ€™s an issue on Zeptoâ€™s end. Such poor customer service is
                  unacceptable. I will not be using this app again!</t>
  </si>
  <si>
    <t xml:space="preserve">I'm using this aap sinse 2 months but from past 10 days I'm
                  trying to place order but zepto cash is not available,they are
                  giving cash on alternative days for 1 year validity but it is
                  expiring in 3 to 4 days and when I speak with customer care
                  executive he told me that due to non usage of application
                  zepto wallet balance is not applicable,if it is not applicable
                  why they are sending in the wallet.</t>
  </si>
  <si>
    <t xml:space="preserve">I ordered something by mistake, and the app do not have a
                  feature of cancelling the order, and I called on customer care
                  number for 30-45 minutes, but they also didn't picked up the
                  call! They should be supportive if they're running such a big
                  app, these small things are very common in every shopping app
                  which they do not have</t>
  </si>
  <si>
    <t xml:space="preserve">I tried to order some seeds through your app. My wallet
                  balance showed â‚¹100, but during payment, the wallet option was
                  not available. I believe this is an issue that needs to be
                  fixed. I was very disappointed and decided not to place the
                  order and left. If there is no cashback or wallet balance
                  available, please ensure that users are informed upfront.
                  Otherwise, do not display a fake wallet balance.</t>
  </si>
  <si>
    <t xml:space="preserve">Why you are giving zepto cash, which is unavailable to use
                  while paying. And you give the cash with validity date of one
                  year, but you make it expired with in few days. Please don't
                  give such fake promises, people will not use these kind of
                  apps . If you understood my problem, help me in using the
                  available cash, give correct information of expiry.</t>
  </si>
  <si>
    <t xml:space="preserve">Very bad experience. The app is not responding to refunds .I
                  lost money .The app showed refund of my money n credited to my
                  account .but actually this is fraud misleading information. I
                  didn't get bsck my money. The customer care no is not working
                  .hundred times you call no response. The email redressal is
                  big bogey.you only get automated response. No action on our
                  grievance. Iam going to uninstall this app. There is no way
                  you can chat in app for grievance.</t>
  </si>
  <si>
    <t xml:space="preserve">App is good and delivering in good manner but having issue
                  with wallet. If wallet is not working how could we trust and
                  add money to wallet and we are not suppose to use free coins
                  and it keep saying we can use in next order only. If you
                  providing best service u don't require false promise.</t>
  </si>
  <si>
    <t xml:space="preserve">I have been trying to order since an hour ago it's showing
                  traffic congestion and before that heavy rain , and it's
                  totally fine no rain and no traffic , this 10 minutes delivery
                  business model is fake and they are failing miserably, don't
                  make any commitment when you are a just trying to survive in
                  marketï¼Ž</t>
  </si>
  <si>
    <t xml:space="preserve">The worst experience, they claim to deliver in 10 mins but
                  even after 40 mins they failed to deliver and cancelled the
                  order. they asked me to order again. No compensation from
                  their end and now I should wait for 3-5 business days for the
                  refund. the worst service so far.!</t>
  </si>
  <si>
    <t xml:space="preserve">Wallet cash is there in my account but it is unavailable to
                  use in my city whereas at the same time for my friend in same
                  city showing as available to use. Is this not misleading? How
                  can you earn genuine customers in journey if app works like
                  this. The price of certain items is Rs 1 to Rs 5 more in my
                  account than my friend's account irrespective of any
                  membership. Is there any reservation on the price too that
                  this person sees this price and other sees that price. No
                  trust as of now ..</t>
  </si>
  <si>
    <t xml:space="preserve">Do not buy anything from this app at start they offer
                  cashback, and after that, when you order something one product
                  is missing at the time of help they just say unble to process
                  refund or product exchange it is delivered from our side And
                  after each question they just pretend to be like you're query
                  is going to resolve and at end again we are unable to resolve
                  as per our side product is delivered with sealed and in pack
                  they just send tissue paper product is just missing Do not
                  deserve 1</t>
  </si>
  <si>
    <t xml:space="preserve">I purchased a product through this app, and it arrived in poor
                  condition. Unfortunately, the support team has been unhelpful
                  and is not addressing my concerns properly. Very disappointed
                  with both the product and customer service. Definitely not
                  recommended.</t>
  </si>
  <si>
    <t xml:space="preserve">So much stuff pushed in app can't even click anywhere. Every
                  product I click add, your stupid popup of super saving comes,
                  after the order you push the order time section on top while
                  show ads at 90% of screen. If you can't afford to sell
                  products and have to do advertising for other companies. Then
                  you failed as a startup.</t>
  </si>
  <si>
    <t xml:space="preserve">After spending 30 minutes for product selection and payment of
                  Rs. 1250 Zepto app crashed and getting mesage Zepto is
                  unserviceable please bear with us. I have no way out. Because
                  cancellation is not confirm I cant purchase from other
                  site..... I have already replied but they did not answer my
                  mail and replying here just to show the people they are
                  concerned</t>
  </si>
  <si>
    <t xml:space="preserve">Nowadays zepto has gone too poor with its services. I ordered
                  two days back and after waiting for an hour they cancelled the
                  ordered, no complete refund, they showing refund after
                  deducting some money, POOR SERVICES , And also having money in
                  wallet but shows unavailable every single time</t>
  </si>
  <si>
    <t xml:space="preserve">App has many bugs in it, when we proceed for paying it
                  automatically selects COD without giving option to apply
                  cashback and order is placed. I wanted to select meal card
                  payment and apply cashback but couldn't. I had to cancel many
                  orders.</t>
  </si>
  <si>
    <t xml:space="preserve">I'm unable to buy product although I have added above 250â‚¹.
                  They want me to complete the price tag amount, why is so? And
                  why there's not an option to upload photos regarding proof of
                  my problem so people can get better view by themselves... #the
                  weird and reality of zepto... Forcing people to purchase and
                  spend unnecessary.</t>
  </si>
  <si>
    <t xml:space="preserve">* Zepto is a lifesaver for busy individuals and those living
                  in urban areas. * The app is incredibly user-friendly and easy
                  to navigate. * I was amazed by the speed of delivery â€“ my
                  order arrived within minutes! * The quality of the products is
                  consistently high. * Zepto offers a wide variety of products,
                  from groceries to household essentials. * The customer service
                  is excellent and always ready to assist. keep up the great
                  work..zepto!â¤ï¸</t>
  </si>
  <si>
    <t xml:space="preserve">Zepto has completely transformed how I shop for groceries. The
                  app is super easy to navigate, with a wide range of products
                  available at competitive prices. What truly sets it apart is
                  the lightning-fast deliveryâ€”my orders consistently arrive in
                  under 10 minutes!</t>
  </si>
  <si>
    <t xml:space="preserve">Pathetic service - zepto shows 15 min but I have wait for 1
                  hour and suddenly get notification of cancelation without my
                  confirmation agai I got surprise they deducted membership
                  amount from that which I have added in order which they
                  cancelled and after discussion with there customer service
                  they denied to refund membership amount as now am not
                  interested to use this Pathetic service . If you are not able
                  to deliver order they who give u right to deduct amount for
                  membership</t>
  </si>
  <si>
    <t xml:space="preserve">Very bad service. Gave order today in the morning around 9 am
                  for six items Delivery staff reached at my residence within 20
                  minutes. One bag of Patanjali atta was missing, Delivery staff
                  told that I will deliver the same with in short time. But the
                  same is not being delivered till 7 PM. Again I ordered
                  patanjali atta at 19.30 hrs but surprised to see that again my
                  whole order cancelled and amount refunded. Complaint lodged
                  several times. neither atta delivered nor amount refunded.</t>
  </si>
  <si>
    <t xml:space="preserve">Please don't pay online method because of they are cheater on
                  that side. They not accepted any call or any situation. I had
                  ordered some products and pay online because of they gave me
                  75 cash on wallet. I payed amount and but not received the
                  product. Even my app are shown that they delivered my order.
                  But I m not received yet. And also I call the agent but they
                  not connecting there are not solved my problem if. I thought
                  this app is are very bad service. I hated this cheaper
                  disgusting app.</t>
  </si>
  <si>
    <t xml:space="preserve">This app give you delivery time of 5-10 minutes but It will
                  absolutely take atleast half hour to deliver. Even if you
                  contact support they will not resolve the problem. Bizarre..!
                  Most of the time quality of product is very low and very close
                  to expiry date.. Not recommended at all.</t>
  </si>
  <si>
    <t xml:space="preserve">For the same address it is showing different handling charge
                  on different profiles. Like can you imagine they are chargjng
                  you 24 rupees as handling charge though you are a pass member.
                  And no cash on delivery available even when i didnt cancelled
                  any order. The zepto cash they are offfering is unable to be
                  used as they are inapplicable. Ridiculous</t>
  </si>
  <si>
    <t xml:space="preserve">I am regular customer of zepto. But unfortunately now I have
                  switch as one other delivery ad. Coz. Know zepto is trying to
                  act oversmart. They are giving wrong product delivery and the
                  worst game they are playing is the had updated their app and
                  from it they have remove all customer support chats and
                  contact. Means no one can contact them for any issue or wrong
                  order. In short what zepto will send you have to keep Zepto is
                  starting to become worst delivery app</t>
  </si>
  <si>
    <t xml:space="preserve">Giving 1 star, because its the minimum here. Delivery boy
                  automatically cancels your order and says to you reorder the
                  same thing again. Refunding process is also too long. You try
                  to contact the customer care they won't respond to any of your
                  problem. No delivery boy talks in decent way with you. The
                  worst app ever!! Tried contacting you via Email or Chat, no
                  response from any side. Refund is showing completed but
                  nothing recieved into my account. It's a big Scam of Zepto. Be
                  Aware of Scam!!</t>
  </si>
  <si>
    <t xml:space="preserve">Cannot trust this app, everytime I try ordering, they just
                  keep cancelling the order. Once i ordered at night, hoping to
                  get the delivery but after waiting for almost 45 min , the
                  delivery guy cancelled the order, saying we didn't pick the
                  call, but in reality we tried calling him multiple times but
                  he didn't answer the phone. Again idk, if this is the same for
                  every location, but for me it never worked out.</t>
  </si>
  <si>
    <t xml:space="preserve">I have been using Zepto for quick deliveries, but my recent
                  experience has been highly disappointing. I received a product
                  that was completely unhygienic, dusty, and not consumableâ€”far
                  below acceptable standards. When I raised a complaint, I
                  expected a resolution, but all I got was a generic response
                  stating they would forward my feedback and images to the
                  vendor for "future reference." No refund, no replacement, and
                  no proper resolution were provided.</t>
  </si>
  <si>
    <t xml:space="preserve">Some sort of fraud in Zepto. It shows you a different final
                  price when you have finalized your cart but when you reach the
                  payment gateway, you are billed for a higher amount. All my
                  friends who order from Zepto have faced this fraud. We're
                  thinking of moving to BlinkIt because it's more transparent in
                  whatever charges it levies. Customers prefer honest sellers.</t>
  </si>
  <si>
    <t xml:space="preserve">Scam app they tell u by calling u have 125rs as balance in
                  zepto wallet but make h pay the whole damn money without
                  allowing use of zepto cash and don't even allow u to cancel
                  the order... annoying marketing technique. Don't order from
                  this people also doesn't give u instructions of using any
                  coupons and not a single customer care number on app. SCAMMERS
                  . Deleting this stupid app</t>
  </si>
  <si>
    <t xml:space="preserve">I had a very bad experience with the Zepto app. While the app
                  credits wallet money, it does not provide an option to use it
                  for payment. This is misleading and inconvenient for users who
                  expect to utilize their wallet balance seamlessly. Please
                  address this issue to improve the user experience.</t>
  </si>
  <si>
    <t xml:space="preserve">I am very disappointed with this app. There are many issues
                  like cash on delivery is not available in order, always zepto
                  cash is not available .I complained 4 to 5 times but there was
                  no reply and no improvement.And sometimes the delivery does
                  not come to my address.</t>
  </si>
  <si>
    <t xml:space="preserve">Fraud app , I am observing the rates from two different users
                  from same location, they are showing the different and high
                  rates, and also every time I try to order , they apply surge
                  fee even after having a prime pass...worse app ever they are
                  fraud##</t>
  </si>
  <si>
    <t xml:space="preserve">They have deducted money more than once for a single order.
                  Even after I shared the transaction id team is not taking care
                  of it. Instead they are telling wait for 3 days. After 3 days
                  when I checked with them they told it may take 5 days or check
                  with ur bank. Till now I did not receive my money back</t>
  </si>
  <si>
    <t xml:space="preserve">I had an extremely disappointing experience with Zepto. My
                  order wasnâ€™t delivered due to issues from their rider, and
                  when I reached out to customer support, they were of no help.
                  They refused to cancel my order, stating that it could only be
                  done by the rider, which is absurd. Itâ€™s been over 10 hours
                  now, and my order is still not canceled, nor have I received a
                  refund. This was my first time using Zepto, and with such
                  terrible customer service, it will certainly be my last. I
                  expected better,</t>
  </si>
  <si>
    <t xml:space="preserve">Zepto app is not allowing us to use Zepto free cash while
                  ordering anything from Zepto app in Mumbai. All our Zepto cash
                  get expired without utilizing the benefit of it when we place
                  the next order. This happened with me 4 times. All my Zepto
                  cash got expired. This is something wrong business tactics
                  used to attract customers. Zepto team kindly do something
                  about this issue as this thing is portraying wrong image about
                  your Zepto app. We want to order from you but you need to
                  correct this issue.</t>
  </si>
  <si>
    <t xml:space="preserve">Scam of india No one pickup call customer service Bad
                  experience I am extremely disappointed with the Zepto app. The
                  wallet feature is completely unreliable - I have money in my
                  wallet that I am unable to use, and this has caused me a lot
                  of inconvenience. I reached out to the Zepto team via email to
                  resolve the issue, but they have been unresponsive and
                  unhelpful. It is frustrating to deal with an app that doesn't
                  prioritize customer support. I would not recommend this app
                  until these issues</t>
  </si>
  <si>
    <t xml:space="preserve">(4 Dec)Edit- Updated from 3 to 4 star. Now the app shows the
                  exact time instead of showing 10 minutes. (14 Nov) The team
                  should update the actual time within which the grocery will be
                  delivered. The page shows 10 minutes and yet the delivery
                  takes upto 30 minutes. The problem is not with the timing but,
                  rather the advertising. If something can't be delivered in 10
                  minutes just don't advertise it that way.</t>
  </si>
  <si>
    <t xml:space="preserve">My irder was not delivered. I called up the delivery agent,
                  and he never picked up my call. I called uo zeptos customer
                  care, and they never answered either. I sent a message on chat
                  support but never got connected to the support team. To top it
                  off now, my zepto cash credit was wasted on the order.</t>
  </si>
  <si>
    <t xml:space="preserve">A very pathetic experience from zepto, please don't order any
                  wearable items, they are providing a very cheap and unexpected
                  products also, there was no proper resolution given, they are
                  doing any replacement no refunds nothing if you want to bare a
                  loss then go ahead.</t>
  </si>
  <si>
    <t xml:space="preserve">It was not preferable for orders electronics item. If you
                  placed any electronic item there is not option to
                  return/exchange your item....cc not given any solution they
                  are just sitting on chair and doing chatting with buyer they
                  are not given any solution.... worst platform for electronics
                  item ..</t>
  </si>
  <si>
    <t xml:space="preserve">Very worst experience. The customer support bad, damaged
                  products are delivered and support says they just delivers and
                  quality or damaged product nothibg they can do for that. Not
                  recommended even money in wallet is not available. Not
                  recommended at all.</t>
  </si>
  <si>
    <t xml:space="preserve">It's most disappointing that we never able to contact to the
                  customer support even after multiple attempts. Presently I'm
                  facing an issue with the Zepto wallet and I have 80rs which
                  shows as unavailable not sure why. There is no reason for why
                  it's unavailable so bad to know how the customer support
                  functions in this big organisations.</t>
  </si>
  <si>
    <t xml:space="preserve">The app is good... But sometimes it just don't accept orders,
                  even that is ok... But I can't even use my wallet cash from
                  2-3 days they are showing wallet cash temporary not available,
                  try later what, means if I want to use it now and order
                  something which I instantly required. Also in super saver we
                  have to order above 249 and if order not above 249 we have
                  from the other option by paying more.. sometime order doesn't
                  go above 99 if doesn't go we to more 30+10 delivery and
                  handling charges.</t>
  </si>
  <si>
    <t xml:space="preserve">Update: 3/12/2024 This is the worst, most pathetic, fraudulent
                  app ever. They delivered just 1 item from the order while
                  other items were not delivered. Completely fraud app. For the
                  same product it shows different prices on two different
                  accounts and the difference is more than 50 â‚¹. Half the time,
                  money received in zepto wallet can't be used. While between
                  ordering the option to use zepto cash disappears. Poorly
                  managed company.</t>
  </si>
  <si>
    <t xml:space="preserve">I have a some money in my zepto wallet but it shows temporary
                  unavailable and when I told this to customer service they says
                  make some order using the different payment option and I also
                  do that but after that it still shows temporary unavailable.
                  Then I again told to the customer service they again says that
                  thing.I already make 3 orders using other options but it still
                  show temporary unavailable about 2-3 weeks.</t>
  </si>
  <si>
    <t xml:space="preserve">1.Products(specific electronics: pandrive) are more expensive
                  when GST included as compared to buy from Amazon(Final price).
                  2.Zepto free cash (only valid for next order) are always
                  unavailable,and it is just a coin like in game but game's coin
                  can be used. I will appreciate it if the problems are
                  resolvedâ˜ºï¸.</t>
  </si>
  <si>
    <t xml:space="preserve">Nice app and good delivery but can scam you. I recently added
                  over 25 items and just checked the summation of the prices.
                  Opened the order summary and compared the above sum to item
                  cost (which is supposed to be just the items , excludes gst,
                  handling charges and any other charges). Zepto was changing me
                  significantly higher than their own displayed price. I can't
                  even report this issue on the app as there is no provision for
                  it.</t>
  </si>
  <si>
    <t xml:space="preserve">Zepto is worst in jaipur. They fool the customer with their
                  free amount, they will give some free amount in your zepto
                  wallet so that you order from zepto to use that free amount.
                  But when you go to make payment on the checkout page it will
                  show that wallet is unavailable. And when we talked about this
                  via email(only option), they said that you should place your
                  1st order without any discount and then the wallet will be
                  available from the 2nd order. But again same thing &amp; also
                  wallet amt expired</t>
  </si>
  <si>
    <t xml:space="preserve">These people are too good at taking advantage of regular
                  people. They make you buy a pass which says you will get free
                  delivery. Then while ordering they hide this button in their
                  ui which says click here to get free delivery. Most of the
                  time people miss this button as it's not at a place where it's
                  can be easily seen and end up paying delivery despite having
                  bought the pass. Scammers</t>
  </si>
  <si>
    <t xml:space="preserve">As online store &amp; delivery, it is providing good service.
                  But two issues: Total bill amount seems to be more than sum of
                  the price of individual items plus handling charges by few
                  rupees, and so, there seem to be some hidden charges added.
                  Discount coupon added in the bill goes missing while payment
                  happens and higher amount gets charged.</t>
  </si>
  <si>
    <t xml:space="preserve">had a very disappointing experience with this app. I have 125
                  in my wallet, and I just wanted to use it, but the option not
                  available. Initially, it disappeared. I emailed Zepto to
                  resolve this issue, but they were not supportive and didn't
                  respond at all. This has been extremely frustrating.and also
                  not a provide call centre no. this very disappoint. ðŸ˜­ðŸ˜­ðŸ˜­</t>
  </si>
  <si>
    <t xml:space="preserve">Worst application. And worst service provided. I had items
                  missing from my order tried to contact customer service the
                  issue was not solved and I was logged out from the app by them
                  and still not able to login. They have not received any refund
                  for the missing items and I can't login in the app to raise
                  complaints.</t>
  </si>
  <si>
    <t xml:space="preserve">All the time it shows 'high in demand ' and surge fees
                  applicable. Even â‚¹80/- items becomes â‚¹242. Convenience fees,
                  small cart fees, handling fees, delivery fees. If ever zepto
                  gives you free cash, remember you can't use that cash and it
                  always be appeared as "Surge in demand" or "Unserviseable at
                  the moment ". The cash is given to use it for 'One Year', but
                  within a week that will be expired. Ridiculous ðŸ™</t>
  </si>
  <si>
    <t xml:space="preserve">Worst experience ever. I suggest you not to use this app.
                  There is no cancel options on few items where in they didn't
                  even mention about such option. When it comes to refund, it's
                  a scam.. I had to get refund on a order but i didn't get any
                  refund even after a week and they sent a message that they
                  have refunded the amount just to cover up. There is no
                  response from zepto's customer service neither responded to
                  call nor to email.</t>
  </si>
  <si>
    <t xml:space="preserve">Worst &amp; Horrible experience in this app, they game us some
                  free cash in their app wallet so we order product from their
                  app but i download this app 1 month ago and they gave me free
                  cash but they never let me use that money they always say
                  zepto cash unavailable right now. Don't fall their chiep trick
                  worst experience ever.</t>
  </si>
  <si>
    <t xml:space="preserve">This is the worst grocery delivery app in it's range. It
                  claims 10 mins delivery but never fulfills it's commitment.
                  Instamart and blinkit are always the better alternative.
                  Please try avoiding using this app as much as possible. The
                  customer support of this app is just as worst. They never
                  provide a fair and satisfactory resolution either.</t>
  </si>
  <si>
    <t xml:space="preserve">You have to apply free delivery coupon manually even when you
                  have Zepto Pass. You have to go through hoops figuring out
                  where and how the total bill doesn't match the individual
                  prices. Also personally I have seen lesser prices on cheaper
                  phones for the same product.</t>
  </si>
  <si>
    <t xml:space="preserve">I recently had a very disappointing experience with Zepto's
                  service. The order delivery process was highly unsatisfactory,
                  and the overall service left much to be desired. Without any
                  prior notice, my order was canceled, which is unacceptable. To
                  make matters worse, the payment for the order was deducted
                  immediately, but the refund process took an unreasonable five
                  days. The customer care support was unhelpful and
                  unresponsive. Despite multiple attempts to contact them, there
                  was no resolution</t>
  </si>
  <si>
    <t xml:space="preserve">The most disappointing quick commerce app. Gave me some amount
                  in the wallet when I logged in first &amp; but showing you
                  cannot use it at your location. All my friends are able to use
                  it but except me. Raised the concern many times but still no
                  progress. Someone should seriously address this problem as
                  many are facing.</t>
  </si>
  <si>
    <t xml:space="preserve">Inconsistent working of zepto cash. Lot of issues observed and
                  are as follows: 1. It always shows the Zepto cash as
                  Temporarily Unavailable please try again after sometime. 2.
                  Handling fee differs from account to account even with same
                  amount and items on the cart. 3. The zepto cash option to
                  select sometime appears and sometimes not. No response yet
                  from the customer care since a week. The issue was emailed a
                  week ago.</t>
  </si>
  <si>
    <t xml:space="preserve">Initially their service was excellent. But recently I have
                  stopped placing orders to them for their disappointing
                  customer support regarding a replacement / refund request
                  created by me last month. The defective item was collected by
                  them but no replacement or refund initiated so far, in spite
                  of, repeated reminders. Every time their standard reply is
                  that, the matter has been referred to the concerned authority
                  and will be resolved within 24 hours but no further action or
                  communication thereof.</t>
  </si>
  <si>
    <t xml:space="preserve">It is the most pathetic service I have experienced in my life.
                  I had previously placed order through their app and most of
                  the times they deliver the wrong order. I tried to contact the
                  zepto support through their app but as usual I received the
                  most pathetic service. There was no one answering my chats and
                  even the delivery partner refused to replace my order . There
                  was no answer through app. They simply said that the item you
                  ordered is out of stock now and we don't have it .</t>
  </si>
  <si>
    <t xml:space="preserve">As of now, Zepto's main attraction is discounts and cashback
                  etc. Help functionality on the app is terrible as it gives
                  very limited options, and does not let you report other types
                  of complaints. For example, I was charged for packing in an
                  order where all items were delivered loose/unpacked, and there
                  is no option in the Help/Chat section to raise a complaint for
                  such an issue.</t>
  </si>
  <si>
    <t xml:space="preserve">"I've been using Zepto for a while now, and I must say their
                  services are outstanding! The prompt delivery, fresh products,
                  and seamless ordering experience make it a go-to choice for
                  me. What stands out even more is their exceptional customer
                  serviceâ€”always helpful, responsive, and quick to resolve any
                  issues. Truly a fabulous experience every time!"</t>
  </si>
  <si>
    <t xml:space="preserve">Return policy is horrible. I had ordered a product and once it
                  arrived, I saw that it was not what I wanted. After 30 minutes
                  of shifting customer service operatives and me explaining the
                  issue patiently to each of them, it was clear that they are
                  absolutely unwilling to take the product back and offer a
                  refund. A customer cannot physically see a product on an
                  online app, and will know if it matches their requirement only
                  after they recieve it. Not having a return policy based on
                  this is unfair</t>
  </si>
  <si>
    <t xml:space="preserve">Zepto is giving very bad experience to there customers. I
                  placed order paid the bill but didn't got my order. It is a
                  kind of theft. So, customers can't trust on this and if we are
                  trying to contact no one is responding. Not on call or msg.
                  There is no revert from there side regarding resolving the
                  issue.</t>
  </si>
  <si>
    <t xml:space="preserve">I would not recommend using this app due to the following
                  reasons: 1. The customer service is extremely poor, and they
                  do not respond to calls. 2. I had a very unpleasant experience
                  where a delivery partner behaved inappropriately during one of
                  my orders. 3. Refunds for canceled orders are not processed
                  within the promised time frame. I personally faced this issue,
                  as my refund has not been processed even after 5 days past the
                  stated period.</t>
  </si>
  <si>
    <t xml:space="preserve">I had very bad experience with this app, I have 100 in my
                  wallet , and I just want to use it, but the option show it's
                  not applicable , I email zepto team back to back to fix this
                  issue but they don't support and not respond at all, it's a
                  very disappointed app ever... Why zepto team are not able to
                  respond....</t>
  </si>
  <si>
    <t xml:space="preserve">Zepto has extremely poor product services. If you order any
                  product by mistake (which is very common during placing an
                  online order) and if it is prepaid delivery, the delivery
                  person does not take your items back at the time of delivery,
                  customer support is helpless, it encourages waste of money and
                  the product! Very disappointed with the services, not helpful
                  &amp; to reach out customer care is another complicated
                  process!</t>
  </si>
  <si>
    <t xml:space="preserve">My experience with zepto was very good before this incident
                  but now not the same . My 2 orders were cancelled due to some
                  issues that is fine but I got refund of only 1 order but In
                  the app it is showing that refund on both the orders are
                  completed And when I tried to contact through coustomer
                  service, i couldn't because it's not giving me a chance to
                  teel my problem and continuously sending the same message and
                  closing the chat. U need to change ur coustomer services and
                  check my refund</t>
  </si>
  <si>
    <t xml:space="preserve">Using this app is a waste of time, nothing else. They told us
                  the order will delivered within 10 min. But I waited till it's
                  been 1 hour from order placed time. Also the delivery agents
                  are not supportive. They didn't pick call, even though I tried
                  more than 3times to reach them. Such a wastage app.</t>
  </si>
  <si>
    <t xml:space="preserve">Using this app for a while and it's convenient ....never had
                  any issue...but recently saw that the prices and total is not
                  transparent When u sum up the prices manually in cart it is
                  different and less than the total amount shown in breakdown
                  Probably added gst...but the added tax is not seperately shown
                  This should be fixed</t>
  </si>
  <si>
    <t xml:space="preserve">Worst ordering experience, I ordered a single item, price
                  shown was 288 after all charges. Clicked on Order and the
                  price randmoly jumped to 413 and added value included Surge
                  charge which weren't mentioned before. Along with that no
                  option to chat with support and cancel the order. Stick to
                  Blinkit.</t>
  </si>
  <si>
    <t xml:space="preserve">Completely disappointed , poor product quality delivering and
                  once you are going for resolution, assign people's are very
                  unprofessional and unable to provide resolutions on the time.
                  I my concern I wait till 10 minutes for resolution but didednt
                  get anything yet . I need to share everything again. This is
                  complete plateform to best fraud now a days. Blinket is best
                  because they provide salution on the time and product quality
                  is also good.</t>
  </si>
  <si>
    <t xml:space="preserve">The new update is atrocious! Zepto has gone from being my top
                  choice to a disappointment. Removing Zepto Money discounts,
                  the only reason many stayed despite delays, is a huge mistake.
                  'Super Saver' and 'For Instant Needs' are jokes delivery
                  charges remain high, and thereâ€™s no real savings. Delivery
                  times were always late, unlike Blinkit, which is far more
                  reliable. This update feels like a greedy cash grab. If you're
                  trying to push loyal customers away, congratulations, you're
                  succeeding.</t>
  </si>
  <si>
    <t xml:space="preserve">Although I was dissatisfied with their service, I decided to
                  log in and order again. However, I found the app to be
                  terribleâ€”filled with numerous advertisements, making it
                  difficult to select and order what I wanted. It's a completely
                  hopeless app.</t>
  </si>
  <si>
    <t xml:space="preserve">A way too frustrating and disheartening experience it was.
                  First of all, I ordered A chocochips ice cream however they
                  gave a different product. When asked for replacement, they did
                  not responded and then again, they delivered a torn package
                  and when asked for replacement, think what? They totally gave
                  me an allegation of torning the pachage , getting some product
                  out of it and then I placed for replacement ðŸ˜… That was the
                  horrible experience I had to face. Never going to order again.</t>
  </si>
  <si>
    <t xml:space="preserve">They give free cash right before your pass expires and will
                  disappear before you get to use it after renewing the pass.
                  Then why do you even give the expiry of the cash to be 1 year
                  if you're gonna scam us. The app is totally not worth it, the
                  competitors are way better.</t>
  </si>
  <si>
    <t xml:space="preserve">Zepto is degrading it's quality they promise you cashbacks in
                  zepto wallet but now it always show it's unavailable to use
                  and also if we add freebees or products at quite a cheaper
                  price than it get's out of stock at the time of delivery and
                  they do not pay back ....also if anything comes out in expired
                  packaging than also there customer support just tell you sorry
                  for the inconvenience but they do not return the money....</t>
  </si>
  <si>
    <t xml:space="preserve">Pathetic customer service, I ordered 3 items, got only 2, and
                  the delivery boy said the last item was not available and I
                  will receive a refund. I asked zepto, they said that I have
                  received all items have told them I called the boy and I do
                  have call recording him saying that last item was not
                  available and ask zepto for refund. And they keep transferring
                  me. What a pathetic service. I have been using it for months,
                  but now I think its time to move on to another platform.
                  Pathetic guys.</t>
  </si>
  <si>
    <t xml:space="preserve">Zepto has hidden away it's customer complaint option in recent
                  months. I received an expired product and an off-taste product
                  last night. Unable to complain on the app. It used to be
                  possible earlier (I've received a refund too for bad quality
                  products they've sent).</t>
  </si>
  <si>
    <t xml:space="preserve">Pathetic customer support. You guys charge for the item but
                  don't deliver the expected weight mentioned on the app. You
                  representative made me feel like I am a fool and dumb
                  customer. He expected me to have a weighing scale to measure
                  the weight of the item. The tags of your item doesn't have the
                  weight mentioned. I think you vendors are not delivering the
                  expected weight to the customer but charging the full amount.</t>
  </si>
  <si>
    <t xml:space="preserve">Worst platform for shopping. They first give you option of
                  free cash upto 125 rupees but after two days the amount is
                  available in wallet but you can't use it. Then they tell you
                  to purchase something then only they again give you that
                  offer.... But they won't. They just fool you don't use the app</t>
  </si>
  <si>
    <t xml:space="preserve">Delivered large banana instead of baby banana And despite
                  sharing images with support, no refund or replacement has been
                  provided. It is the second time this issue has occurred and
                  they have not corrected the problem. Will not be using this
                  app anymore.</t>
  </si>
  <si>
    <t xml:space="preserve">Good app. Gives competitive price in comparision to swiggy and
                  blinkit . There is one major flaw for which I have deducted
                  one star. There is no filter after the search option. I think
                  the person who might have developed is not getting paid enough
                  as this simple feature is not added. Please add it.</t>
  </si>
  <si>
    <t xml:space="preserve">It is an amazing and outstanding app. Zepto is far much better
                  from blink it and big basket. They deliver top quality
                  products. Each and every type of product is available on
                  Zepto. You name it and it is available. Delivery guys are also
                  very kind and humble. They are always on time and they are
                  never late. I totally love Zepto products and services. Must
                  try</t>
  </si>
  <si>
    <t xml:space="preserve">App was good till last update. Issue came where COD order was
                  placed in one touch without confirmation . Few items were not
                  needed by us. I like to keep adding items throughout the week
                  and palace order later on weekends . We will move to a
                  different app like blinkit .Siwggy instamart and bb now etc as
                  in my family senior citizens are also using this app COD is an
                  issue for us so . Not having at least 30 seconds of wait time
                  post COD order is an issue. Emailed support no solution
                  provided .</t>
  </si>
  <si>
    <t xml:space="preserve">I hv Rs.125 in my wallet but it is showing unserviceable,
                  money will expire in 1-2 days yet nothing's changing.They got
                  to know that they r in a loss that's why they r showing this
                  unserviceable mark.But if u r putting money than make sure to
                  let us use it. This is really irritating. Kindly solve this
                  matter as fast as possible.</t>
  </si>
  <si>
    <t xml:space="preserve">Worst Fraud app ever, I paid for my order but order got
                  cancelled without receiving any call from delivery guy also my
                  money also not received yet. Eventhough it's showing cash
                  available in zepto wallet but unable to use it. I have pass
                  but free delivery is for only order above 100 which is same
                  for people without pass waste app better use other app which
                  has free delivery above 100 without pass and less handling
                  charges such as swiggy.</t>
  </si>
  <si>
    <t xml:space="preserve">Ending my journey with zepto after they the changes like free
                  delivery above 99. Now it's above 199. I understand that the
                  Team wants to have more benifits with its users but I think
                  many people like me are gonna uninstall this app after
                  changes. Glad that I found this app and i really enjoyed the
                  experience but sadly not using the app anymore. I predict that
                  The team developers team would obviously respond to my message
                  like they care about my concerns but in reality they really
                  don't.Bye zepto</t>
  </si>
  <si>
    <t xml:space="preserve">Highly disappointed with the service! It has repeatedly sent
                  me the same tampered product and after connecting with the
                  customer support they claim that the product was packed
                  properly and was not tampered!....I had to return the order
                  twice!</t>
  </si>
  <si>
    <t xml:space="preserve">Garbage app, floods with notifications but then is always
                  unservicible due to traffic congestion. Swiggy &amp; Blinkit
                  still deliver in 8-9 mins during Zeptos traffic congestion.
                  Just stop spamming users if you can't deliver. Deleting this
                  garbage forever.</t>
  </si>
  <si>
    <t xml:space="preserve">zepto promises to deliver orders within 10 minutes but none of
                  my orders have come before 20 minutes, in fact they have been
                  delayed even more. And there is no response to any complaint
                  by emailing customer support. And if you get a different
                  product or a different variety on ordering, you do not get a
                  refund. Customer support is very bad, you can talk to customer
                  support only on chat, not on call and none of your problems
                  will be solved by talking to customer care. Zepto's service is
                  very bad!</t>
  </si>
  <si>
    <t xml:space="preserve">I don't even want to give 1 star ... terrible
                  experience...always shows 6 7 mins delivery during checkout
                  but takes more than half and hour ...if u can't deliver at
                  time at least don't show fake timing to attract
                  customers...there are plenty other apps who deliver late but
                  atleast they don't shaw fake timing...always recieved melted
                  icecreams ..very terrible app</t>
  </si>
  <si>
    <t xml:space="preserve">I ordered something, product seen as a delivered but I haven't
                  received my product. When I tried to contact the customer care
                  all lines are busy and then I try to text the issue, no
                  responses made from their side, very bad experience I have
                  faced. Seriously not trust worthy</t>
  </si>
  <si>
    <t xml:space="preserve">Really bad experience while using the app. I have zepto cash
                  in my wallet from last 15 days but still I am not able to use
                  it. It's always showing unavailable. I have mailed the zepto
                  support team regarding the issue but still haven't got any
                  response from them.</t>
  </si>
  <si>
    <t xml:space="preserve">Horrible app, zepto premium is a scam as they charge surge fee
                  of 20 rupees and surgefee is even applicable if u have premium
                  and on top of that everytime i try to order there is surge
                  fee!!! Don't trust it and they dont even deliver on time
                  mentioned but will say 'on time'.</t>
  </si>
  <si>
    <t xml:space="preserve">Subject: Issue with Zepto Cash Availability Dear Zepto Team, I
                  am facing an issue where Zepto Cash is showing as unavailable
                  in my location, even though my area falls within the list of
                  supported locations. Despite meeting the eligibility criteria,
                  I am still encountering this error. Kindly look into this
                  issue and provide a resolution at the earliest. I rely on
                  Zepto for its convenience and would appreciate your prompt
                  assistance in enabling Zepto Cash for my account. Thank you
                  Best regard</t>
  </si>
  <si>
    <t xml:space="preserve">Placed order at 10.10pm. still waiting for delivery at
                  12.20am. The app logged me off. Didn't allow me to login.
                  There is no customer support available at this time. Be it a
                  number or chat. However it's mentioned that customer support
                  is there from 6 am to 3 am. Disappointed customer. 10 min
                  delivery am yet to see. Don't give me a standard answer. I
                  have already sent an email to support.</t>
  </si>
  <si>
    <t xml:space="preserve">Really worst service when compared to other applications...
                  They are not delivered to correct location and they want to
                  exact location when I paste my location the exact location not
                  capturing on your application then why you servicing and they
                  are not adjusting to deliver near by place so totally worst
                  behaviour and service</t>
  </si>
  <si>
    <t xml:space="preserve">Zepto is useful for bulk purchase, no use for people looking
                  for last minute purchase. However their zepto cash is not
                  useful. Delivery charge and other fees is high compered to any
                  other 10 minutes delivery app.</t>
  </si>
  <si>
    <t xml:space="preserve">Consistent poor delivery experience. Despite being zepto pass
                  member, the delivery is delayed. Also items are Missing in the
                  final order &amp; you have to follow up with customer support
                  to get refund OR re-deliver the item.</t>
  </si>
  <si>
    <t xml:space="preserve">One of my orders was delivered wrongly. It was not changed
                  after I complained. Again the customer service says that the
                  correct item has been sent. I recommend to all don't use it</t>
  </si>
  <si>
    <t xml:space="preserve">Very Disappointed with the Quality of Products. I ordered
                  coffee powder and milk from Zepto, and I must say, I am
                  extremely disappointed. The coffee powder tasted stale and
                  lacked the rich flavor I was expecting. It was as if it had
                  been sitting on the shelf for way too long. As for the milk,
                  it had a strange odor and was not fresh at all. I ended up
                  discarding both items, which is a huge waste. this experience
                  has left me questioning whether I'll order from Zepto again.
                  Very poor quality ðŸ˜ž</t>
  </si>
  <si>
    <t xml:space="preserve">It offers significant convenience and personalization. Users
                  can easily browse items, receive tailored recommendations
                  based on them. Allows for quick reordering and payment options
                  and also save time by eliminating the need to navigate to
                  crowded places. Delivery service is so nice</t>
  </si>
  <si>
    <t xml:space="preserve">One of the waste app use in my life ever. Don't Install waste
                  of time. Amazon and Flipkart are batter than this . In this
                  app almost all products are showing out of stock since 4 days.
                  And he is expecting grow. Totally waste of time. I am suppose
                  to not give rating but minimum limit is 1 and its forcefully
                  given by Google play Store.</t>
  </si>
  <si>
    <t xml:space="preserve">Very very very very disappointed with this app. I have 150
                  wallet cash but on the payment mode it shows that it is
                  unavailable. Such a horrible experience. They won't allow me
                  to use the zepto cash.</t>
  </si>
  <si>
    <t xml:space="preserve">"Absolutely horrendous experience with Zepto! Signed up for
                  their premium membership hoping for timely deliveries, but
                  it's been nothing but a nightmare. Orders consistently arrive
                  late, if they even arrive at all. Customer service is
                  non-existent, and the app is as buggy as it gets. Save
                  yourself the frustration and steer clear of this dumpster fire
                  of an app. Zero stars if I could!"</t>
  </si>
  <si>
    <t xml:space="preserve">Very Worst app, doing fraud with customer. The delivery boy
                  will not let the product deliver on right address and no
                  refund is sent by company very bad experience. His customer
                  care service is worst no response is given by costomer care.
                  Even no refund is to be provided by company. Worst app I think
                  not useful. I am going to uninstall and suggest you all to do
                  uninstall this fake app.</t>
  </si>
  <si>
    <t xml:space="preserve">Zepto cash never works Even after contacting customer support
                  the support said to order some goods and then it will work but
                  it never works the zepto cash always comes and goes I am
                  unable to use it. Every time it says unavailable and the goods
                  also never stayes and always goes out of stock</t>
  </si>
  <si>
    <t xml:space="preserve">Can't use wallet cash always shows technical error And this is
                  what they advised Zepto Customer care - Upon checking, we
                  kindly request that you place two orders. Once these orders
                  are marked as delivered, you will be able to use the Zepto
                  Wallet associated with this number.</t>
  </si>
  <si>
    <t xml:space="preserve">I have been a regular user of Zepto and honestly like the app
                  and the usability ( seamless... easy to use ) . However while
                  I end up Purchasing adhoc almost everyday 2-3 times .Now while
                  wanted to see tye monthwise spend summary or any such
                  analytics view for user to get a get a Spend analysis
                  view..tats missing in Zepto. Request you to add that dashboard
                  if possible, would be nice!! Thanks !!</t>
  </si>
  <si>
    <t xml:space="preserve">Worst application, Deducted my money on same order twice and
                  not even order placed. When I am trying to connect
                  representative they are not even receiving your call. There is
                  no any customer care system on their application and not even
                  the calling system is working.</t>
  </si>
  <si>
    <t xml:space="preserve">Don't use zepto wallet for shopping or zepto cash balance if
                  add money in zepto wallet you will not be able use it for any
                  of you product purchase , they scammed me and I lost my 750
                  rupees which I added in the wallet, they keep conditions in
                  front of you if you want to use that money you should first
                  use different payment method for shopping that means you have
                  to pay money for your purchase from other platform like phone
                  pe or Paytm etc. after that you can use your wallet money to
                  pay</t>
  </si>
  <si>
    <t xml:space="preserve">Customer support is very bad experience. They didnt help me
                  out. I have done mail but didnt get response and they reply to
                  me on playstore but didn't reply me on mail. I have mailed
                  10-12 times but they didnt revert back to me . Very
                  irresponsive and irregular customer support.</t>
  </si>
  <si>
    <t xml:space="preserve">I complaint about the zepto wallet not working and they fixed
                  that. Good to know customer feedback is taken well. The
                  delivery is good and lots of options available. But just had 1
                  problem , I just wished that they didn't introduce 24x7 option
                  ,just felt bad for the workers.</t>
  </si>
  <si>
    <t xml:space="preserve">whenever I try to order something delivery will be
                  unavailable, zepto cash only shows it is available when
                  delivery is unavailable. the App can be glitchy as well all in
                  all a very bad experience.</t>
  </si>
  <si>
    <t xml:space="preserve">Extremely disappointed on the fact that my COD is blocked and
                  no support system works. Zepto support is too poor and they
                  can't resolve a simple issue. I have been trying to contact
                  them since two weeks. My COD is blocked + I can't use wallet
                  cash as there is no option to use it. I want to utilise wallet
                  fund. Please fix this issue asap or I will need to switch
                  services. I promise to give 5star once my issue get resolved.
                  Thank you.</t>
  </si>
  <si>
    <t xml:space="preserve">Its been great using this app. But Free delivery on cart
                  Rs.199 can be auto applied instead of customer everytime
                  selecting option. It is like if customer misses then zepto
                  charges, that's bad. Also platform fee of rs 9.99 rised to
                  rs.16.99 per order is pretty high. For zepto pass every month
                  the pass renewal value keeps increasing. and I see it's gonna
                  keep increasing as they keep showing higher slashed rates for
                  the pass. Initially pass was rs.19 and then rs.29 and now it's
                  rs.79 per month</t>
  </si>
  <si>
    <t xml:space="preserve">I have face issue with my last two orders I have placed order
                  after ordering it's shows 15mins to deliver but after 1 and
                  1.30 hours I got cancelled my order without any reson not
                  delivered on time and cancelled without any reason not
                  recommended to anyone for this application they advertise 10
                  mins delivery but even not delivering in half hours worst
                  service do not use this application use *Blinkit* instead of
                  zepto.</t>
  </si>
  <si>
    <t xml:space="preserve">Not recommended, they are fraud. They give you cash rewards
                  with 2025 expiry and if you go for to claim it then app
                  doesn't allowed also they manipulate expiry date and reduce it
                  down immediately and the same day cash expired. This is scam I
                  complaint over email but they ignored me. Uninstalling app and
                  do not use it until they solved my concern.</t>
  </si>
  <si>
    <t xml:space="preserve">Very bad experience, I am unable to use wallet and support is
                  very bad. They are giving solution just order more and more it
                  will fixed automatically. What a dumb answer this is ðŸ˜­.
                  Atleast hire some good customer support team and stop making
                  fun of customer time and patience.</t>
  </si>
  <si>
    <t xml:space="preserve">I have got 125 cash, than changed to 100 cash, but can't use
                  anything. It's waste because same like me lots of people have
                  complaining for this thing but there is no solution. Mail also
                  they don't provide any help properly nor they give contact no.
                  If you don't want to make us use your zepto free cash than why
                  u are giving it.</t>
  </si>
  <si>
    <t xml:space="preserve">FAKE and Always sending NONSENCE MESSAGES. Worst APP. FAKE
                  DISCOUNTS. Very HIGH PRICES. If u r not giving discounts then
                  why u r sending FAKE MSGS of Rs. 125 discount. Worst platform,
                  Sending msg of 125 off and when i open app then i get nothing.
                  Worst decision to order from this. I ordered then when the
                  time came for delivery the order got canceled automatically.
                  Worst service. Hire uneducated delivery person can't use
                  google map. Worst thing is can't call the delivery person.</t>
  </si>
  <si>
    <t xml:space="preserve">Unfortunately, it has degraded. There are all kinds of fee and
                  charges added now. Highly disappointed. There's nothing such
                  as free delivery in this app now, its all gone. They provide
                  free delivery but add all kinds of charges and the order
                  becomes 40rs-50rs more in total amount.</t>
  </si>
  <si>
    <t xml:space="preserve">All the goods are well packed, good quality and within less
                  time we receive it. Only thing is, there should even be COD in
                  the payment option as everyone doesn't cannot do digital
                  payment. Rest everything is nice ðŸ‘ðŸ˜Š</t>
  </si>
  <si>
    <t xml:space="preserve">First it gives you cashback with long validity, As soon as you
                  order it, It goes through cash on delivery, Which shows no way
                  to cancel and at the same time the cashback is gone too. Don't
                  get fooled by the response on review, no one respond if you
                  send email to them</t>
  </si>
  <si>
    <t xml:space="preserve">I received â‚¹75 as a bonus to use on the Zepto app, but when I
                  added additional funds to my wallet, I wasn't able to use that
                  balance while placing an order. Itâ€™s extremely frustrating
                  that the money in my wallet couldn't be applied, and even more
                  disappointing is the lack of proper customer support. After
                  reaching out, I got no clear response or resolution. This
                  feels like a case of petty theft, as theyâ€™re taking your money
                  but not letting you use it. Absolutely poor service.
                  Fraudsters.</t>
  </si>
  <si>
    <t xml:space="preserve">I ordered a four cheese from the zepto cafe today and it was
                  in the worst possible condition. It was the worst pizza I've
                  ever seen. The base was so so hard the it was smelling
                  horrible. When I tried to reach to the customer care there was
                  no response on the call and in chat they said that they
                  couldn't help as they dispatched the right product from their
                  hub. Like seriously, do they mean it got rotten on the way. It
                  was my first time ordering something from their cafe and the
                  last too.</t>
  </si>
  <si>
    <t xml:space="preserve">zepto is the ultimate platform for a consumer who not only
                  gets his or her daily needs but with fabulous schemes looks
                  for more. This is very important and consumers who are not
                  only cost concious but timely delivery of its products will do
                  good for consumers. keep up the good job ZEPTO.
                  Congratulations for the effective and marvelous job done.
                  Thanks</t>
  </si>
  <si>
    <t xml:space="preserve">Horrible experience. After payment my order showed cancelled.
                  Money debited. No refund even after 7 days. In their customer
                  support chat, they've stopped responding to me. They aren't
                  picking up my call even. ðŸ˜¡ðŸ˜¡ðŸ˜¡</t>
  </si>
  <si>
    <t xml:space="preserve">Payment taken, no delivery 1. No customer care number to call
                  2. Amount deducted from account, but no delivery. 3. Nothing
                  in order history list for the payment taken. 25 dec : I have
                  already sent email on 24 dec itself. No one bothered to
                  respond. Nor the refund or delivery is done.</t>
  </si>
  <si>
    <t xml:space="preserve">Bad experience Such a bad app every order get cancelled
                  without informing me the item will show on your device you can
                  add that item to your cart but later when you place your order
                  suddenly that item get out of stock such a bad app and no cod
                  available and we have to wait a lot for refund. What will a
                  normal man can do with this type of problems You have just to
                  wait for your refund and then you can order again</t>
  </si>
  <si>
    <t xml:space="preserve">Without confirmation screen directly go to pay on cash
                  delivery,it was showing in my screen for online payment and
                  due to this without informing they have applied the surge fee
                  also, while checked and ordered no surge is showing in the
                  bill but after pay via upi to delivery person it was showing
                  there the sure amount. Even they don't have any option to
                  cancel the order,no customer care number. Delivery person also
                  told sometime it happened due to glitch in the qpp. so ideally
                  Zeptoshuldrefund</t>
  </si>
  <si>
    <t xml:space="preserve">worst experience ever didn't even ask me for payment method
                  directly assumed that I'll be paying via qr at the time of
                  delivery. Delivery was expected in 20 mins but waited for 45
                  mins to pack and arrive.Also wasn't able to apply for wallet
                  money. total worthless app. prefer Blinkit or Swiggy Instamart
                  instead. If there was option to rate Negative would've given
                  negative stars to this app.</t>
  </si>
  <si>
    <t xml:space="preserve">Worst app ever , try some other app but never choose this ,
                  the orders always gets cancelled without even calling me , it
                  has happened to me for 2 times in a day if I contact customer
                  support, they also do not respond properly , don't waste your
                  money on this app</t>
  </si>
  <si>
    <t xml:space="preserve">Very useful app Now, I can get my essentials delivered in
                  minutesðŸ˜....plus the free cash that they provide can be
                  easily used to purchase the products!! Loved the overall
                  experience......the delivery, the packaging, the delivery
                  partner, everything was just perfect. Looking forward to buy
                  more!!</t>
  </si>
  <si>
    <t xml:space="preserve">I'd been somewhat satisfied with the service and the fast
                  delivery that zepto offered. But recently, the customer
                  service has become awful. The coffee is ordered is either only
                  half full, or is too bad in quality. Today, I ordered in bulk,
                  using the super-saver option that they have introduced and
                  guess who got scammed. There were items missing in the order,
                  and the customer support said that the items dispatched from
                  the warehouse were cumorrect so they cannot rectify anything.
                  What BS?</t>
  </si>
  <si>
    <t xml:space="preserve">This app is terrible. I placed an urgent order, only for it to
                  be cancelled with no explanation. I tried placing it again,
                  and it was cancelled once more. There's no way to directly
                  contact an executive for assistance. The whole experience has
                  been incredibly frustrating.</t>
  </si>
  <si>
    <t xml:space="preserve">"My experience with Zepto has been really bad. I would rate
                  this app 1-star on Google Play. Refunds take way too long to
                  process, and orders get canceled randomly without any reason.
                  Then the amount goes into refund processing, and it takes me 5
                  days to get my money back. Sometimes, it even shows the order
                  as successfully delivered, but I never receive the product.
                  Total disappointment."</t>
  </si>
  <si>
    <t xml:space="preserve">Terrible Service - Wrong Item Received and No Return/Refund
                  Option! I ordered a specific item on the Zepto app, but to my
                  surprise, I received the wrong product. I immediately reached
                  out to their customer service, but I was shocked to find out
                  that they have no return, replacement, or refund policy in
                  place! It's frustrating to deal with such poor service when
                  they can't even correct their own mistakes. This experience
                  has been a waste of my time and money, and I won't be using
                  this app again.</t>
  </si>
  <si>
    <t xml:space="preserve">Zepto is doing new scam now a days. When I order online with
                  payment after 10mins they cancel it saying that out of stock.
                  And to order again. I thought may be some technical issue so I
                  ordered again same issue payment done. 2 times. And messege
                  show will get refund in 3-5 working days. What the hell is
                  this. If they can't refund immediate. They can add in our
                  wallet or any kind of coupon they can provide. Now I need to
                  wait 3-5 days for ice refund which I paid for 2 times</t>
  </si>
  <si>
    <t xml:space="preserve">Even with Zepto pass I am charged Rs 30 for delivery.
                  Apparently each time you need to choose whether you want
                  delivery fee or not. Who will want delivery fee?!? They are
                  counting on customers making a mistake when ordering in a
                  hurry. I have been using Zepto for over a year now as my first
                  choice app but noticing many such unethical practices in the
                  recent past. Therefore this rating. I am uninstalling as well.
                  Also they show a wrong delivery time. For 30 mins my order was
                  showing 6 mins away.</t>
  </si>
  <si>
    <t xml:space="preserve">I received â‚¹75 as a bonus to use on the Zepto app, but when I
                  added additional funds to my wallet, I wasn't able to use that
                  balance while placing an order. It's extremely frustrating
                  that the money in my wallet be applied,but not reduced bill
                  change and even more disappointing is the lack of proper
                  customer support.After reaching out, I got no clear response
                  or resolution. This feels like a case of petty theft, as
                  they're taking your money but not letting you use it.
                  Absolutely poor service.</t>
  </si>
  <si>
    <t xml:space="preserve">Iâ€™ve been using the Zepto app for a while, and overall, I like
                  the convenience it offers. However, Iâ€™ve run into a recurring
                  issue when trying to use my Zepto Wallet cash. Every time I go
                  to place an order, I donâ€™t get an option to use my wallet
                  balance at checkout. This has been frustrating, as Iâ€™d like to
                  utilize the funds in my wallet. I hope this issue gets
                  resolved soon so I can enjoy a smoother experience on the app.</t>
  </si>
  <si>
    <t xml:space="preserve">Quick service and competitive prices, except for the
                  perishables. But my main concern with the app interface is
                  that there's no option to filter products by brand name. This
                  option comes in handy when you need to buy a specific product
                  and don't want to scroll through the entire inventory to find
                  it. Hope you can add this feature in future updates.</t>
  </si>
  <si>
    <t xml:space="preserve">Zepto is honestly a lifesaver! They deliver groceries super
                  fast, usually within 10 minutes, which is perfect when Iâ€™m in
                  a rush or just donâ€™t feel like going out. The app is super
                  easy to useâ€”you can find everything from fruits and veggies to
                  snacks, everything, and even some treats from the Zepto CafÃ©.
                  Itâ€™s a cool addition where you can order fresh drinks, bakery
                  items, and ready-to-eat stuff thatâ€™s perfect if you need a
                  quick meal or snack on the go.</t>
  </si>
  <si>
    <t xml:space="preserve">The worst app ever. It says 10 min delivery but can't do that.
                  I was constantly going to order help but it has limited
                  options or queries to ask for. I can't even write my own query
                  even after constantly going through all the options available.
                  It showed delivery in 18 min. but got that stuff after waiting
                  for more than half an hour. It's a ridiculous app. Swiggy
                  instamart and blinkit are the best options available.</t>
  </si>
  <si>
    <t xml:space="preserve">I preferred it before where i subscribed and got a discount
                  when ordering above 1k. Thats a decent idea. Now they have
                  split the app, increased the price where is no minimum value
                  and if i want that discount i had before i now need a minimum
                  value of 2k! Your prices are anyway above market prices, but
                  you have hiked them further more and just reduce them on the
                  super saver side.</t>
  </si>
  <si>
    <t xml:space="preserve">if you buy products from brands they don't give the original
                  thing at all, I saw the same wallet on various apps zepto was
                  the quickest and cheapest although I suspected something might
                  be wrong, when I received the order it was very poor quality,
                  and the packaging was just a plastic wrapper, whereas the
                  product otherwise comes in a cloth drawstring purse. absolute
                  scam</t>
  </si>
  <si>
    <t xml:space="preserve">It was good app for delivery. But now their deliveries are
                  pathetic. It takes around 1 hr to 1.5 hr for a delivery in 0.1
                  km radios. That too on a clear weather. Very poor service.
                  About vegitables, it looks they always get the worst from
                  market, almost always there vegitables are rotten. Not at all
                  recommended</t>
  </si>
  <si>
    <t xml:space="preserve">It is indeed an amazing and trustworthy app but recently I was
                  hurt by how it managed my zepto wallet. I received zepto cash
                  of 100 rs and it clearly mentioned that it would expire in
                  2025, hence I kept waiting for the right time and thing to
                  order. However when I tried ordering, the money had expired on
                  some random date. If you want us to use the money within a
                  time period atleast mention it, why taking away both our
                  profits for no reason. Very misleading actions, unsatisfied.</t>
  </si>
  <si>
    <t xml:space="preserve">I recently booked some groceries through this app. When it was
                  getting delayed I contacted customer care who told me that I
                  have to cancel the order and place a fresh order. I wasn't
                  explained why. When I proceeded to cancel the order, I found
                  that my order was marked as 'delivered' and there was no
                  option to cancel. I called customer care again and they said
                  that I HAVE to cancel first then I will get a refund.
                  Frustrated I just uninstalled their app. Zepto still has my
                  money. Very pathetic.</t>
  </si>
  <si>
    <t xml:space="preserve">I can go to grocery store but it will take time. zepto says
                  they arrives in 10 mins but a total lie , orders never arrive
                  in 19 mins, it takes up-to 30 to 40 mins always, and still it
                  say "order will arrive in 4 mins" for continuous 15 mins.
                  moreover they sometimes deliver wrong order, wrong item, wrong
                  variety of product. very disappointed with experience</t>
  </si>
  <si>
    <t xml:space="preserve">I was adding items in the cart and order got placed
                  automatically without even choosing the payment option . I
                  tried many times to cancel the order but there was no option
                  to cancel the order nor any helpline number is provided . The
                  delivery agent also didn't had the option to cancel the order
                  . This is just used to take money from the customers and I
                  would suggest everyone not to use this app again</t>
  </si>
  <si>
    <t xml:space="preserve">Iâ€™ve been facing an issue where I canâ€™t use the cash in my
                  Zepto wallet, and itâ€™s quite frustrating. The wallet balance
                  is just sitting there, and thereâ€™s no clear reason or solution
                  provided. It defeats the purpose of having a wallet feature if
                  we canâ€™t actually use it when needed. I hope this can be
                  resolved soon to make the experience smoother for customers.</t>
  </si>
  <si>
    <t xml:space="preserve">Ugh.. Why would you change the interface so much.? It's
                  pathetic now.. The red and yellow price indicators look like
                  they are out of the 90s.. And keeping them on the top of the
                  image rather than below is again a horrible choice.. You've
                  taken a nice functioning app and turned it into $#!t</t>
  </si>
  <si>
    <t xml:space="preserve">3rd class service..&amp; poor customer support.. "I had placed
                  an order which had an incorrect item. I returned it and the
                  return was successfully picked up. However, the delivery agent
                  brought it back after half an hour saying it didn't belong to
                  him. I have complained multiple times to customer care, but
                  they keep changing the agent and every time the agent asks
                  'Yes, please tell me what's the issue?'</t>
  </si>
  <si>
    <t xml:space="preserve">Today I had worst experience shopping online from your app.
                  Your delivery partner asked me to reach to the location where
                  she was actually present and I had to walk almost 1km to reach
                  near her. The app's GPS has some issues. But no issues with
                  other shopping apps. I clearly told her the location but she
                  was not willing to come and she was rude. Worst experience
                  ever</t>
  </si>
  <si>
    <t xml:space="preserve">Many Issues Update: Already sent email to support team 8 days
                  ago, but not updates. 1. Even if you have money in wallet,
                  wallet would not be enabled. Application says it's due to
                  location, but my neighbour is using wallet. 2. One of my
                  friend has active wallet and can also add funds to wallet, but
                  during checkout, there's no option to redeem wallet amount. 3.
                  Once you save your card details there's no option to delete
                  that card 4. Different handling charges for different user for
                  same products</t>
  </si>
  <si>
    <t xml:space="preserve">I had a really worst experience with the order placement. I
                  was looking at my cart to check the options and wallet and
                  suddenly the order got placed. I didn't even find a flexible
                  way to cancel the order even within a minute after order
                  placed. I had to call the delivery person to cancel the order
                  where he mentioned he already left for the delivery. I clearly
                  mentioned him I couldn't find any way here to cancel the
                  order. Finally I could see that my order failed to deliver.</t>
  </si>
  <si>
    <t xml:space="preserve">Totally fraud. Before you read below concern, want to tell you
                  all 4/5 star review are paid only. I received 125 RS
                  promotional offer in wallet as new user. But I can utilize
                  them after 2 successfully delivery. That amount was about to
                  expire on 9th nov. I placed 2 order. Once second order get
                  delivered, they removed the wallet amount. I tried to reachout
                  customer support but there is no proper support available to
                  address the issue. Be transparent to your customer with offers
                  and support.</t>
  </si>
  <si>
    <t xml:space="preserve">There is a major issue with this app. You can surely login on
                  multiple devices but unlike BigBasket, the carts aren't synced
                  on both devices when you add items. This becomes a problem
                  when a friend or relative wants to add items to cart on their
                  phone. Please try to fix this if possible.</t>
  </si>
  <si>
    <t xml:space="preserve">I've never seen such a fraud food delivery app, firstly they
                  give Zepto Cash to use and when you placed the order there is
                  no option to redeem and when you finally received the order
                  suddenly you get the message that your Zepto Cash has been
                  expired and it happens with me twice. They are doing scam with
                  the people. Uninstalling the app...</t>
  </si>
  <si>
    <t xml:space="preserve">one of worst grocery delivery app with worst practices. Just
                  looting customers. Even after buying Pass they start charging
                  on pretext of SURGE FEES. What's the use of pass if they gonna
                  charge for Surge. No one do this. Instamart don't do this if
                  you buy membership of swiggy. First they started monthly
                  membership fees on pretext of Free delivery and discounts.
                  Once customer buy that, they start charging SURGE FEES. Please
                  don't buy from here. This is my last time buying from here.</t>
  </si>
  <si>
    <t xml:space="preserve">Very dissatisfied with the service. you can use freewallet
                  cash on your first orders later the option of adding amount
                  from wallet will not be shown on payment portal . It's very
                  irritating that every day fake msgs of 100 rs. Amount is
                  credited to your zepto wallet but when I open the app there is
                  nothing added any amount in my wallet. my Premium pass is
                  wasted successfully For nothing . Going to uninstall this app
                  . Only good thing about this app is the delivery is very
                  faster than other apps .</t>
  </si>
  <si>
    <t xml:space="preserve">I had a very disappointing experience with this app. I have
                  100 in my wallet, and I just wanted to use it, but the option
                  to do so is no longer available. Initially, the option was
                  visible, but after a few days, it disappeared. I emailed Zepto
                  to resolve this issue, but they were not supportive and didn't
                  respond at all. This has been extremely frustrating</t>
  </si>
  <si>
    <t xml:space="preserve">Terrible experience. First, they miss items in the order and
                  suggest a refund in 2 hours instead of completing it. Then,
                  after 3.5 hours, I have to chase them down for the refund,
                  only to be told itâ€™ll take 3-5 days. Absolutely unacceptable
                  service. Iâ€™ll never recommend Zeptoâ€”Swiggy and Blinkit are far
                  better. The only reason I used this app was item availability,
                  but after this hassle, itâ€™s not worth it at all.</t>
  </si>
  <si>
    <t xml:space="preserve">I recently ordered a pen drive from Zeptoe and initially
                  received a â‚¹150 cashback, which was a pleasant surprise.
                  However, just five minutes later, the reward was debited
                  without any explanation. It's disappointing when a company
                  doesn't follow through on its offers. To make matters worse,
                  they don't have a customer support system to address such
                  issues. I hope Zeptoe can improve its customer service to
                  avoid similar problems in the future.</t>
  </si>
  <si>
    <t xml:space="preserve">Absolutely Horrible Experience â€“ Terrible Customer Service I
                  had a terrible experience with Zepto, and I feel the need to
                  share this to warn others.I ordered a product where they had
                  an offer of "Buy One Get One Free.when I received my order,
                  they didn't honor the offer! Instead, they charged me the full
                  price for both items.Their customer service is absolutely
                  terrible, and it feels like they're just trying to make things
                  as complicated as possible. Will never order from Zepto again.</t>
  </si>
  <si>
    <t xml:space="preserve">The app responds slow, too much on screen, ..search item with
                  lag , while the order is place successfully but user receives
                  an error that payment didn't go through but when you restart
                  app, you see that payment did go through and order is being
                  packed. With this I ended up placing same order twice. Strange
                  behavior. I've submitted required details.</t>
  </si>
  <si>
    <t xml:space="preserve">One of the greatest drawbacks is that it has no filter tool so
                  that you can easily sort out the value from low to high unlike
                  other branded apps like Amazon, Flipkart, Big Basket etc. It's
                  a basic thing, developer should understand, otherwise it's
                  average because product is also not with much discounted
                  price, only with little discounted rate. Only one good thing,
                  mostly the provide 75/- free cash as a coupon.</t>
  </si>
  <si>
    <t xml:space="preserve">Wrong order delivered, got no refund, no credit or coupon, no
                  return. Upon complaining, I was told they can only do partial
                  refund. Later got a message saying no refund will be initiated
                  as the order delivered was the correct item. Now using the
                  wrongly delivered item (woman's tank top) as mop for the
                  house. Great job Zepto ðŸ‘</t>
  </si>
  <si>
    <t xml:space="preserve">ðŸ˜¡ðŸ˜¡ðŸ˜¡cheating peopleðŸ˜¡ðŸ˜¡ðŸ˜¡ people money lost.Don't add money
                  in wallet. I have added money into Zepto wallet but when I try
                  to pay for the product I donâ€™t get the wallet option instead
                  they are asking me to pay full amount. Thankfully I tried
                  adding smaller amount into wallet and tried to pay from the
                  same. They are big time cheater and taking money from the
                  people. Totally useless.</t>
  </si>
  <si>
    <t xml:space="preserve">!!! UNINSTALLING zepto !!! Worst app ever first they show
                  product in stock then they say out of stock. Then they process
                  half refund where the discount offered is applied only to the
                  refunded product and other products are delivered at full
                  price. Great way to charge extra Never using the app again!!!</t>
  </si>
  <si>
    <t xml:space="preserve">Very unprofessional company. They twist your hand to keep
                  ordering from them by locking the wallet and then saying that
                  they will unlock it after some transactions are done . I have
                  just ordered once from the acc so there can be no bad
                  practises too. Edit : My wallet is still locked nd now they
                  show discounted price on main page but when added to cart they
                  increase prices .very very unprofessional company. Now they
                  are forcing me to follow the path of legal consumer complaint.</t>
  </si>
  <si>
    <t xml:space="preserve">Downloaded it 3 times and uninstalled it 3 times as well.
                  Every time I downloaded it, whenever the "location" step came
                  I selected my current location but still all three times it
                  showed "Try changing location" as if the place where I reside
                  does not EXIST! Never downloading this app EVER AGAIN!!</t>
  </si>
  <si>
    <t xml:space="preserve">It's worst app. I got 125 rs bonus cash and it has no option
                  to use that coupan option for me when I contacted customer
                  care there reply was after 2 success deliveries you will get
                  after tat dilivery cash expired.I am not able to use that cash
                  it's rate is bit high as compared to blikit in some groceries
                  and I sent many times mail... kindly check it audar wise i
                  delete the app</t>
  </si>
  <si>
    <t xml:space="preserve">Such a third class policy they have started. Always charge
                  extra than the total item price but don't really show the
                  breakup upfront. As you proceed to make payment, order will be
                  confirmed without your consent and the funny thing is that
                  order cannot be cancelled even if you action immediately and
                  they will ask for cash upon delivery. So many circus like pop
                  up will open in your screen especially during your payment
                  procedure that you can't really sum up your actual payment.
                  NOT RECOMMENDED!!!</t>
  </si>
  <si>
    <t xml:space="preserve">ordered Uno flip pack from Zepto but received the wrong item,
                  it containsold palying cards. Despite reaching out to customer
                  support, I received no help in resolving the issue. This
                  experience was extremely frustrating and disappointing, as I
                  expected better service from Zepto. I hope they improve their
                  processes to avoid such issues in the future.</t>
  </si>
  <si>
    <t xml:space="preserve">The app is very inconvenient. I was just adding things to my
                  cart and accidentally clicked on the proceed button. I tried
                  to cancel it the next minute but it didn't let me cancel.
                  Cancelling the items should be a basic feature and the app
                  doesn't have it working well .</t>
  </si>
  <si>
    <t xml:space="preserve">First- the app is too slow these days! Second- ETA will show
                  like 4minutes (which I'm aware is impossible) still it will
                  show like that and there is no option to track the rider for
                  the same Third- support service is like way too slow and not
                  having proper options to select and connect upon Forth- the
                  number is rider is always in correct or out of service! Would
                  not recommend this app at all now.</t>
  </si>
  <si>
    <t xml:space="preserve">Not a very wide range of items available and also the prime
                  purpose of this app that is instant delivery is not fulfilled.
                  The app always shows estimated delivery in less time than it
                  actually delivers. The delivery time is always double as what
                  is being shown in their tracking page.</t>
  </si>
  <si>
    <t xml:space="preserve">My experience with Zepto has been nothing short of terrible.
                  The delivery was always late, far exceeding the promised
                  10-minute window, and the products I received were of poor
                  quality, often damaged or not as expected. On top of that,
                  their prices are outrageously high for such subpar service.
                  The app itself is confusing and overly complicated, making it
                  difficult to navigate. Customer support is virtually
                  nonexistent, and to make matters worse, the wallet cash they
                  offer for future purchases</t>
  </si>
  <si>
    <t xml:space="preserve">The Zepto app has several issues. My wallet amount is blocked
                  without any explanation, and it doesnâ€™t show any wallet
                  details or a message about the block. Additionally, the login
                  scenario is not handled properly, as it's allowing multiple
                  created account with the same mobile number on different
                  devices.</t>
  </si>
  <si>
    <t xml:space="preserve">This is my first time ordering &amp; it turned out a disaster.
                  You guys need to work on the GPS location. Even after entering
                  the correct location &amp; pin code with landmark the delivery
                  has gone to a wrong location. The delivery guy called &amp;
                  asked the address &amp; when I told him the location with the
                  landmark, he said that it was out of the coverage area &amp;
                  canceled the order. Now I'll have to wait for 3-5 business
                  days for the amount to hit my account. Disappointing
                  experience.</t>
  </si>
  <si>
    <t xml:space="preserve">Zepto has reduced offers and increased delivery charges.
                  Previously, free delivery was available for orders above â‚¹99,
                  but now it requires a minimum of â‚¹250, or else thereâ€™s a â‚¹29
                  delivery fee. Iâ€™ve noticed that on another account (using a
                  different SIM), prices are much lower with more offers. This
                  doesnâ€™t seem fair. Thank you for your service. We really
                  appreciate your idea.</t>
  </si>
  <si>
    <t xml:space="preserve">Beware of Zepto App Do not install the Zepto app. After
                  successfully completing 10 referrals, they failed to send the
                  promised referral amount/Zepto cash. Despite repeated emails,
                  they provided two contact numbers, but when I called, I was
                  put on hold indefinitely. The service is highly
                  unreliableâ€”worst customer care I've experienced. 0 star Rating
                  from me.... ðŸ˜¡ðŸ˜¡ðŸ˜¡ðŸ˜¡ðŸ˜¡ðŸ˜¡</t>
  </si>
  <si>
    <t xml:space="preserve">Alright finally their service is available in my area. But
                  there are certain things that are still not available in my
                  area like Zepto Cafe, some more stationary items and Decathlon
                  like how they are currently doing advertisement for that. But
                  if you want some basic Groceries Delivery and supply they
                  would deliver it. One more complaint is unlike other delivery
                  apps they don't show the Delivery live location. Showing live
                  location of your order would be better feature also.</t>
  </si>
  <si>
    <t xml:space="preserve">My order was cancelled three times and for two times I
                  received the refund and third time it didn't. It's in progress
                  but it's already two days and there's no progress. There's no
                  customer support. There's no cash on delivery. I've never
                  cancelled any products. I always pick up the calls but I never
                  get cash on delivery. Now they cancelled my order. I need my
                  money back.</t>
  </si>
  <si>
    <t xml:space="preserve">#Zepto Unfortunately, I found that ZEPTO seems to focus more
                  on promotional offers than providing a practical and
                  affordable grocery delivery service. The delivery charges are
                  the highest I've encountered, which makes it hard to justify
                  using the app for grocery shopping. Additionally, the cash
                  offers you provide seem impossible to use, which feels
                  misleading and frustrating for customers.</t>
  </si>
  <si>
    <t xml:space="preserve">"Game-Changing Grocery Shopping Experience! I've been using
                  Zepto for my daily groceries, and I'm blown away by the
                  convenience, speed, and quality! *Pros:* 1. Lightning-fast
                  delivery (under 10 minutes!) 2. Wide selection of products,
                  including fresh produce and essentials 3. User-friendly app
                  interface 4. Competitive pricing and regular discounts 5.
                  Excellent customer support</t>
  </si>
  <si>
    <t xml:space="preserve">Worst experience ðŸ˜­ i had from zepto its giving its free cash
                  but now its started removing it after more user are attracted
                  and on it its price vary more the original and its strategy
                  was to give free cash but its higher price recovering from
                  everyone who are using it and also its discounted price are
                  changes on adding to cart and proceeding orders. I want zepto
                  to fix it and donot scam us.</t>
  </si>
  <si>
    <t xml:space="preserve">Very pathetic experience! Most of the Delivery persons don't
                  deliver pre-paid orders. My address &amp; location were
                  correct, and it was showing on the way to be delivered in
                  remaining 7 minutes. But delivery person was not coming, when
                  I asked his location then he was telling fake area names!!
                  Almost wasted 45 minutes on follow ups with delivery person
                  &amp; customer care. Not at all recommended this app to
                  anyone!!</t>
  </si>
  <si>
    <t xml:space="preserve">Zepto even after mentioning about retutn &amp; refund is
                  applicable on particular products denies return. They should
                  not compete with other online shopping apps because other apps
                  are ready for all type of complaints from customers while
                  Zepto is not. Then why should I go for Zepto when I know that
                  I have to accept the product even after there is any issue
                  with it. So better to go for Flipkart &amp; Amazon. Only 5
                  mins delivery won't serve our purpose.</t>
  </si>
  <si>
    <t xml:space="preserve">I am extremely frustrated with the service I have received.
                  Despite emailing you on every possible email address and
                  making multiple attempts to get in touch, I have not received
                  a single response from your team. This is completely
                  unacceptable! I had money in my wallet, yet when trying to
                  make a purchase, it kept showing a "topay" message. Why am I
                  being asked to pay when I clearly have a balance? I should be
                  able to make the purchase without any issues, but instead, I'm
                  stuck unable to use t</t>
  </si>
  <si>
    <t xml:space="preserve">Worst experience, I never seen like this application, only
                  they are kidding and time westage. After ordering they show
                  the time 9 minutes and I waited till one hour inspite order
                  didn't received, no phone no. to connect for deliver boy, in
                  last the order page automatically hidden from them. Dont use
                  this app just west of time.</t>
  </si>
  <si>
    <t xml:space="preserve">Zepto offers good deals, but the promotions are misleading.
                  They advertise Rs. 100 off on the first order, but support
                  told me it only applies after two orders. This bait-and-switch
                  tactic is frustrating, and when I reached out, the support
                  agents were unhelpful and kept repeating policy instead of
                  addressing my issue. If Zepto wants to keep customers, they
                  need to be transparent and have a support team that actually
                  helps.</t>
  </si>
  <si>
    <t xml:space="preserve">While I like using Zepto for quick deliveries, I'm
                  disappointed that I can't use my wallet balance at checkout. I
                  have money in my Zepto wallet, but the option to pay with it
                  doesnâ€™t show up when I try to place an order. This has been
                  frustrating, and I hope the team can fix this issue soon.</t>
  </si>
  <si>
    <t xml:space="preserve">I recently started using Zepto for my grocery shopping, and I
                  couldn't be happier with the experience! The app is
                  user-friendly, making it easy to browse and order items
                  quickly. I was impressed by the lightning-fast deliveryâ€”my
                  groceries arrived in just 10 minutes! The selection is
                  extensive, and the prices are competitive. It's convenient to
                  have a reliable service for my everyday needs. Zepto has truly
                  transformed my shopping routine.</t>
  </si>
  <si>
    <t xml:space="preserve">I was using zepto first time and had a bad experience. After
                  waiting for 15 to 20 mins, my order gets cancelled
                  automatically with any intimation and without any specific
                  reason being mentioned on the app or sms. I dialled customer
                  care and their response was that it might be due to payment
                  gateway issue. I have still not received the full refunds.
                  Waiting for 3 days, if it doesn't get into my account, I will
                  escalate. It's so frustrating to have this kinda experience on
                  first time.UnreliableApp</t>
  </si>
  <si>
    <t xml:space="preserve">It used to be a great app, every thing from interface, user
                  experience to customer support was better than other similar
                  apps but now it is so complicated, too many things in one page
                  . I don't like it recently, specially after last update. It
                  feels to deficult and time taking to order something. #zepto
                  please work on these things.</t>
  </si>
  <si>
    <t xml:space="preserve">Very bad experience. I got a totally different parcel that
                  came in a brown paper carry bag. I had made the correct
                  (amount) payment via G pay. I didn't check the items in front
                  of the delivery person as it contained some personal hygiene
                  items (read sanitary pads) amongst others. But within minutes
                  after I found out I tried calling the delivery person 7-8
                  times but my call was disconnected every time. Also I couldn't
                  reach out to customer helpline. Why do Zepto advertise to
                  deliver on a Sunday?</t>
  </si>
  <si>
    <t xml:space="preserve">I was the regular customer of the zepto and used to order
                  every single thing of my home from it, before two days i
                  ordered a lot of things and paid online they didn't send me
                  some packets and took all the payment as well i want my money
                  back, don't use this worst app guys.and there is no connection
                  to talk with the service centre, I can't contact with them</t>
  </si>
  <si>
    <t xml:space="preserve">Today happened again. The delivery person gave the item and
                  ran before I check. Twice two items were missing. Thrice one
                  item missing each time when I place quantity two. Moreover,
                  the delivery person runs off giving the bag before I check. I
                  doubt if they are stealing. The way the run before I say a
                  word says everything. Support team next worst. No response for
                  complaint. I asked for return. No response.</t>
  </si>
  <si>
    <t xml:space="preserve">The app has potential, but the user experience needs
                  improvement. Free cash validity is inconsistent, and
                  restrictions on logging in from multiple devices are
                  inconvenient. Customer support responses are generic and fail
                  to resolve core issues. Disappointing overall Unlike Blinkit,
                  which excels in seamless service and reliability, this app
                  falls short in delivering a satisfactory experience.</t>
  </si>
  <si>
    <t xml:space="preserve">They have added consumer items shoes , apparel, electronic
                  items like Amazon and Flipkart. But they don't have option
                  return and replace it the size was the issue. Customer service
                  is blabbering if we tell them if there is a size issue. If
                  don't have option to address these issues ,better be a grocery
                  shop app.</t>
  </si>
  <si>
    <t xml:space="preserve">Tried zepto for the first time, and it was horrible the app
                  said it will deliver under 10 minutes but the last 4 minutes
                  took 30 minutes somehow, and it said it's slightly delayed.
                  Upon calling the rider they does not pickup the call and there
                  is no option for cancelling I hate it and I will delete the
                  app! Worst experience</t>
  </si>
  <si>
    <t xml:space="preserve">Prices are too much dynamic and offers too. Prices and offers
                  are different for each user which make it untrusted as every
                  one felt cheated. This can be a company gimmic but personally
                  I felt cheated when I saw someone ordering same product at
                  half price from same app. So decided to uninstall it . I may
                  end up paying more at other app but atleast I will not feel
                  cheated.</t>
  </si>
  <si>
    <t xml:space="preserve">Total fake. They gave you amount in zepto account but you
                  can't utilise it as they didn't gave you the option to select
                  it and they gave you validity of 01 year for using zepto cash
                  and they will withdraw it automatically without any
                  notification. Customer service is totally ridiculous.They told
                  me that this account is activated in more than 01 devices. But
                  they failed to prove it as everything is available in server
                  logs. As per them they can do anything when they want as they
                  reserve the right</t>
  </si>
  <si>
    <t xml:space="preserve">Although I am highly satisfied with Zepto's service and all
                  these super saver deal options, I just feel the app to be
                  sluggish. The app needs quite a lot of refinement and
                  smoothness as a whole. Try to bring a app which enhances the
                  user experience. But apart from that the service part is
                  really good.</t>
  </si>
  <si>
    <t xml:space="preserve">Delivery time was good and product was also good but it's too
                  costly as compared to other sides. And they are cheating with
                  customers I was face same issue every time they are offering
                  100 rs cash in wallet but when I ordered I need to pay full
                  amount. Just because 100 rs was showing unavailable always. If
                  yu don't want to give discount or offers so pls don't show
                  don't msg daily if we wanted product so we are order. There
                  are so many websites provided online services.</t>
  </si>
  <si>
    <t xml:space="preserve">Expired milk supplied to me today by Zepto. It puts a question
                  mark on the reliability and Goodwill of this great app because
                  it is not possible for the customer to check the expiry of
                  every item every time. If you get an expired item then arrange
                  for return of the expired item and order to procure the same
                  item with an another App. Which is the worst experience in
                  online shopping. So please send me the unexpired items</t>
  </si>
  <si>
    <t xml:space="preserve">I was offered a Zepto Cash Wallet as a discount on my
                  purchaseâ€”something that seemed like a good deal at the time.
                  But when it came time to checkout, guess what? The discount
                  wasnâ€™t applied, and the so-called Zepto Cash Wallet was
                  nowhere to be found! Iâ€™ve tried reaching out to customer
                  service, but theyâ€™ve been completely unhelpful and
                  dismissive.Whatâ€™s the point of offering discounts and deals if
                  youâ€™re just going to bait and switch your customers at the
                  last minute?</t>
  </si>
  <si>
    <t xml:space="preserve">Got a rs 100 wallet deposit. When done with purchasing I tried
                  to pay it shows a incomplete payment message when the amount
                  was already deducted. So I went back and tried to make payment
                  again and now the price of the whole basket increase by rs 110
                  what a scamm. Cannot get in touch with customer support as
                  well .</t>
  </si>
  <si>
    <t xml:space="preserve">App is clean and user friendly, but unable to use the wallet
                  amount when talk to a zepto support asked me to order twice to
                  enable the wallet. I ordered a product and then the wallet
                  amount got expired because that wallet amount will be useful
                  for the next order only. Please fix this issues even for my
                  friends facing same issues.</t>
  </si>
  <si>
    <t xml:space="preserve">Worst service ever. This happens all the time. On the app, it
                  shows your item will be delivered in 10 minutes, but in real
                  life, it took 1 hour. Are you serious? I have faced this issue
                  multiple times. And your customer service is just the worst.
                  They don't help at all. Their app says 10 minutes, but trust
                  me, it's not a 10-minute delivery.</t>
  </si>
  <si>
    <t xml:space="preserve">Good enough discounts right now, delivery is fast and
                  efficient, products are well categorised, popular products are
                  available. It seems Zepto pushes way too much notification and
                  many of them are very unjustified like missed calls from zepto
                  etc. This much Aggressive promotion and bombardment of
                  notifications isn't doing well for me personally. The app's
                  experience is good just a little on your face advertisement.
                  The quality and service is very satisfactory right now. I
                  recommend the services.</t>
  </si>
  <si>
    <t xml:space="preserve">Worst service I've experienced on my first purchase. While
                  placing order, it shows all items are available for prepaid
                  order and after 14 mins, items were partially delivered
                  stating other items were out of stock and not refunded the
                  amount back immediately. Customer Service agent 'Shubh Gogri '
                  was not even bothered even to refund my Zepto cash when I
                  called customer service. Totally waste service and waste
                  application. Better choose swiggy or Flipkart rather than
                  Zepto.</t>
  </si>
  <si>
    <t xml:space="preserve">They don't deserve any star as their rider cancel order by
                  their own and then atlaast our payment get stuck and then
                  always one line comes from zepto customer care that you refund
                  will be credited in 3-5 business days. If you have very much
                  urgency and having sort of funds then never trust zepto . They
                  can stuck your payment easily and then you have no choice to
                  wait only . They want money instantly before placing order but
                  while refund its like we have asked kidney from them</t>
  </si>
  <si>
    <t xml:space="preserve">Before some days I ordered a flower printed bow clip from
                  zepto and when I receive my order, it was a plain cheap fabric
                  clip so I had to return it. And since then, zepto removed
                  "cash on delivery" option for me in the app. If I get wrong
                  product then why won't I return it!! And it's zepto fault and
                  you're removing cash on delivery option from app for me!! And
                  your customer support system is telling me to pay rupees 5 as
                  a fine so as to get back cash on delivery option from payment
                  system in app</t>
  </si>
  <si>
    <t xml:space="preserve">Terrible service and they force you to chat with bots. They
                  make false claims about delivery times. Worst part is talking
                  to bots to sort your issues. I have waited over 2 hours to
                  recieve something as small as chips packets and was forced to
                  cancel the order. This is what you get when you're run by 2
                  kids who have no understanding of the world. Never
                  recommending this app to anyone.</t>
  </si>
  <si>
    <t xml:space="preserve">Timeliness: the order arrived within the promised time frame
                  Packaging: the product was packed securely, preventing spills,
                  and came with eco-friendly utensils Convenience: The
                  app/website was user -friendly, and the tracking feature kept
                  me updated. Overall, l'd highly recommend this service for
                  anyone looking for a product delivery experience. l'll
                  definitely be ordering again!</t>
  </si>
  <si>
    <t xml:space="preserve">Zepto App takes a hell lot of time to place even a small order
                  of 5 - 9 items App keeps on crashing and showing App is not
                  functioning - close App or wait, which is again very
                  frustrating Pass renewed for a month gets over in between only
                  Please improve the App to stop it crashing while ordering the
                  items</t>
  </si>
  <si>
    <t xml:space="preserve">Hey, can you stop your delivery agent to capture photos of
                  what we order by removing it from the bag and keeping the
                  items on the floor and in front of everyone. It's so annoying.
                  We don't want our items to be kept on the floor. I better get
                  it from blinkit. Fix this ASAP or you lose lot of customers
                  due to it</t>
  </si>
  <si>
    <t xml:space="preserve">They don't provide customer support at all. No one to chat or
                  call option available on this app. No order cancellation
                  service available. For Diwali they are showing free diwali
                  gift box which on ordering didn't receive any. Bluffing people
                  to order. Also surge fee is added most of time. Comparatively
                  with swiggy zepto is expensive with less customer service
                  options</t>
  </si>
  <si>
    <t xml:space="preserve">This company never refunds to original source of payment. They
                  credit Zepto Wallet instead. This is despite me choosing the
                  refund to source option. To use the wallet I have to either
                  forget about the balance or forced to add more money as the
                  full wallet can never totally match the purchase cost. A very
                  unethical strategy adopted to force a customer to use their
                  platform and a great way for Zepto to earn more revenue.
                  Totally disgusting.</t>
  </si>
  <si>
    <t xml:space="preserve">Zepto Wallet Cash is showing the correct balance, but itâ€™s not
                  applicable to any orders, leaving my money stuck. Iâ€™ve tried
                  updating, clearing cache, and reinstalling the app, but the
                  issue persists. Customer support hasnâ€™t resolved it yetâ€”very
                  frustrating!</t>
  </si>
  <si>
    <t xml:space="preserve">There is a surge fee at all times. ALL THE TIME. doesn't
                  matter if you're ordering at 8am or 8pm or 4pm, there's a
                  surge fee of 50rs applied!! The thing though is it isn't
                  applicable to everyone. Everytime this happens, I order from a
                  different account used by a family member living at the same
                  address and there seems to be no surge applied for them. How
                  does this work? How does a product go out of stock for me but
                  can be ordered by someone else at the same address?</t>
  </si>
  <si>
    <t xml:space="preserve">Zepto services have become very poor lately. They take long
                  time to deliver irrespective of what it shows on the app
                  during ordering. Received rotten products multiple times. And
                  how hard is it to auto apply free delivery on eligible orders?
                  So many times I have missed that and ended up paying delivery
                  charge for no reason. Time to stop using Zepto and shift to
                  other apps.</t>
  </si>
  <si>
    <t xml:space="preserve">Very bad experience with zepto. First they give offer in
                  Application. When I order that product, after 15 min order
                  shows out of stock. I paid amount also after discounts. But
                  amount didn't get refused and when I reorder that product
                  amount to be paid came 3 times higher. ðŸ˜€ it's better to go at
                  nearest store and buy.</t>
  </si>
  <si>
    <t xml:space="preserve">It's good in many aspects but don't ever trust it in an
                  emergency. First few deliveries were great within 6-7 mins.
                  But when I order something in an emergency (need to go out
                  shortly within 10 mins), they took nearly 25 mins and there is
                  no cancellation/re-scheduling.</t>
  </si>
  <si>
    <t xml:space="preserve">Worst experience with Zepto and their customer support people.
                  They do not deliver what's in cart and they will ask to
                  re-order and pay for the missing item's again, when asked
                  about the missing products. Please do not order on zepto and
                  get cheated. I would have given minus rating if possible. I
                  will never use zepto again.</t>
  </si>
  <si>
    <t xml:space="preserve">Zepto development team. Do you think you are the only smart
                  people in town? Trying to con money from people by
                  unnecessarily complicating the payment page. If someone is
                  ordering a cart value of more than 200, why can't you guys
                  automatically deduct the delivery fee? One has to be mindful
                  and manually click on "Apply" to remove the delivery fee? This
                  is simply a scam. Grow up guys and try to make money ethically
                  like other apps such as Big basket or Blinkit.</t>
  </si>
  <si>
    <t xml:space="preserve">The worst app I have seen in my whole life. In my wallet it
                  shows I Have 125 rupees but i am not able to use it. But when
                  it show the 125 rupees it shows unavailable. What is this
                  nonsense. I had emailed to them but there's no response. I had
                  call on their customers service but there is no one to answer
                  the call. The worst app. Now I have downloaded blinkit and
                  instamart.</t>
  </si>
  <si>
    <t xml:space="preserve">"Zepto scammed me. The app showed that my order was placed,
                  but suddenly it indicated that one product was out of stock. I
                  received a refund of 33 rupees at 10:46 AM, but that amount
                  expired by 10:59 AM, just 15 minutes later. Donâ€™t pay in
                  advance; use cash on delivery instead. If a product is out of
                  stock, just return the rest of the items. I have the
                  screenshot of Scammed details. DMart is better."</t>
  </si>
  <si>
    <t xml:space="preserve">"Hello, I would like to bring to your attention an issue Iâ€™ve
                  encountered with the Zepto app. I noticed that while bag
                  chargers are included in the orders, the actual bags are not
                  being provided. This has been quite inconvenient for me. I
                  hope you can address this issue to improve the overall
                  customer experience. Thank you!"</t>
  </si>
  <si>
    <t xml:space="preserve">Zepto! The app is good and UI is also very supportive and easy
                  to understand but there are certain things that must be taken
                  into account. 1- there should be tracking map of delivery
                  agent as Blinkit and other quick commerce platform provides.
                  2- there must be option for COD because sometimes the bank
                  server doesn't work properly and there is a problem while
                  ordering items. 3- most important more varieties of items must
                  be added so that it can be helpful for us to locate them.
                  Thank you!</t>
  </si>
  <si>
    <t xml:space="preserve">**Worst Service Ever â€“ Avoid Zepto!** I had an absolutely
                  terrible experience with Zepto. I ordered an induction cooktop
                  from them, and when it arrived, it was *damaged*! Non
                  functional and it didnâ€™t even turn on. Naturally, I reached
                  out to their customer service, expecting a quick resolution.
                  But instead of help, all I got was silence. Iâ€™ve tried
                  contacting them multiple times, but they have completely
                  ignored my requests for a return and refund.</t>
  </si>
  <si>
    <t xml:space="preserve">Worst worst worst experience with zepto I ordered Tresemme
                  shampoo...they had sent a bottles front side it has sticker of
                  Tresemme shampoo name n all details but back side it's
                  empty... nothing is printed on the bottles ...and bottle also
                  looks old ...it's like they are selling fake items on zepto
                  ....like roadside things...I want my refund as soon as
                  possible ..</t>
  </si>
  <si>
    <t xml:space="preserve">A very pathetic app! I did the mistake of ordering fruits from
                  them and they delivered oranges that are as small as lemons.
                  To top that, they have hidden their customer support section
                  from the app. Every option is just promotional - there is
                  literally no option to check your old order and complain about
                  it. Very very very disappointed</t>
  </si>
  <si>
    <t xml:space="preserve">Very bad very bad very bad experience zepto.. Horrible
                  experience with you.. I'll never ever order from you.. Blinkit
                  and swiggy instamart is best.. 1st of all i order charmecy
                  milano.. And you give me lakmi with price of 399 when I
                  already paid 1063..and delivery time is very long.. I waited
                  almost 35 mins and you give me wrong item.. Then you are
                  anavailable to return my money back.. And again I order item
                  price of total bil 163 then you want total 222..then also you
                  cut balance from zepto.</t>
  </si>
  <si>
    <t xml:space="preserve">Zepto is the worst online platform I have ever used. First of
                  all they keep on sending whatsApp messages that my zepto
                  wallet has 125 rs. When I open it shows 50 re has been added.
                  I had to make a purchase, so I added 70 rs more. After my
                  money was added, they say I have to first make 2 purchases
                  only then my wallet will be activated. So, if this is the
                  case, why did they allow me to add my own money to the wallet,
                  when the wallet is not even activated? Rubbish app</t>
  </si>
  <si>
    <t xml:space="preserve">Doesn't work at all.. tried in multiple location but always
                  prompts that delivery is not available and our team working
                  tirelessly to bring 10 minutes delivery to your location and
                  seeing this from last 2 months. I am fed up now and
                  uninstalled the pathetic app.</t>
  </si>
  <si>
    <t xml:space="preserve">Very late delivery and not proper customer service in the help
                  section keep on repeatedly saying the same thing and not at
                  all trying to address the issue just finding the way to
                  convince and not giving any solution very worst app and the
                  help support and customer service. I'm so unsatisfied with
                  this service and people.</t>
  </si>
  <si>
    <t xml:space="preserve">Professional thieves I must say. They take the money for
                  everything and then half of the items are gone. I specifically
                  ordered for gift bags along with the other products. They even
                  charged for it. However, when my order came the gift bags
                  weren't there at all. All they did was chanting the same line
                  o er and over again "It's taking time, thank you for your
                  patience, we'll get back to you soon" at least refund my
                  money! What's taking so long to refund the money for gift
                  bags?</t>
  </si>
  <si>
    <t xml:space="preserve">I'm not getting zepto cash on my number since the beginning
                  and on other number I'm unable to use the zepto cash as it's
                  showing unavailable. The offers keep changing and it's really
                  annoying and pissing off that I can't even report it and
                  moreover the email provided to help customers doesn't respond
                  have emailed them n number of times</t>
  </si>
  <si>
    <t xml:space="preserve">Such an unusable app. Experience is too laggy. App never works
                  properly. Majority of the producs are out of stock. Even the
                  products that are in stock are useless, as they have no
                  portion size options. Only options are that this app provides
                  you. They started 24/7 sevice &amp; then charging late night
                  fee at 11 pmðŸ¤¦ðŸ»â€â™‚ï¸</t>
  </si>
  <si>
    <t xml:space="preserve">Beware of Constant Surge Fees (Even for Zepto Pass Holders!)
                  As a paying Zepto Pass subscriber, I expected more benefits
                  and consistent pricing. Instead, I'm consistently hit with
                  surge fees. Pros: - Convenient app - Friendly drivers - Zepto
                  Pass perks(discounted rates) Cons: - Constant surge fees (even
                  for Zepto Pass holders!) - Unpredictable pricing - Lack of
                  transparency I thought Zepto Pass would provide more pricing,
                  but surge fees apply regardless. Disappointing. Consider
                  alternatives!!!</t>
  </si>
  <si>
    <t xml:space="preserve">interface is lacking specially app have responding issue. so
                  many times its stuck and most of the time wallet option
                  doesn't support. but delivery, packaging, most of the time
                  delivery partners and customer support team are strengths of
                  this platform</t>
  </si>
  <si>
    <t xml:space="preserve">Fraud App - Scam.. . I was using it since long but later I
                  experienced that It does not bother if there are items missing
                  in your order. No support from zepto. The delivery boy forgot
                  the item by mistake as said by him. Zepto told in chat that
                  your missing item is on the way again. I got no delivery and
                  lost my money. No support from zepto. The customer support
                  number does not exist.</t>
  </si>
  <si>
    <t xml:space="preserve">Hi Zepto team! I really love how user-friendly your app is.
                  The interface is so intuitive! I recently used the app to
                  order product's, and it made the process so much easier for
                  me. Thank you for all the effort you put into making this app
                  great! Keep up the amazing work! I can't wait to see what new
                  features youâ€™ll add next. Just one thing I didn't like my
                  friend daily get 125 cash back but I wont ðŸ¥ºðŸ¥º</t>
  </si>
  <si>
    <t xml:space="preserve">When they credit any promotional balance on your wallet they
                  automatically increase the price of maximum product on
                  perticular in your account not only that from perticularly
                  from your account you can see a fake " high demand " message.
                  And then they disabled the wallet they also provide false
                  information about expiry of wallet balance.</t>
  </si>
  <si>
    <t xml:space="preserve">Their delivery isn't always on time, sometimes it is delayed
                  though, I did not like their wallet concept they credit some
                  amount in your wallet but in my case it does not come in the
                  when I check out I am totally unsatisfied the wallet gets
                  blocked every time I want to order something due to "surge".
                  Very bad</t>
  </si>
  <si>
    <t xml:space="preserve">Poor experience, in starting they offer your cash in your
                  wallet for next order. Once you placed orders, they removed
                  wallet cash. Mail dropped as per suggestion, got reply that
                  it's zepto rights to expire wallet amount without any reason.
                  fraudsters mind. While it was showing 1 year validity, why
                  it's expired during order placement only,</t>
  </si>
  <si>
    <t xml:space="preserve">Worst experience Undefined and uncleared things for the wallet
                  as few peoples can directly use their wallet amount as few of
                  doesn't allow to use directly even if they are first time
                  logged in the application. Referral system if you are going to
                  refer 10 people then you will get 2000 voucher but out of that
                  10 people many of them are unable to use wallet amount and you
                  couldn't refer more than 10. Customer support services
                  experience worst 1-start for Order and delivery process good</t>
  </si>
  <si>
    <t xml:space="preserve">Ok...ok it's cashbackers day on Zepto app. But when I go to do
                  those cashbacks and find any items in the cart then select
                  cashback.The button does not come. The important option to
                  select cashback is not available in the items we have made.
                  And this happens every eleven times. Then there is no high
                  demand across the application and the account cashbackers are
                  also not blocked. Please Solve my This Problem. ðŸ˜¥</t>
  </si>
  <si>
    <t xml:space="preserve">Impressive UI, but the UX needs a lot of improvements. Such
                  as: 1) Add a "Sort by" option in search results. 2) Add option
                  to manage payment methods. 3) Show the live location of your
                  delivery partner when the order is out for delivery. 4)
                  Improve the scrolling experience at 120Hz, since it feels
                  jittery at times. 5) Send Invoice and the list of items
                  ordered to email post delivery.</t>
  </si>
  <si>
    <t xml:space="preserve">What kind of new trick have you added to the app,so that you
                  show cash in the wallet but that walletcash option is not
                  showing at the time checkout. When you are not showing at the
                  cart then why do you have to add the cash to the wallet and it
                  expires in few days with out even any notification or
                  something.Even if we mail no response from your end . No
                  customer care number, worst app and service I have ever seen .
                  Hope you give us some reply and show us how to use the wallet
                  cash.</t>
  </si>
  <si>
    <t xml:space="preserve">They sold me a defective product. The team promised to issue a
                  refund after the pickup. However, when they sent the delivery
                  partner, the person was not picking up my calls. Despite
                  several attempts to contact them, all they did was take
                  feedback. I feel scammed as they sold a defective product and
                  made false promises through their customer support.</t>
  </si>
  <si>
    <t xml:space="preserve">It's good to buy groceries items at our convenience but keep
                  eye on price. Sometimes it's more than MRP. For electronic
                  item we will not have hassle free return/replacements.
                  Reaching customer support also not that easy. Prices are
                  inconsistent and seems not a fair pricing. Think twice before
                  buying Electronic items, clothes etc.</t>
  </si>
  <si>
    <t xml:space="preserve">Very very very bad experience... they are told about 100
                  rupees wallet cash free but still they are taking extra
                  charges from us. surge fee, handling fee, small cart fee
                  etc... this is not acceptable at all ... if you people are
                  giving Money so why does this charge you people are taking I
                  don't know seriously. so improve these things and don't give
                  us this type of suggestions when you people are not giving
                  this facility. At first it was a good experience but now this
                  has changed. Thanks....</t>
  </si>
  <si>
    <t xml:space="preserve">Just playing with customers. I got a notification saying zepto
                  cash credited. I was placing an order and when went to
                  checkout, no zepto cash shown there but visible on profile
                  page. Also tried adding some more money into wallet and still
                  not visible. I placed the order anyway. At the end of the day
                  they are showing cash expired.</t>
  </si>
  <si>
    <t xml:space="preserve">The service is really good, but we can not use the money from
                  the zepto wallet. If I have my money added to zepto wallet I
                  cannot see the option to pay through zepto wallet. I have
                  ordered many times but it never shows to pay through the zepto
                  walllet instead I have to pay the full amount. And according
                  to your policy I cannot have that money in my account. Really
                  very disappointed by this. If this is an issue fix it fast
                  because I want to pay through wallet</t>
  </si>
  <si>
    <t xml:space="preserve">Always timely delivery, great discounts and prompt customer
                  care. only once when an item was not delivered by mistake, we
                  got a call and they sent another delivery bringing the left
                  item. excellent service..more than satisfied..thank u so much
                  Zepto!</t>
  </si>
  <si>
    <t xml:space="preserve">Ok...ok it's cashbacks on Zapto app. But when I go to do those
                  cashbacks and find any items in the cart then select
                  cashback.The button does not come. The important option to
                  select cashback is not available in the items we have made.
                  And this happens every eleven times. Then there is no high
                  demand across the application and the account cashbackers are
                  also not blocked. Please Solve my This Problem. ðŸ˜¥</t>
  </si>
  <si>
    <t xml:space="preserve">Worst experience on this app, it shows delivery time from
                  beginning 20-28 minutes and takes more than 1 hour to deliver.
                  It's frustrating this way. I have other friends who have
                  similar experiences on this app. Gonna delete this app now
                  itself and be done with it.</t>
  </si>
  <si>
    <t xml:space="preserve">I add money to zepto wallet but can't use it . After reaching
                  out customer support they ask me to complete two order, only
                  after then I can use my own money ( which I added previously).
                  It is unfair. At the time of adding money to wallet, thewe was
                  no t&amp;c about this. Even they showing in play Store to use
                  zepto cash on 1st order. It is misleading information.</t>
  </si>
  <si>
    <t xml:space="preserve">NO RESPONSE TO MY MAIL that was sent as asked.The question is
                  what can one do if defective product is delivered...nothing,
                  one is saddled with it &amp; one can't do anything about it as
                  it happened when they delivered a defective Eveready Mosquito
                  Racket refusing to replace or refund the amount. Chatting with
                  their agents takes up a long time as there is a long lull
                  between responses. Then their customer care number remains
                  unanswered. All in all buying from Zepto is troublesome
                  effort, never again.</t>
  </si>
  <si>
    <t xml:space="preserve">It is the worst have I have entered my location a precise
                  location but stil the app is not accepting the location the
                  worthless app wants me to change the settings which I don't
                  want to change the fact is that I am allowed the app few of
                  the settings on which the app can work properly but still the
                  app is forcing me to change it due to which I am not able to
                  access the app that's why I am deleting this app</t>
  </si>
  <si>
    <t xml:space="preserve">Really bad experience, I ordered 5 items got only 4, and there
                  is no refund for the undelivered product and there is no way
                  to connect to the customer care either and also when you add
                  things to the cart this app does not show if the product is
                  "out of stock" or not and when you already make the
                  transaction and receive your order the product isn't there
                  instead the delivery guy tells you to connect to the helpline
                  number which again does not exist and the "call us" option on
                  the app doesn't work</t>
  </si>
  <si>
    <t xml:space="preserve">Offers free delivery above 99 on pass and at the same time
                  adds rs.12 as handling charges on every order.. just
                  manipulation of charges.. if do not have pass then add on
                  delivery charges as well.. overall another way of looting..
                  over that prices of products are not that competitive..</t>
  </si>
  <si>
    <t xml:space="preserve">Great application, only issue is the surge fee. If I have the
                  pass, there should be no surge fee. The surge fee is hidden in
                  the order details. Because of this I have paid this
                  accidentally in rush, please add a feature to show it above.</t>
  </si>
  <si>
    <t xml:space="preserve">Please fix the zepto cash thing.. And one feature request
                  which is given by other apps like Zomato.. : "quick cancel
                  order" Its very frustrating that I placed an order with a
                  mistake and cannot even cancel the order.. So please.. its a
                  must needed feature. Thankyou.</t>
  </si>
  <si>
    <t xml:space="preserve">worst experience !! For the name sake they will send money but
                  we can't use it and if I tried to connect with customer care
                  they are saying if u want use that cash make two orders like
                  initial investment. so it's another type of advertising....ðŸ˜‚</t>
  </si>
  <si>
    <t xml:space="preserve">My experience with Zepto was good as I was getting Zepto
                  cash.. but it stopped and I wanted to order 190rs it was
                  showing me 213rs as total.. your app is calculating wrong
                  amount.. 144-46 is 190 rs how come 213rs.. no use of Zepto
                  membership.. before surgefee it was zero for members.. I will
                  change the rating if app starts to calculate proper as per the
                  item</t>
  </si>
  <si>
    <t xml:space="preserve">I have a transaction related issues Firstly I want to say what
                  kind of app and support system you have created in which no
                  number of customer care is provided neither any transaction
                  related FAQ is asked . If a person like me complete it's
                  transaction is completed but order is not placed how he / she
                  can contact you. Your app is totally a scam.</t>
  </si>
  <si>
    <t xml:space="preserve">I ordered more than 10 items which they are showing delivered
                  and I have not received a single thing then their whole
                  customer agents were unavailable nobody was attending the
                  chats neither the delivery partner was picking up the calls
                  and on the top of it it was a prepaid order and no refend was
                  initiated. Like what is the use of ordering things here that
                  we will receive it in minutes please do not make false
                  promises if you can not fullfill it</t>
  </si>
  <si>
    <t xml:space="preserve">The app has some serious issues. After ordering you can not
                  change your phone no. Unable to contact the delivery boy with
                  any other number. Helpline is also useless. And after 8 mins
                  they show that order has been delivered earlier than estimated
                  time. What a scam !</t>
  </si>
  <si>
    <t xml:space="preserve">Its similar like Blinkit ,with lots of discounts , if u add
                  live delivery will be a good option like zomato or swiggy.
                  Unnecessary Advertisement ðŸ˜” after placing the orders. Mobile
                  get hanged due to advertisement. Rest i love the app. Their
                  should be a option to add Tips to the delivery partner â˜ºï¸.
                  Shaik Shamshuddin</t>
  </si>
  <si>
    <t xml:space="preserve">I have ordered something and received the damaged so I
                  returned the product they told product is out of stock we can
                  refund the amount, it's been 2month inhave not received the
                  amount if I try contact help center they keep on transfer the
                  chat and they ask the same thing they tell you will receive
                  the amount in 3 days but no resolution I do not want to
                  recommend this app</t>
  </si>
  <si>
    <t xml:space="preserve">Fake promotions, as soon as u add item in cart, price
                  increases. Almost expired items delivery, when raising concern
                  with team, they are not resolving issues. Fake promotions,
                  even after applying coupon, not getting cashback on different
                  merchants.</t>
  </si>
  <si>
    <t xml:space="preserve">Service are good...but always add 20 to 30rs more in bill and
                  not mentioned it also...when total all item price is different
                  and there total is different...and then they add shop charges
                  n GST... always why?? Delivery is fast.. get extra cash was
                  superb but but when u charge extra then show break up bill
                  also...why hiding.. zepto cafe also very tasty... But plzz
                  improve your bill category..thank you</t>
  </si>
  <si>
    <t xml:space="preserve">I had a terrible experience with Zepto. I ordered a pack of 10
                  AA batteries for â‚¹140, but it arrived tamperedâ€”one battery was
                  missing, and the pack was greasy, as if a battery had leaked
                  and been removed. Customer support arranged a return but later
                  refused a refund without explanation. Their lack of
                  accountability and transparency is shocking. Avoid ordering
                  from Zepto; they cannot be trusted. I would strongly advise
                  others to think twice before ordering from them.</t>
  </si>
  <si>
    <t xml:space="preserve">Worst app had disappointing experience with app I have 100 in
                  my wallet and I just want to use it but the wallet option is
                  not available initially it's disappeared.i emailed zepto to
                  resolve the issue but they were not supportive and didn't
                  respond at all</t>
  </si>
  <si>
    <t xml:space="preserve">I had a terrible experience ordering from Zepto. I placed my
                  order at 11:45, but by 12:30 it still hadn't arrived, despite
                  the app showing it would be delivered in 5 minutes. The
                  delivery partner didnâ€™t answer my calls, and when I contacted
                  customer service, they provided the vendor's number. The
                  vendor claimed they couldn't deliver because the location was
                  too far. For the refund which would take 3-5 business days to
                  process I wish I could give zero stars</t>
  </si>
  <si>
    <t xml:space="preserve">i had very horrible experience in this app As i order 2 orders
                  they delivered only 1 out of 2. When i contacted customer care
                  she told that we have 12months to get the order due to signal
                  the call disconnected when i called again no respence when i
                  went for chat there is no proper answer from past 17 days im
                  trying please dont buy product its your loss Very Very worst
                  app</t>
  </si>
  <si>
    <t xml:space="preserve">pathetic experience using this app, its not providing
                  delivery/service at my location where it was available few
                  days ago but now it's showing unavailable due to congested
                  traffic where as the road is clear.</t>
  </si>
  <si>
    <t xml:space="preserve">Useless app...it gives you 150rs in zepto wallet on signing up
                  but doesnot allow you to apply it on your cart. Moreover if
                  you just click pay online it directly confirms your order
                  instead of opening the payment modes and then you cannot
                  cancel it. Blinkit and swiggy instamart are far better than
                  this app</t>
  </si>
  <si>
    <t xml:space="preserve">Don't reorder immediately if amount has been debited. These
                  idiots create a new entry as soon as they receive the payment
                  but they don't update it immediately on the cancelled order
                  status page. So you will see order state as cancelled until
                  you get out of orders page. Once you come back on orders page
                  (refresh) you now start seeing your new order which is in
                  accepted state. I lost my money as I reordered trusting the
                  app. Customer care says they don't have option to pickup
                  duplicate orders!</t>
  </si>
  <si>
    <t xml:space="preserve">They are just adding free cash in every 1-2 weeks Which is
                  just promotional offer ,you cant use it for buying
                  anything,and worst part is app will keep sending you
                  notification to use that cash for buying something,so
                  irritating sometimes it is.</t>
  </si>
  <si>
    <t xml:space="preserve">Disappointing app. I'm not able to log in and get verified
                  even after 20-25 times. They verify it and then again otp page
                  opens. This is so disappointing. Even after uninstalling and
                  re installing. It's not happening.</t>
  </si>
  <si>
    <t xml:space="preserve">Order placed and after 2 minutes it is showing delivered on
                  app, how is it possible. Wow you are doint this with
                  supersonic speed. Very bad experience.</t>
  </si>
  <si>
    <t xml:space="preserve">This app is a complete disaster. They don't have COD option.
                  Do they think we are a thief? This is a biggest red flag for
                  me and I will stop using zepto from now on. This a cheap app
                  as well. They would never be able to match with blinkit and
                  Instamart. My only reason to use Zepto was to purchase
                  cigarettes, if it wouldn't for it then I would've never
                  downloaded zepto in the first place.</t>
  </si>
  <si>
    <t xml:space="preserve">Disgraceful. No problem in our locality. The app is showing
                  traffic congestion - delivery not possible. Zepto must think.
                  There are other bigger and better options here.</t>
  </si>
  <si>
    <t xml:space="preserve">Worst app also customer care also nonsense... even answering
                  my issue takes time not just my order.. And the delivery
                  person never picks the call... promising something and not
                  making it.. I wish I could execlate this issue more deep so
                  people will know</t>
  </si>
  <si>
    <t xml:space="preserve">Compare to other quick delivery apps like blinkit, instamart,
                  bbNow price are comparatively much higher. Its also not
                  available at most of the locations in Lucknow, while other
                  apps deliver to those locations. If an item is of â‚¹100 on
                  other apps, zepto is giving same item at â‚¹110-120.</t>
  </si>
  <si>
    <t xml:space="preserve">Zepto is sending sms that I have 125 in your wallet but not
                  crediting the amount and also sending sms and calling
                  everytime for the same but not crediting the amount.... ðŸ˜ and
                  if any amount is there but no option to use that..... and Now
                  zepto is charging too much handling fees also....ðŸ˜  And no
                  customer support...</t>
  </si>
  <si>
    <t xml:space="preserve">Blinkit is much cheaper, yet I continue to use Zepto. Despite
                  providing feedback on their bread packaging at least 7-8
                  times, the issue persists. The packaging is consistently
                  poorâ€”breads are often delivered ripped and damaged. They fail
                  to take simple initiatives like placing bread on top of
                  heavier items or packing it in separate bags. Occasionally,
                  eggs arrive broken, and sometimes the watermelon is pale and
                  unappealing. To improve their service, Zepto should focus on
                  proper packaging practic</t>
  </si>
  <si>
    <t xml:space="preserve">Zeptoâ€™s service has been a major letdown. Initially, they
                  delivered spoilt milk, which led me to stop ordering dairy.
                  When I tried food items, they missed the free product promised
                  with my order. Though I received a small refund (47.5), it
                  didnâ€™t make up for the hassle. Now, my own balance has expired
                  without explanation, and I can't even access funds I paid.
                  Overall, Zeptoâ€™s quality control and customer support are
                  frustratingly poor. They need serious improvements.</t>
  </si>
  <si>
    <t xml:space="preserve">Highly deceiving app. I had zepto cash worth â‚¹75 and they
                  showed Grand total as â‚¹186 after using it. After confirming
                  the order, it changed to â‚¹261!!! Why lie in the first place?
                  Should've shown the real â‚¹261 already na? I seriously hate the
                  games they play and I'd love to encourage people around me to
                  drop this deceiving application. If it were a person I'd punch
                  it in the face. This has happened so many times. No
                  information of additional charges in billing. Hate it.</t>
  </si>
  <si>
    <t xml:space="preserve">I ordered 2 qts of Himalaya cream, but only received 1 qty.
                  Despite contacting customer support, they insisted that 2 qts
                  were sent, which caused significant inconvenience. The amount
                  of the refund is not the issue, but the poor customer service
                  experience was frustrating.</t>
  </si>
  <si>
    <t xml:space="preserve">Zepto would add handling charges 9.99.. today I placed order
                  in items are worth 103. I have zepto pass it should have been
                  113. When I saw the cart value I was happy to see there are no
                  handling charges.. I felt so happy. But I see the value total
                  was 120... I was wondering for 103 it is 120 and it's
                  mentioned as cart value and GST... My question is how you can
                  put GST on the prices which already comes with GST... Zepto
                  needs transfrency.. zepto is cheating people is what I
                  thought... ðŸ‘Ž</t>
  </si>
  <si>
    <t xml:space="preserve">This app provides very poor service. The prices of the
                  products are very high. They do not deliver on time. They also
                  give very bad quality products. They also provide no packaging
                  for their already expensive products of poor quality. They
                  will also charge you adding hidden charges on useless things.
                  But at the end you will be disappointed for using their
                  service.</t>
  </si>
  <si>
    <t xml:space="preserve">Worst experience . Waste of Money No Refund Policy . No
                  Replacement Policy My order got cancelled after payment for no
                  reason , then got text that refund is initiated but no refund
                  has been credited into bank yet. Again i orderd and received a
                  defective jwellery, which says 7 day replacement policy, but
                  nothing happend even after mail.</t>
  </si>
  <si>
    <t xml:space="preserve">I had rs 125 zepto cash . I placed order of rs .142 , so my
                  total bill was rs.17. Upon delivery, it was showing that my
                  zepto cash was not applied and not available at your location.
                  Neither I had a option to cancel the order. Clear tactics by
                  the company. Place order, neither can u cancel the order and
                  get lured under zepto cash..</t>
  </si>
  <si>
    <t xml:space="preserve">They gave free cash and not able to use this as a payment
                  option. Horrible experience and do not recommend this scam
                  like application to any of my friends. Under the offer banner
                  they also mentioned zepto wallet cash is not available at busy
                  hours. Better don't give free wallet cash. Don't lure your
                  customers.</t>
  </si>
  <si>
    <t xml:space="preserve">Pathetic customer support, if you try to chat with the
                  customer support, they keep reassigning the chat to different
                  agent and no one helps. I had placed an order which was
                  cancelled by Zepto, the money was deducted from my card but
                  now Zepto is not refunding it. Pathetic support and experience</t>
  </si>
  <si>
    <t xml:space="preserve">I have SAVED so much more money using Zepto cos of there
                  offers and free cash, unlike some other apps I won't mention,
                  I've had many orders and have had many excellent deliveries.
                  Everything is so quick. Just press, &amp; you have it
                  instantly.I really like the app. Savings, flash sale,
                  percentages off, Deals, etc, are all there. All sections seem
                  to have been updated, and it's so easy to navigate around the
                  app. Free Deliveries Over â‚¹99 JustðŸ”¥</t>
  </si>
  <si>
    <t xml:space="preserve">This app delivers fastly..but it won't let you cancel or
                  modify order ..payment screen is confusing and If you want to
                  pay via a card it will be take you to upi and you can't cancel
                  your order from there..</t>
  </si>
  <si>
    <t xml:space="preserve">I have changed my rating for this app from 5 star to straight
                  1 star. Due to the fact that their customer support is not
                  amicable. I mistakenly ordered a knee cap for my mother in an
                  emergency thinking the size is right and I would be getting 2
                  knee caps but I recieved only one. It was an immediate request
                  to the support team but they gave a heed and said it's not
                  possible. The knee caps were worth rs. 1100+ and they just did
                  not give me refund and the size was not available either</t>
  </si>
  <si>
    <t xml:space="preserve">Worst online delivery partner. Pathetic service, false
                  promises, worst products, lots of hidden charges like handling
                  and delivery fee additions to the order and ontop of all this
                  pathetic and lane customer service. They ask u to buy a pass
                  and still charge delivery fee. It is not automatically set as
                  it is an option that we need to manually add or else the
                  delivery will be charged. Cheap tricks being played on the
                  customers. Delivery boys are asking for 5 star rating
                  immediately on delivery.</t>
  </si>
  <si>
    <t xml:space="preserve">Worst application... More advertisement but less facility and
                  providing bad quality products. After that even if you
                  complain there is no replacement and no refund. Never use this
                  application. This application is a scam. Please remove the
                  application from play store.</t>
  </si>
  <si>
    <t xml:space="preserve">Hi, I can say zepto support team is the worst team. I have
                  raised the issue realted to the zepto wallet. From zepto
                  wallet I can't use the amount yet payonline mode look s like
                  app is having bug. I have send them the email id and my mobile
                  number. Still issue remains. They have not contact back to me
                  after 10 days also.</t>
  </si>
  <si>
    <t xml:space="preserve">Zepto has worst customer service (executive: Priyanka Panchal)
                  and a frustrating return policy. My return request was denied
                  which I tried in the same day, and Iâ€™ve never had such issues
                  with other platforms. I wonâ€™t use Zepto again and will install
                  the app soon.</t>
  </si>
  <si>
    <t xml:space="preserve">I'm facing an issue with zepto wallet cash. The option itself
                  is not showing up for using zepto wallet cash while purchasing
                  an item at the payment time. Please do fix it. â€¢ Edited - now
                  they have added zepto wallet cash but no use it always shows
                  unavailable (zepto cash is temporarily unavailable. please try
                  again in sometime) ðŸ˜ what are you guys doing??? U modified
                  the issue...</t>
  </si>
  <si>
    <t xml:space="preserve">âŒNEVER MAKE ADAVANCE PAYMENTâŒ Today, I ordered from them but
                  I did not receive the order but in app it's showing delivered
                  so, called delivery guy and customer care but nobody answered
                  my calls. I didn't loss anything except time but I would be in
                  trouble if I had paid online so, avoid paying online and
                  beware that they have worthless service and management. I'm
                  not gonna order from them ever again. First and worst
                  experience.</t>
  </si>
  <si>
    <t xml:space="preserve">Worst experience I ordered item worth of 43 and they charged
                  155 ,pathetic ,the order placed mistakenly and they have not
                  provided the cancel option as well I have been ordering quite
                  number of things from this platform but never faced such worst
                  experience but for now I am uninstaling this app.</t>
  </si>
  <si>
    <t xml:space="preserve">Despite having a Pass we get charged a delivery fee. The app
                  asks if we want to avail free delivery even if are already
                  eligible for it, like someone would say no to it. I find it
                  very sneaky.</t>
  </si>
  <si>
    <t xml:space="preserve">The product they deliver are always defective. The app
                  interface is lagging. The delivery agent call you from no.
                  That are scam no. And then blame you for not picking the phone
                  up.</t>
  </si>
  <si>
    <t xml:space="preserve">The experience is overall mediocre and plus they constantly
                  lie about the delivery timelines for the last 10 order zepto
                  communicates a 5 minutes delivery and takes over 15 minutes to
                  deliver. All in all not a fan and I do prefer blinkit over
                  this app!</t>
  </si>
  <si>
    <t xml:space="preserve">This app deserves 5* in terms of customer delivery but 1* in
                  terms of customer service.I have been raising an issue
                  regarding my wallet amount usage but none of them have
                  responded till now.My wallet amount got expired twice but
                  still they haven't taken any action. So I am giving 1* to this
                  app.Am even uninstalling this app. Customer care number which
                  they have given is not working at all. I have been waiting to
                  get connected to an agent but all my time gone in vain. Over
                  all, WORST service.</t>
  </si>
  <si>
    <t xml:space="preserve">Worst app doesn't even work properly Can't add address Aap is
                  too slow. Specially i would like to say that there is another
                  time zone for zepto App as it will show 5 mins to deliver but
                  actually it will take more than 30 mins some time it will take
                  a hr .but in app always it show 5 mins.</t>
  </si>
  <si>
    <t xml:space="preserve">I am giving 1 star because I am having so many issues in the
                  app Firstly, my cod is blocked for no reason My zepto cash
                  also isn't working and showing zepto cash applies but
                  unavailable Please solve this issue This is only happening
                  with my device or phone number Other's cod is not blocked and
                  they can order same thing at same place where I'm trying
                  Thanks</t>
  </si>
  <si>
    <t xml:space="preserve">This app has been very disappointing user experience. They
                  offer a Rs 75 balance, but when I try to use it, I'm not
                  allowed to. Even after adding Rs 500 to my wallet, I'm still
                  unable to access that balance. Thereâ€™s no customer care number
                  for support, which makes it even more frustrating. It feels
                  misleadingâ€”I'd recommend going with Milk Basket instead.</t>
  </si>
  <si>
    <t xml:space="preserve">High delivery charge and worst app ever. App gives me 75rs
                  free And then i give order and go to cart then the 75rs is
                  unavailable so waste of money and time ever. Delivery charge
                  is very high. I think blinkit and bigbasket is the best
                  option.</t>
  </si>
  <si>
    <t xml:space="preserve">A very helpful delivery partner that comes to the rescue when
                  I need groceries but the shops are far away. Thanks for such
                  wonderful service. I expect your groceries price will come
                  down as they are much higher than the market rate ðŸ¥².</t>
  </si>
  <si>
    <t xml:space="preserve">I booked order but one item is missing and when I call to
                  customer care they didn't respond. It's very bad worst support
                  from zepto. I didn't expect this response from zepto. I
                  ordered for large amount but it's very disappointed for me.</t>
  </si>
  <si>
    <t xml:space="preserve">The worst customer service. The worst experience. Promoting
                  themselves by showing that they are giving free cash of
                  "25inr" "75inr" but is just a method to capture customers and
                  later scam them by making them pay full amount and not even
                  responding in chats or emails of customer support. Please use
                  instamart or something else.</t>
  </si>
  <si>
    <t xml:space="preserve">I always appreciate zepto but one thing I want to say the
                  fruit nd veg send are sometimes completely ripe or completely
                  raw And accessories always a different color as shown. nd also
                  they don't return . So I like the products but then delete
                  thinking might perfect thing wouldn't come</t>
  </si>
  <si>
    <t xml:space="preserve">Where the hell is confirmation screen for pay on delivery? By
                  mistake I ordered, i thought confirmation screen will come
                  with my orders. Atleast there is not confirm message above the
                  button. Within seconds, I wanna cancel my order there is
                  nothing option. Please wake up your developers.</t>
  </si>
  <si>
    <t xml:space="preserve">it was good initially. so I bought pass every month. but of
                  lately, whenever I want to order, there is a surge fee,
                  irrespective of the time or day. so I have started using
                  blinkit or instamart. guess it's time to uninstall zepto!</t>
  </si>
  <si>
    <t xml:space="preserve">Expensive products âš ï¸ Don't buy products from them. Usually
                  they show lower amount before adding to the cart , after
                  adding in cart they will add HANDLING FEE &amp; additionally
                  for handling fee they would add GST ðŸ˜¡ Buy from Amazon fresh
                  âœ…</t>
  </si>
  <si>
    <t xml:space="preserve">This app is not providing a constant good service nd
                  coupons..sometime it doesn't show COD option sometimethe
                  couple is inapplicable...my experience with this app is not
                  good at all...i can change my review if the app get constant
                  coupon nd service..now I m satisfied as now changes had
                  happened in my account from the app</t>
  </si>
  <si>
    <t xml:space="preserve">Poorest of the poor. On ordering a pack of two pillows I got
                  only one, when I complained about the same, the customer
                  service executive said that from their end the right product
                  was dispatched? At 1 in the night, why the hell will I fight
                  if I receive right product? Very poor service. I got no
                  refund, no offer to exchange or return the goods. Never
                  ordering again from Zepto.</t>
  </si>
  <si>
    <t xml:space="preserve">This is worst app and worst service. No option to cancel your
                  order once you placed. They do not deliver in specified time
                  and indefinite delay by just saying unforeseen demand. Must
                  have given the option to cancel if it is taking time . Just
                  waste of time and money. Please don't Install this app. Kind
                  of fraud .</t>
  </si>
  <si>
    <t xml:space="preserve">Convenient deliveries, but app is too heavy for an older
                  phone. I have a 5 year old Samsung. The zepto app is very slow
                  compared to the others. I was usuable at one point in time,
                  but today, it's next to unusable for me.</t>
  </si>
  <si>
    <t xml:space="preserve">Very worst experience. Double charged by delivery person by
                  taking cash even after paying by gpay. No proper response from
                  customer support. Even no response in customer support number.
                  Even no response for the mail also.</t>
  </si>
  <si>
    <t xml:space="preserve">I've had numerous disappointing experiences with this app.
                  They offer free cash in the wallet, but it's unusable for
                  purchases. Furthermore, the promised 5-minute delivery often
                  takes 15 minutes or more, and I suspect they're falsifying
                  delivery times.</t>
  </si>
  <si>
    <t xml:space="preserve">Pathetic experience everytime! It doesn't gets delivered
                  before 20 minutes that is also fine but atleast provide some
                  customer service. No option to contact the executive, no
                  riders are assigned for 15 minutes, no option of cancellation
                  and no customer support executive to handle the issue just the
                  bot service.</t>
  </si>
  <si>
    <t xml:space="preserve">Improvement is needed. Tried for 5-6 times, but never received
                  order in 10 minutes. Average time taken is around 30 minutes,
                  but after 10 minutes it shows person reached to your location.
                  Delivery staff is also not familiar with local area.</t>
  </si>
  <si>
    <t xml:space="preserve">Pathetic experience. Probably they are selling old electronic
                  items. First, they sent me an item which was having one
                  missing remote. Secondly, they sent me an item as replacement
                  which was defective piece itself. Poor show Zepto.</t>
  </si>
  <si>
    <t xml:space="preserve">Worst app experience. I ordered something from zepto last
                  night and my order didn't reached me. I tried connecting with
                  the customer care and they didn't responded. After 13 hours
                  they responded and said that clearly they can't refund my
                  amount and they didn't even took a moment to close the chat.
                  Worst app experience. I would go for blinkit but never zepto
                  again!</t>
  </si>
  <si>
    <t xml:space="preserve">Lost my money. I was trying to place an order and I paid the
                  amount but it did not even show up as a cancelled order. the
                  amount has been debited from my account but zepto saying they
                  did not recieve it. I talked to the customer care a million
                  times and they even once said I'll get my money back and then
                  changed their word again. one minute they are saying I'll get
                  refund next they are saying they didn't receive any payment.
                  0/10 customer service.</t>
  </si>
  <si>
    <t xml:space="preserve">Zepto has revolutionized the way I shop for groceries and
                  essentials with its lightning-fast delivery and user-friendly
                  interface. The app is incredibly intuitive, making it easy to
                  browse through a wide range of products, including fresh
                  produce, snacks, and household items.</t>
  </si>
  <si>
    <t xml:space="preserve">App is not performing optimally . Why are prices changing when
                  we see the product price vs when we add to cart. Kindly note
                  that other delivery apps and market price of the product is
                  available with me . please check the variance.. Not satisfied</t>
  </si>
  <si>
    <t xml:space="preserve">Freaky trick to get involved your customer via getting lower
                  prices and free cash in your wallet which is just a myth to
                  divert the customer. Totally worth experience with the amounts
                  of products. In general kiran store we can have it in 20 INR
                  and you guys are showing the prices 30 less with 4 rupees. ðŸ¤£
                  Nice strategy i know I won't get any offer at all after giving
                  this review but that is necessary to know others. I just
                  wanted to know when we can use our free cash wallet amount.</t>
  </si>
  <si>
    <t xml:space="preserve">Pathetic experience..I got MSG from zepto that cash is
                  credited but when I'm adding the product and applying the
                  zepto cash it's not working. It's showing unavailable try
                  after sometime from yesterday..Before this there was no option
                  to apply that got sorted but now there is new issue it's
                  showing but not getting applied. Pls solve this asap....</t>
  </si>
  <si>
    <t xml:space="preserve">Horrible experience!! Among a number of orders, I had a 3 pack
                  socks. I recieved only 2 pairs in the 3 pack US Polo Assn
                  socks and, when I chatted with their support team, I was kept
                  on hold for nearly half an hour and they blamed me at the end.
                  Horrible support. It's not about the money, it's the
                  experience. Please use trusted apps like Amazon Fresh or Big
                  Basket.</t>
  </si>
  <si>
    <t xml:space="preserve">By mistake user goes back from payment page, it considers that
                  as payment failure, then user can't do use Cash on Delivery.
                  Then user has to do online payment for activation of cash on
                  Delivery. Did that but now it want online payment only.. no
                  COD, so deleting App permanently. No reply of mail till now.
                  !!</t>
  </si>
  <si>
    <t xml:space="preserve">Worst service ever! My payment for a Zepto order went through,
                  but the order got canceled. Customer support keeps
                  contradicting themselves, and my emails go unanswered. The
                  bank confirmed the payment, yet no action from Zepto.</t>
  </si>
  <si>
    <t xml:space="preserve">Pathetic app. It was better in starting but now they are
                  showing 5 mins for delivery but they are delivering in 30 mins
                  why because they are giving delivery boys 3 order at a time
                  which is why orders are getting delay and to reach on tine
                  delivery boys are driving rashly and are becoming reasons of
                  accidents on highly jammed mumbai roads</t>
  </si>
  <si>
    <t xml:space="preserve">Really fast delivery by zepto. But my first order is cancelled
                  by zepto delivery man due to address location problem. But
                  again I rectified location and reorder. now way but its good
                  option to get best discount and fast delivery by Zepto. My
                  first experience is so good. But I am waiting for cash back or
                  better discount again. If this app is provide good cash back
                  and Handsom discount than the all competitive company will go
                  down fall may be. Again I am thankful to zepto for delivery
                  done fast.</t>
  </si>
  <si>
    <t xml:space="preserve">I really appreciate the quality of items you offer, which has
                  always been a reason I chose Zepto. However, I noticed the new
                  policy requiring a minimum order of â‚¹499 for lower prices.
                  This feels a bit unfair and inconvenient for customers who may
                  not always need to order that much.</t>
  </si>
  <si>
    <t xml:space="preserve">Many a times, wrong variant is delivered, the packet is open
                  and the item is not that fresh with a day before packaging
                  date for example peeled pomagrenate! For the rectification,
                  the customer has to remind them again n again!</t>
  </si>
  <si>
    <t xml:space="preserve">Refunds are terrible. They decide to unilaterally cancel the
                  order after collecting the Zepto pass. Then they refund minus
                  the zepto pass value. Post this, when are new order is raised,
                  they collect much higher than the original order value. When
                  we seek customer care for the refund, they say they have done
                  their best and we need to check with our bank. No courtesy
                  means no business.</t>
  </si>
  <si>
    <t xml:space="preserve">This app misses a few key features required for any delivery
                  app:- 1. Map when delivery executive is on the way especially
                  in congested localities 2. Unlike Blinkit it doesn't allow
                  sorting or better product selection options 3. Lack of
                  adequate diversity in products like it's competitors</t>
  </si>
  <si>
    <t xml:space="preserve">I am extremely disappointed with my experience with Zepto. I
                  ordered amul ghee, but what I received was not only subpar but
                  had an awful smell, almost like rancid ghee. I tried reaching
                  out to their customer support through chat three times, hoping
                  to resolve the issue, but each time I received no valuable
                  feedback or assistance. The lack of responsiveness and failure
                  to address the problem has left me frustrated. I expected
                  better quality and service. I wonâ€™t be ordering from Zepto
                  again.</t>
  </si>
  <si>
    <t xml:space="preserve">Tremendous idea and a well executed app for gig jobs and
                  getting anything delivered in as little as 20 mins anywhere in
                  the city. Love the user interfaces but animations can be
                  reduced a bit to avoid getting the UX buzzy. The delivery
                  partners are quick and respectful. They just find you wherever
                  you are even if you accidentally entered incorrect address.
                  nice work zepto team.</t>
  </si>
  <si>
    <t xml:space="preserve">I can't able to use wallet balance..150 it's showing can't
                  able to use it..I don't understand if it's not for use then
                  why you guys show that it as available wallet balance . First
                  they mailed me to order 2 orders after that wallet Ballance
                  will be activated..but after ordering it became
                  0..fraud..fake.</t>
  </si>
  <si>
    <t xml:space="preserve">As a delivery app it's too good but as a customer and from UI
                  background ai can say This app should be more user friendly in
                  terms of filtering, sorting products and having some rating
                  system will help customer to decide what to order ..</t>
  </si>
  <si>
    <t xml:space="preserve">This app is amazing. But due to high demand it is always
                  blocked. I have been trying to order since last 2 to 3 days
                  but the situation hasn't improved. Kindly make changes so that
                  everyone can buy atleast in 15 mins.</t>
  </si>
  <si>
    <t xml:space="preserve">"I had a very bad experience with Zepto. I placed an order and
                  the delivery person arrived, but instead of delivering it to
                  my doorstep, he told me to come down and collect the order
                  from outside my society. When I asked why he wasnâ€™t delivering
                  it up, he said he was tired and refused to come. This is
                  unacceptable, especially since I paid for delivery charges. I
                  expect better service when I pay for convenience, not to be
                  treated like this. Extremely disappointing!"</t>
  </si>
  <si>
    <t xml:space="preserve">Very worst , didn't got 2000rs in zepto wallet , after
                  referring 10 members and each of them made their first order ,
                  very worst , never do referral . In customer care they are
                  saying , that you got 10 cashback coupon which each has 200rs
                  offer which would sum into 2000 rs . CHEATING .I spend many
                  hours everyday but everything gone ðŸ« </t>
  </si>
  <si>
    <t xml:space="preserve">Third class app and worst customer support.. They have Zepto
                  wallet option but you are unable to use it. If you add money
                  in it.. your money will be stuck.. Don't believe them go for
                  another apps like swiggy instamart or blinkit..They will reply
                  in Play store review to mail the concern but don't provide any
                  satisfactory reply in mail..</t>
  </si>
  <si>
    <t xml:space="preserve">Disappointing experience. They are not letting to refund or
                  replacement of an item. The customer support has no patience
                  to address the issues promptly. I don't recommend this App.</t>
  </si>
  <si>
    <t xml:space="preserve">The product delivery time is within 5 minutes but if there is
                  any problem with the product there is no solution . Zepto's
                  idea :- I got the money, you understand the good and bad of
                  the product. This app is very bad, download and use it very
                  carefully</t>
  </si>
  <si>
    <t xml:space="preserve">Just showing the free delivery but never received. Next, when
                  u order anything, the order total is different than the
                  original, We have to pay surge fees,platform fee ,delivery
                  charges, etc , Just check up the order total and the time u
                  make wait ...always high</t>
  </si>
  <si>
    <t xml:space="preserve">"I have been facing an issue with Zepto regarding my wallet
                  money. Despite having a balance, I am unable to use it as it
                  always says, 'This service is not available.' I have already
                  complained, but the problem remains unresolved. Very
                  disappointing experience!"</t>
  </si>
  <si>
    <t xml:space="preserve">It's warest scam I never seen, why because While purchaseing
                  some products time it will show some wallet caush but it not
                  applicable and still after you purchased something then the
                  vouchers will expire it show , how much bludy frude they are
                  doing , and I would like shear that picture also the photo
                  upload options is not available now,</t>
  </si>
  <si>
    <t xml:space="preserve">They have kept the free delivery coupon instead of directly
                  applying coupon when it's applicable. Uninsatlling becuase
                  they loot money everytime I forget to apply.</t>
  </si>
  <si>
    <t xml:space="preserve">Bad experience on first order itself. I ordered few items by
                  opting gift wrap option by paying extra charge. They didn't do
                  that moreover there was a free diwali gift shown in app, even
                  that also i didn't get. I reached out to their customer
                  service and the reply was "sorry for the inconvenience pls
                  order again"ðŸ¤¨. Very pathetic customer service.</t>
  </si>
  <si>
    <t xml:space="preserve">I have ordered a wrong stationary product(book) by mistake,
                  after placing the order, i could not cancel it anywhere, even
                  though I tried immediately, and on top of that, I tried
                  returning it after delivery and it does not have an option for
                  that. Please improve your features</t>
  </si>
  <si>
    <t xml:space="preserve">I've always had good experiences with Zepto until this
                  morning, which I mistakenly selected COD instead of online
                  payment. I was sending someone a gift and there was no option
                  to settle the payment directly online at all. Very
                  inconvenient.</t>
  </si>
  <si>
    <t xml:space="preserve">The only delivery app where orders won't get placed. I tried
                  at least for an hour, could have as well been back by now from
                  the nearby kirana shop. Heights of tech adv... Zepto.. who are
                  your backend engineers (if there are any)... But lovely, keep
                  it up .. And thanks so much for wasting my time ðŸ™ðŸ»</t>
  </si>
  <si>
    <t xml:space="preserve">I ordered a mobile holder, but it doesn't fit my bike or
                  cycle. The quality is very poor. Unfortunately, there is no
                  option for a replacement, refund, or return, so I have
                  uninstalled the app. ðŸ˜”</t>
  </si>
  <si>
    <t xml:space="preserve">It blocked my COD for no reason and then said to place a order
                  online then it will get automatically unblocked, but I had
                  placed 3 order but still COD is blocked and wallet
                  inaccessible. Worst experience!!</t>
  </si>
  <si>
    <t xml:space="preserve">Zepto offers products at fair prices with a reasonable
                  delivery fee. I appreciate their prompt and efficient customer
                  care, particularly when it comes to refunds &amp; resolving
                  queries. The delivery personnel are always courteous and
                  deliver on time, ensuring a seamless experience. I usually go
                  downstairs to pick up my orders to save them the trouble of
                  coming to the second floor, but even when I miss their call,
                  they kindly deliver it upstairs without any hesitation. I
                  appreciate their dedication.</t>
  </si>
  <si>
    <t xml:space="preserve">zepto app is fully cheating first they were given some 100rs
                  cash wallet within one day they removed wallet cashback Many
                  times i have tried to reaching customer care support but they
                  didn't respond well. Don't believe this application it was
                  worst experience i have never seen. I have used to many
                  applications not like this., ðŸ˜­ðŸ˜”ðŸ˜”ðŸ˜­ðŸ˜­(if i want to upload
                  the screenshot also i can able to do but options is not
                  there).</t>
  </si>
  <si>
    <t xml:space="preserve">Giving again and again promotional amount which is useless to
                  access and customer team saying giving to order again they
                  tell from next order you can use it but still can't use and
                  giving only for promotional basis. Don't install this app.
                  Only doing its marketing. There is customer satisfaction not
                  there.</t>
  </si>
  <si>
    <t xml:space="preserve">Why is Zepto cash unavailable? Fix this bug. What's the use of
                  you people adding cash in wallet if you don't even want people
                  to use it? And don't reply with contacting you on email. I
                  already did and still you people haven't fixed the problem.</t>
  </si>
  <si>
    <t xml:space="preserve">Very bad service. I am facing issue since 5 hour and there
                  support team is unable to resolve my query there support team
                  pic up the call after 7 mins and said that they connect me
                  with his senior and they disconnected the call .. please don't
                  uses this app ... Every person is lier here</t>
  </si>
  <si>
    <t xml:space="preserve">Fake delete account option in the app. If you wanted to delete
                  your account then you can't able to do it. Poor customer
                  support and many time free wallet money is only can be use for
                  selective locations.</t>
  </si>
  <si>
    <t xml:space="preserve">ðŸš¨âš ï¸ðŸš§ fake alert ... Worst app.. do not use this. This app
                  credit 50-100 rs for showing only and you could only use after
                  2 days. Firstly on installing the Wallet balance expiry shows
                  of 1 year then after 2 days it says it is expiring today, when
                  I contacted customer service they said the firm can do
                  anything... So be aware ðŸ”¥</t>
  </si>
  <si>
    <t xml:space="preserve">Even at the start of the month most of the essentials are out
                  of stock. You'll never get what you want in zepto instead
                  they'll only sell what they want you to buy. 13/10/25 - Worst
                  app ever. They have loaded too much things in there that it
                  takes a truck to load... you can actually get your essentials
                  delivered from nearby store and the app will still be like
                  loading..</t>
  </si>
  <si>
    <t xml:space="preserve">Thieves, Cheats and Liars What is the point of "free â‚¹100" if
                  I cant use it. To add to that a store that is apparently 6
                  mins away when ordered from shows ETA of 12 mins and
                  eventually delivers in over 15mins. Why lie? If you cant
                  provide the promised â‚¹100 then dont promise. If you cant
                  deliver on time, dont promise. Misleading cheats. Highly
                  recommend the readers to use other apps. (Only giving 2 star
                  so that playstore doesnt omit it as spam rating, actually
                  deserves 0 if I'm honest)</t>
  </si>
  <si>
    <t xml:space="preserve">Most disappointing app ... They offer 25% off on first order
                  if u login using reffferal code of someone ... I logged in
                  using referal code and when I place order there was not such
                  discount available andar when I reached to their customer
                  support they didn't resolve the issue i was informed wait for
                  sometime and then order still not such discount is shown while
                  placing the order terrible service ... They are cheaters
                  ,fraud app...</t>
  </si>
  <si>
    <t xml:space="preserve">Dear Zepto team, I am writing to express my frustration with
                  my recent experiences on your platform. Despite placing
                  multiple orders, I have repeatedly encountered order
                  cancellations. This has caused significant inconvenience and
                  frustration. I urge you to address this issue to prevent it
                  from happening to other customers. Thank you. WORST PLATFORM
                  EVER TO BUY GROCERIES IS ZEPTO</t>
  </si>
  <si>
    <t xml:space="preserve">I had the worst experience with Zepto. My Zepto wallet has
                  funds, but I am unable to use it while placing an order. I
                  tried contacting customer support via chat, but they didnâ€™t
                  provide any solution.</t>
  </si>
  <si>
    <t xml:space="preserve">They are running scam. They are not allowing to use wallet. As
                  the wallet option is not shown. I m a new user for zepto they
                  have given 100rs in my wallet but they are not allowing to
                  apply the cash from the wallet as there's no option of
                  applying it at checkout. Well they 100rs cash has 1 day
                  validity and it has been expired. Even there are many review
                  which says they are not able to apply wallet cash and what the
                  devloper replying is to contact customer support</t>
  </si>
  <si>
    <t xml:space="preserve">Literally the worst delivery app. They will lure you to order
                  the items and get delivery in a very short time and then will
                  deliver the product very very late. Further customer service
                  is at its worst you just have to wait keeping hands on hands
                  and the delivery agents will not provide any justification for
                  the same kevaing you frustrated and irritated. Don't waste
                  your time ordering from this app and rather look for good apps
                  that deliver their promises as promised</t>
  </si>
  <si>
    <t xml:space="preserve">Full cash payment given to delivery agent for recent order but
                  then delivery agen did not return cash. Not happy with the
                  services. The delivery boy should carry cash. There is no
                  option in app to speak with customer representative nor there
                  is any option to raise a complaint. Disappointed.</t>
  </si>
  <si>
    <t xml:space="preserve">Such stupid app...it keeps showing money in wallet but doesn't
                  provide option to use that money while making payment. I tried
                  in the morning noon evening at midnight...there is just no
                  option. Makes me super angry. Either fix the issue or stop
                  duping people by sending incessant messages about wallet money
                  getting expired soon.</t>
  </si>
  <si>
    <t xml:space="preserve">Bigger Flaw in App for the address A-1205 Ansal heights sector
                  92 gurgaon. 122005, Zepto cafe is not visible and chicken
                  category is missing. It's not even showing out of stock, it's
                  just not listed. Prior i had ordered chicken twice and it was
                  delivered in 5 minutes.to the above mentioned address. Now i
                  am not able to see it only. A lot of troubleshooting was asked
                  by Zepto support, I did all, shared videos and screenshots but
                  no resolution. It's error in App, can someone resolve ?</t>
  </si>
  <si>
    <t xml:space="preserve">Pathetic customer service and buggy app. I had placed order on
                  23rd nov which got cancelled by them and money which was there
                  in zepto wallet got deducted, it's been more than 2 weeks and
                  have spoken to their csr , floor manager but no progress, they
                  will again and again ask same information and waste time.
                  Worst customer service , common sense is so rare.</t>
  </si>
  <si>
    <t xml:space="preserve">Very useful appâ€šand the products are really good.. i have
                  ordered Brown eggs 2 times..all was good not even a single
                  damage in one egg. packaging is so good that it looks so
                  premium.. Thank you Zepto for take caring of our product's</t>
  </si>
  <si>
    <t xml:space="preserve">placed an order Haven't received it even after 1Â½ hour and i
                  have asked customer service to cancel the order instead they
                  kept repeating same thing to wait a little longer like some
                  bot. After i asked them to cancel the order for the 2nd time
                  they stopped responding. now I can't get the order or the
                  refund I'm stuck.</t>
  </si>
  <si>
    <t xml:space="preserve">I had a very bad experience with zepto. I have 100 in my
                  wallet, and I just wanted to use it, but the option to do so
                  is not available. After that, when I'm emailed my problem,
                  zepto cash apply option came but you cannot use zepto cash
                  because for some issues zepto said zepto cash is unavailable.
                  And not only this, there is no option of cash on delivery. If
                  zepto don't want can anyone use zepto cash so why zepto give
                  us zepto cash This has been extremely frustrating. Too much
                  frustrated app...</t>
  </si>
  <si>
    <t xml:space="preserve">Very slow app, doesnt load. Instead of investing on other
                  things, first invest on your IT and backend team. Your app
                  does not load and a frustrated customer switches to other apps</t>
  </si>
  <si>
    <t xml:space="preserve">Fraud App.. they will credit free 100rs to 150 free cash in
                  your account and advertise it everywhere in the app, but when
                  you try tobuse that free wallet amount you will find it is
                  temporarily unavailable and you can't use it.. irony is it is
                  always temporarily unavailable, lol... Cheap marketing
                  practices, they think consumer is fool.</t>
  </si>
  <si>
    <t xml:space="preserve">The zepto cash turned as a scam, I have applied it and I was
                  to pay the remaining amount by cash or upi but as soon as I
                  placed order it is reflecting that zepto cash has not applied
                  and I have to pay all amount by my own, then also zepto cash
                  which was showing valid till Nov and Dec2025 has gone expired
                  and a message is there that valid for next order only.There is
                  no customer support for this app,they only say all agents are
                  busy a long wating time and then the call got disconnected.</t>
  </si>
  <si>
    <t xml:space="preserve">Just fantastic app its amazing the best delivery app for me
                  they deliver the order very quickly and also give you some
                  times a certain amount in wallet which u can use means no app
                  gives such options but zepto gives and it's the best app in
                  delivery purpose ðŸ”®â˜ºï¸</t>
  </si>
  <si>
    <t xml:space="preserve">Very worst .app.dont use zepto.. First they will show some
                  wallet amount afterwards they ask to order then only I can
                  able to use it ,they ..ok..after ordering the items your zepto
                  wallet becomes 0, now they are telling it's a marketting they
                  expire the wallet balance anytime they require .so this is
                  unfair .say no to zepto app..better to go with Blinkit or
                  instamart..</t>
  </si>
  <si>
    <t xml:space="preserve">Had very bad experience. Ordered clothes from this
                  application. Size was not correct. I asked customer care to
                  exchange with correct size. They denied and told we are not
                  taking back any products once customer takes that. When I told
                  that I will uninstall this app ,they said go ahead. I am
                  uninstalling this app and suggest others also that use
                  flipkart, Amazon and blinkit for ordering any products. They
                  have both exchange and return option. Avoid this app else you
                  will lose your money.</t>
  </si>
  <si>
    <t xml:space="preserve">Zepto is just wow on time delivery good but there is no proper
                  customer support when we are in need, zepto wallet is not
                  working amount is showing but it's unavailable for a moment
                  it's coming and am not able to available the zepto wallet cash
                  also to seek customer service there is no proper information
                  also. Please provide a proper guidance when zepto wallet cash
                  is given then wasting it as such when it's in utilization.
                  Thank you</t>
  </si>
  <si>
    <t xml:space="preserve">Request for refund or exchange. Dear Zepto Team, I ordered UK
                  size 10 shoes for â‚¹1,200, but they donâ€™t fit. Customer service
                  informed me that shoes cannot be returned or exchanged, which
                  is disappointing for such size-sensitive items. This
                  restrictive policy feels unfair and wastes my money. I kindly
                  request a replacement or refund for the shoes. Clear
                  communication about non-returnable items during purchase is
                  crucial to avoid such issues. I hope youâ€™ll address this
                  matter promptly.</t>
  </si>
  <si>
    <t xml:space="preserve">Zepto has been impressively delivering value-for-money
                  products and exceptional service. Iâ€™ve been using it for a
                  while now, and itâ€™s remarkable how quickly they fulfill
                  ordersâ€”often even faster than the estimated time in the app.
                  It's a testament to the dedication of their delivery partners
                  and the efficient inventory management that ensures items
                  arrive ahead of schedule.Even the app experience is
                  amazing.It's very user friendly for newbies.</t>
  </si>
  <si>
    <t xml:space="preserve">I recently ordered from the Zepto app, and I am extremely
                  satisfied with my experience. The item arrived on time and was
                  of excellent quality.The product I ordered was fresh and
                  exactly as described. The app's interface is user-friendly,
                  making it easy to place an order, and the delivery service was
                  prompt and efficient. Iâ€™m really impressed with the overall
                  service and would highly recommend Zepto for quick and
                  reliable grocery shopping.</t>
  </si>
  <si>
    <t xml:space="preserve">Its a worst one the rate of the items are so high and also
                  send the spoil one item. Even after you complaining about it
                  nobody respond for anything so its a worst experience ever.
                  Never used zepto again.</t>
  </si>
  <si>
    <t xml:space="preserve">I have been using zepto for quite some time now and I must say
                  the delivery service is really good, within 10-15 mins goods
                  are delivered, the range of products and offers are also
                  impressive. The only thing that annoys me is that there are
                  too many notifications boths as app notifications and sms.
                  Other than that, everything is fine.</t>
  </si>
  <si>
    <t xml:space="preserve">"I ordered the Crack Combo but received only one packet
                  instead of the full combo. This is disappointing as I expected
                  the complete order. I kindly request the team to resolve this
                  issue promptly and ensure better quality checks for future
                  delivering</t>
  </si>
  <si>
    <t xml:space="preserve">They are scamming us with zepto wallet cash offer for next
                  delivery and after putting the first order then they expire
                  the zepto wallet money. After you place the first order. It's
                  a scam. If there is a zero star rating I would have given that
                  only. I don't recommend this app at all.</t>
  </si>
  <si>
    <t xml:space="preserve">Zopto delivers really fast, unbelievably fast.. (truly within
                  10 minutes) Don't know how can do it so fast. Why order on
                  Amazon/Flipkart and wait for a week for the arrival of the
                  ordered product. There are certain exceptions which you may
                  have to order through other apps as Zepto may not be able to
                  stock and deliver everything but yes it does deliver almost
                  all daily requirements really very fast. Salute !</t>
  </si>
  <si>
    <t xml:space="preserve">Very poor delivery.... We order and it shows 23 min and took
                  30 min and after that delivery cancels... Without even
                  receving the call from the delivery partner... And when it
                  shows about to reach it cancels anyway.. not even the delivery
                  partners took the call he too hang up !!! Very very poor</t>
  </si>
  <si>
    <t xml:space="preserve">This is beyond ridiculous! My parcel NEVER arrived, but the
                  app has the nerve to mark it as â€œdelivered.â€ I tried
                  contacting Zeptoâ€™s customer service, and they didnâ€™t even
                  bother connecting me to an actual agent. All I got were
                  useless, scripted replies. This level of incompetence and lack
                  of support is absolutely unacceptable!</t>
  </si>
  <si>
    <t xml:space="preserve">They kept sending wrong product even with exchange and did the
                  same when ordered with my wife's account. They are scammers
                  who sends wrong product(cheaper) and will make extra money.
                  Their customer care also sucks. They are like robots. Don't
                  help at all</t>
  </si>
  <si>
    <t xml:space="preserve">Worst quality of fruits delivered each time. I have very bad
                  experience with Zepto. I strongly recommend people to don't
                  use it buy anything. There are so many better options
                  available. Minutes</t>
  </si>
  <si>
    <t xml:space="preserve">Worst experience, worst customer care service, no one pick the
                  call, wallet is showing 150. But not able to get it. Worst app
                  in the world don't use this app. Already I sent a mail to
                  support mail. No response. Uttar wast app. I guess ur company
                  is not having proper management.</t>
  </si>
  <si>
    <t xml:space="preserve">Zepto is real scam. My sister made an order for around 800-900
                  and the delivery guy never delivered the items . She never got
                  her stuff and never got her money back. After talking to the
                  delivery person he said you did not answer my call once so he
                  marked it as delivered and she never received her money back.
                  Today I used zepto for the first time. I ordered something
                  that said set of 6. And they delivered item that is a set of
                  3. After talking to 3 representative. I never got rest of my
                  items</t>
  </si>
  <si>
    <t xml:space="preserve">Zepto has been a game-changer for my grocery shopping! Their
                  lightning-fast delivery consistently amazes me. I've never
                  experienced such speedy service before. The quality of the
                  products is top-notch, and the app is super user-friendly.
                  Zepto has definitely earned a spot in my regular shopping
                  routine.</t>
  </si>
  <si>
    <t xml:space="preserve">When I ordered through an account using my mom's bank account
                  UPI option, the money was debited but the order was cancelled,
                  just for three seconds it showed we'll get refund in a week
                  and I also contacted with gmail. It's almost going to be a
                  month and still i didn't get my money</t>
  </si>
  <si>
    <t xml:space="preserve">It was such a worst app, before placing the order prices was
                  low and once place the order the prices was increased
                  automatically, it's a scam, this was not the first time many
                  times.......</t>
  </si>
  <si>
    <t xml:space="preserve">One of the best app with best customer service i have ever
                  seen in my life. During one of my order delivery the the
                  content of the item did not matched the content what is
                  delivered to me not only they resolved the issue and also the
                  refund the whole amount . When there is only one item missing
                  which is due to change in packaging by the product company.</t>
  </si>
  <si>
    <t xml:space="preserve">Just so fed up with this app. Even after editing my location
                  numerous times the app isn't updating my location and hence
                  the delay in delivery. Always having disputes with the
                  delivery partner as the location recieved is confusing. No
                  customer support to reach out to. Definitely switching to
                  BlinkIt from now on.</t>
  </si>
  <si>
    <t xml:space="preserve">"I absolutely love using Zepto! The app is super
                  user-friendly, and the delivery speed is incredible â€“ they
                  truly live up to their promise of instant deliveries. The
                  range of products is excellent, from fresh groceries to daily
                  essentials, and the quality is always top-notch. The customer
                  support is also very responsive and helpful. Zepto has made my
                  life so much easier by saving me time and hassle. Highly
                  recommend it to anyone looking for fast and reliable delivery
                  services!"</t>
  </si>
  <si>
    <t xml:space="preserve">Very bad delivery. I was order and pay 4 item. But i got only
                  3 item. When i was saw that one item missing out of 4. And
                  also customar care number is wrongly given on this zepto app..
                  and they were not support.. only chat system have through
                  conversation but at last they would be block from chat also.
                  And refund not done yet.</t>
  </si>
  <si>
    <t xml:space="preserve">1. Pricing: Many products are priced higher compared to D-Mart
                  Ready, making them less competitive. 2. Product Availability:
                  Several products are often out of stock, limiting customer
                  options. 3. Delivery Service: Packaging quality is subpar, and
                  the 10-minute delivery promise is frequently unmet. 4. Hidden
                  Charges: Unforeseen charges are added to the bill, which can
                  be frustrating for customers. To enhance customer
                  satisfaction, I recommend addressing these concerns.</t>
  </si>
  <si>
    <t xml:space="preserve">Literally fraud, items were missing and then when I spoke to
                  the agent and he said that the money would be refund and will
                  be shown in account in few minutes, nothing happened and then
                  raised a concern two times more and yet again no solution.
                  Haven't received the product or the refund. Literally cheap
                  cheaters.</t>
  </si>
  <si>
    <t xml:space="preserve">Very bad experience with the app delivery. They delivered
                  broken eggs to me and when is asked them to replace and the
                  delivery boy came to me he told me that the previous package
                  should be in good condition(no broken eggs) then he will be
                  able to replace it. Really? If it would be in good condition
                  why would I request you to replace it? Really bad experience
                  zepto.</t>
  </si>
  <si>
    <t xml:space="preserve">It is no doubt a fast delivering app but it just says you have
                  75 rs free cash in you wallet but when we go to order
                  something it straight away accepts your order not asking any
                  mode of payment and we cannot cancel it too after just 15-20
                  sec and the voucher also not gets used up and we have to pay
                  for the whole order even if we don't want it</t>
  </si>
  <si>
    <t xml:space="preserve">*Title:* Extremely Disappointing Experience with Zepto - Zero
                  Customer Support *Rating:* 1/5 (or the lowest rating option)
                  *Review:* I'm extremely dissatisfied with my recent experience
                  with Zepto. The delivery boy cancelled my order without any
                  valid reason, and to make matters worse, the customer support
                  team failed to resolve the issue or provide a refund. Despite
                  multiple attempts to contact customer care, I was met with
                  unhelpful and unresponsi representatives who seemed
                  unconcerned with re</t>
  </si>
  <si>
    <t xml:space="preserve">In playstore its advertising that there is a gift hamper if
                  order placed between 29thDec &amp; 1stJan, i have placed order
                  on 31st Sec but did not receive anything additional as stated.
                  If something is done about it i will change the rating to
                  5stars cause zepto feels best for ordering items.</t>
  </si>
  <si>
    <t xml:space="preserve">the app keep giving free 100rs and when I'm about to use that
                  ,it shows some glitch - you cannot use this wallet money for
                  payment So I added 300bucks again into my wallet, still I'm
                  not able to use the 300rs .. gone the free 100rs as well as my
                  300 Please fix your app Update: customer care :- you can't
                  withdraw the money back into your account(300), can close the
                  wallet permanently- the phone number will be blocked for
                  future,but you will receive the money in 2-3 bs days.. very
                  helpful ðŸ™ƒ</t>
  </si>
  <si>
    <t xml:space="preserve">the app seriously sucks. it has recently launched in jaipur
                  and the problems I've faced so far are: 1. the app crashes 2.
                  no delivery is done in 10 minutes 3. can't locate the delivery
                  agent on map, it just says 15 minutes for the last 20 minutes
                  like wth?? how am I supposed to know his whereabouts and other
                  IMPORTANT details? 4. no COD option, really work on it 5. help
                  section- the bot gives 5 questions to chose from and gives
                  generic answers. doesn't solve your queries at all</t>
  </si>
  <si>
    <t xml:space="preserve">Worst app when ever I try opening this application and it's
                  says that try after sometime we are experiencing high demand
                  when you are not able to serve then close the store near us
                  it's better we will think it's not in use to get it it's
                  better to use other platform spending money on adds put those
                  on making services better</t>
  </si>
  <si>
    <t xml:space="preserve">Zepto playing a worst marketing Scam... Zeptoâ€™s marketing
                  feels like a scam! A friend referred me, and I received â‚¹100
                  Zepto cash (expiry date: Nov 6, 2025). Excited, I tried to use
                  it, but my wallet was blocked without explanation. Support
                  said to make 2 orders to activate it, so I didâ€”only to find my
                  balance at â‚¹0. When I contacted them again, they claimed the
                  amount expired as it was â€œpromotional.â€ Bottom line: Zepto
                  shows â‚¹100 in your wallet, but you canâ€™t actually use it.</t>
  </si>
  <si>
    <t xml:space="preserve">Worst customer experience, didn't recieve half of my ordered
                  items, no one replied to me on chat and no one picked up the
                  call on the customer service, This has to go legal now because
                  this has happened thrice to me with zepto...do not use this
                  application unless they fix it.</t>
  </si>
  <si>
    <t xml:space="preserve">I'm writing to express my frustration with the recurring
                  unavailability of Zepto Cash. Despite its promise, the service
                  consistently fails to deliver, leaving users like me
                  disappointed and inconvenienced. It's an terrible app... If
                  you don't want to make zepto cash available to use then why
                  you giving it to users and making us fool...</t>
  </si>
  <si>
    <t xml:space="preserve">Zepto cash is a scam. If zepto cash is not supported in a
                  particular city, it should not show in the app. I loaded
                  1000rs, but found that I can't use it in my city. There is no
                  option to get the money back to my account through the same
                  payment gateway. Learn from Amazon how it works and don't
                  teach us how zepto cash works</t>
  </si>
  <si>
    <t xml:space="preserve">Zepto is a fraud.. we purchased the pass and it shows that you
                  get additional discount if you have pass but app doesn't apply
                  that discount and you can't cancel the order even within few
                  seconds.. they are saying order is packed but in reality order
                  is yet to be packed.. Total fraud.. have uninstalled the app</t>
  </si>
  <si>
    <t xml:space="preserve">Terrible experience I am getting so many messages that you
                  have got 75 cashback in your wallet but whenever I am trying
                  to order there is no such option to use wallet money. If there
                  is so such option then why are they spamming messages. I
                  always order from zepto, they deliver very fast but they are
                  continuously spamming messages and not resolving my wallet
                  issue</t>
  </si>
  <si>
    <t xml:space="preserve">Worst app, they show 15 minutes for delivery and deliver it in
                  30, 45 mins, 'driver will drive slow due to high demand'
                  seriously? On a wednesday afternoon 3 o clock, you seriously
                  think people believe its high demand and this is not first
                  time every time this app is in high demand and we have to
                  believe that... sorry i had very high hopes for this app but
                  for after using it for 6months i am vexed up and my time is
                  wasted</t>
  </si>
  <si>
    <t xml:space="preserve">It is a good app and okayish services overall. However, the
                  after sales services are horrendous. They do not seem to have
                  any inventory checks so once the delivery is done, you are on
                  your own. I ordered 4 rice bran oil but got 3 rice ones and 1
                  sunflower(there is very minor differences between the two and
                  the packet was hidden deep in the bag so i didn't notice at
                  time of delivery) but when i raised a ticket, they kept
                  adamant that they sent 4 rice oil from their backend team. So
                  take care.</t>
  </si>
  <si>
    <t xml:space="preserve">Worst delivery app i deposited money in their wallet I was not
                  able use my money showing unavailable. Untimely deliveries and
                  many more my money just got stuck. Support team will give you
                  false hopes and make you wait longer giving no solution I
                  deleting zepto very disappointed refused to give refund.</t>
  </si>
  <si>
    <t xml:space="preserve">the thing is, I downloaded the app as a last resort, and it
                  worked like a charm, the place where I live is remote so not
                  many apps can pick up the location for fast delivery, but this
                  one did, I'm gonna keep using it as I am incredibly satisfied
                  with the service.</t>
  </si>
  <si>
    <t xml:space="preserve">This is a pathetic app and company. They gave me an entirely
                  wrong and much cheaper product. It's tough to connect with
                  Customer support on this app and even after i did, they just
                  disappeared when I asked for a refund. Thieves.</t>
  </si>
  <si>
    <t xml:space="preserve">First of all Zepto is nowadays a very reliable and handy
                  platform to purchase anything within a few minutes. Delivery
                  and packaging are really pretty good but the vegetables are
                  less in quantity like I ordered 1 kg potato but it was about
                  800 gm and a cauliflower that I paid 52 or something but the
                  size was so small that it was so pathetic. The rest of it is
                  pretty good. So 4 stars from my side.</t>
  </si>
  <si>
    <t xml:space="preserve">Pathetic app with horrible customer service.. I place an order
                  for a product for 1200 rupees and it was broken.. they wasted
                  my one hour just talking and transferring the call to one
                  other.. and later said can't do anything because it's an high
                  amount product so basically they want customer to bare the
                  loss and they take no ownership... I am still waiting my
                  refund... learnt my lesson will never use this app again...
                  even star is too much for them Horrible</t>
  </si>
  <si>
    <t xml:space="preserve">I had a fantastic experience with Zepto! The app is incredibly
                  user-friendly, making it easy to navigate and place orders.
                  Their delivery speed is unmatchedâ€”true to their promise, my
                  order arrived in just a few minutes, perfectly packed and
                  fresh.</t>
  </si>
  <si>
    <t xml:space="preserve">I encountered a potential issue of suspected malpractice by
                  Zepto regarding a pricing discrepancy. When I placed an order
                  through the Zepto app, the amount displayed during checkout
                  was lower than the amount billed at the time of delivery. Upon
                  receiving the order, the delivery executive presented a
                  significantly higher bill than what was shown on the app.</t>
  </si>
  <si>
    <t xml:space="preserve">Service is good but the new charges are ridiculously higher
                  than other platforms. Just for 3 small items worth 100, the
                  handling fee is 18. Does it give any sense. No offers no
                  deals. Now the cancelation policy also changed.</t>
  </si>
  <si>
    <t xml:space="preserve">My experience was bad as I did not find the wallet cash option
                  in the purchase section. When I received it, it showed
                  unavailable. When I needed support from the team, there was no
                  reply 4-5 hours or more.</t>
  </si>
  <si>
    <t xml:space="preserve">Very unsatisfactory customer care service. My delivery time
                  went from 5 minutes to 9 minutes and to 30 above, and I can
                  not reach any executive, nor have they provided you with an
                  option to reach them. Spend some money and improve your
                  services. You are already earning 30 to 50 rupees more even
                  without delivery charges, per order!</t>
  </si>
  <si>
    <t xml:space="preserve">Sometimes it creates scam. If product got out of stock. They
                  provide status of refund completed but in reality it is not
                  credited to your bank account. I feel never trust on such
                  fraud shopping apps</t>
  </si>
  <si>
    <t xml:space="preserve">Not able to use zepto cash. No reliable customer service.
                  Don't be trap with this app. They are asking to complete 2
                  orders to enable zepto wallet. This is not written any where
                  on app. It's completely misleading us. Don't waste your time.</t>
  </si>
  <si>
    <t xml:space="preserve">Providing defective products and no customer service is
                  helping to change it. I bought a custard apple which was bad
                  and wanted to change or refund it. But no on is either picking
                  up the call or attending the chats. Poor management..</t>
  </si>
  <si>
    <t xml:space="preserve">Don't use Zepto; it's a scam. When you add money to the
                  wallet, it doesn't reflect, and Zepto locks your balance. I
                  also placed an order through UPI, but my wallet amount is
                  still showing as locked.</t>
  </si>
  <si>
    <t xml:space="preserve">Though app is good but since yesterday I'm unable to place the
                  order the page got stuck after slecting the proceed for
                  payment multiple times I have tried also the "cash voucher
                  offer is not working. Have re install the app but seems like
                  some issue plz look into it</t>
  </si>
  <si>
    <t xml:space="preserve">My first experience was good,but after that zepto now became
                  worst..not able to handle high demand and gets order cancelled
                  which is very irritating.. Will now never order from it..very
                  bad experience. Blinkit is all time good..</t>
  </si>
  <si>
    <t xml:space="preserve">This app started in my area after 3 years of its release. It
                  is so helpful for me and my family especially in emergency
                  situation. This app is really revolutionary and is has
                  economical prices and a affordable premium membership so we
                  can skip the delivery charges. Still giving it 4 stars not 5
                  as for people who cannot afford the membership or don't use
                  the application frequently. The delivery charges are very high
                  and it's not economical. I hope the delivery charges deducted
                  and made economical</t>
  </si>
  <si>
    <t xml:space="preserve">Great experience with Zepto The delivery was fast, and
                  everything was well-packaged. I love the variety of products
                  available, from fresh fruits to snacks. Definitely recommend
                  it for anyone looking for speedy service</t>
  </si>
  <si>
    <t xml:space="preserve">Highly disappointed Have decided to give a try, but will not
                  keep using their service because 1. Delivery time is much much
                  high. It took 25 minutes to supply basic bread - butter,
                  veggies 2. No option to show real time update of rider 3. It
                  shows 'arrived' on its own, even customer chat service was of
                  no use 4. USP should be rapid response - weather delivery or
                  customer service</t>
  </si>
  <si>
    <t xml:space="preserve">There is no option of "filter" and "sort" items. Wonder who
                  designed this App. or why was it even designed to... I want to
                  buy some items of 500gms or 1 kg I have to stroll through all
                  brands and quantities 5kg/10kg before finding something I want
                  with great difficulties. When I type onion it first shows me
                  lays onion potato chips and the onion 5kg, 1kgx2, 500gmsx3 and
                  and in the last 1kg. The same to all items.</t>
  </si>
  <si>
    <t xml:space="preserve">Yesterday I have ordered some snacks and I have done payment
                  my money is deducted but order was not placed, order was
                  cancelled but my money is not refunded.. it's already 2 days
                  and am not able to communicate with any customer care bcz they
                  are not provided any number... please refund my money back</t>
  </si>
  <si>
    <t xml:space="preserve">The free wallet points are for show only, they give us free
                  wallet amount each day and tells us to use them on next
                  purchase but they remove that option from checkout to involve
                  the wallet point onto the order, it feels like a scam and this
                  happens any time of the day not only on the time of surge,
                  it's a scam, they're fooling the public, zepto, if you don't
                  have that much grace to handle those wallet points order then
                  don't give false hopes to people and scam us.</t>
  </si>
  <si>
    <t xml:space="preserve">Very disappointed on my first order itself. Got expired
                  paneer, didn't get the refund they were supposed to. Over
                  that, I noticed different piecing on cheaper phone, which we
                  all know by now.</t>
  </si>
  <si>
    <t xml:space="preserve">Really disgusting app. There is no customer care no to help
                  customers and reslove their problems. Faced many problems
                  regarding payment issues. Money debited twice from my account
                  but did not return money. Don't order anything.</t>
  </si>
  <si>
    <t xml:space="preserve">Useless app for electronics,as they don't return or replace
                  item, please don't buy electronics thir focus only on selling
                  items not over quality. If really want free delivery i prefer
                  big basket for above 800 grocery . I prefer blinkit they also
                  have good return policy even they return simply wheat flour,.</t>
  </si>
  <si>
    <t xml:space="preserve">The worlds most worst application service is hear. This is
                  very frustrating service. Whenever I try to use wallet cash it
                  doesn't apply. I have been trying to use wallet cash since
                  last 5 days but every time it is showing not applicable.</t>
  </si>
  <si>
    <t xml:space="preserve">They gave me free money in the wallet, so I thought of buying
                  something necessary that I usually get from local shops.
                  However, I couldn't use that money, so what was the point? I
                  still went ahead and bought it since I needed it, though I may
                  not end up using it. You might have fooled me once, but trust
                  was never built, and I don't think it ever will.</t>
  </si>
  <si>
    <t xml:space="preserve">I had this issue with refund of money in my bank account
                  because the order was cancelled but the amount was debited I
                  wanted to contact the customer care but every time I try it
                  shows that this number does not exist it's really frustrating
                  to have such poor customer service</t>
  </si>
  <si>
    <t xml:space="preserve">Many products available, but the prices are ridiculous like u
                  can't buy 1 item with minimal or normal delivery fees, the
                  fees is almost double of the original product it's ridiculous</t>
  </si>
  <si>
    <t xml:space="preserve">I couldn't find negative ratings - Google should introduce
                  them for these kind of companies. This is SCAM. They will
                  deliver only the box or package of the item in perfect
                  condition with no product inside it. So even if you raise
                  concern they will say that they cannot offer support to you as
                  they have the image of the package as proof of delivery. So if
                  you are using zepto, open every package before getting the
                  delivery and they will also deny it</t>
  </si>
  <si>
    <t xml:space="preserve">Been using this app for a year. It provides the best service
                  in terms of delivery and quality of product. Also tried theory
                  all mew zepto cafe. Which has variety of food options and
                  awesome packaging. Keep up the good work</t>
  </si>
  <si>
    <t xml:space="preserve">Very nice app I ordered sanitary pads and they sent me free
                  gift which had so cute packaging and when I opened the box I
                  found 1 period panty, 1 veet, 1 pad extra and one more last
                  thing there is one QR code containing Spotify playlist.
                  omgg!!! Such a cute gesture.. that's appreciatable Thanks a
                  lot Zeptoâ¤ï¸âœ¨</t>
  </si>
  <si>
    <t xml:space="preserve">I installed the zepto and also I took pass membership ,I can
                  see my available zepto cash balance is rs-75 but after adding
                  products to Cart, I'm unable to redeem it, always it's showing
                  unavailable, there's no option to connect with customer care
                  to fix it, it's very bad</t>
  </si>
  <si>
    <t xml:space="preserve">It's very bad experience with zepto. You will not be able to
                  use zepto cash as it will always show unavailable even if you
                  have zepto cash available. I am having 125 rs. but not able to
                  use it and while chatting to customer support in the app they
                  can't help us.</t>
  </si>
  <si>
    <t xml:space="preserve">Hi this is Ambika. Am faced issue from application, I ordered
                  8 items for which I am over priced, while ordering the
                  products the prices were different and while order got placed,
                  prices got higher, i am seeking refund for the over priced
                  items, i connected to the chat after that Mr. Shehzad
                  connected on call, he did not give any resolution and
                  disconnected the call, on call also he kept me on hold for so
                  many minutes and he is giving reasons not resolution, i lost
                  my money. Kindly give a refund</t>
  </si>
  <si>
    <t xml:space="preserve">The delivery per say is great they deliver stuff on time
                  however after 3rd-4th delivery the 'handling charge' increases
                  from 5.49 to 9.99. Secondly, regarding ice cream
                  deliveries,every cone delivered by them comes with a moist
                  (read: non crunchy) waffle. Third, the prices of vegetables
                  and fruits are way higher than what the vendors sell it for
                  the difference is so high that it is very uneconomical to get
                  it from the app, there is no parity in the rates of market and
                  that on the app.</t>
  </si>
  <si>
    <t xml:space="preserve">Why app company is not seeing customer problems please fix
                  asap. Otherwise dnt show adds on youtube or insta etc is not
                  good working app now. Dont show us adds nd tell us to buy and
                  after download app doesnt work wow great idea.ðŸ¥¶ðŸ¥µbcz of
                  winter season update app i think its working like
                  same(winter)plz fix it</t>
  </si>
  <si>
    <t xml:space="preserve">On app there was charge 5 rs for handling,no explanation for 1
                  rs extra charge, csr also unable to response,while in invoice
                  6 rs is charged for packaging fee. Give proper explanation,for
                  what ,how much you are charging. Not only show that it os
                  cheaper price</t>
  </si>
  <si>
    <t xml:space="preserve">UPDATE: sent email to support but got no response so reply
                  from the zepto team here is for marketing and marketing ONLY.
                  The app has major bug that it does not update zepto wallet
                  usability location if you move.PATHETIC. Zepto expects that u
                  will nvr move 2 anthr place products on Zepto are priced
                  higher dan dere competitors, i have seen minimal offr on top
                  of it.</t>
  </si>
  <si>
    <t xml:space="preserve">This app's ETA's are a joke! It always says my order will be
                  here way faster than it actually is. And trying to get help is
                  impossible with their useless bots. I wish they would just be
                  upfront about delivery times and offer real customer support.
                  So frustrating!</t>
  </si>
  <si>
    <t xml:space="preserve">If you do not allow us to use Zepto cash then why do credit
                  that amount?for dramabaazi?You Frauds.Your all products are
                  highly overpriced as compared with blinkit,swiggy instamart
                  and local supermarkets.And you also do fraud by showing
                  different prices for a product in a same location in two
                  different mobiles. Whatever every time I try to place an order
                  it shows "Zepto cash is unavailable in your location" or
                  "Zepto cash is temporarily unavailable". Please do no give
                  offers then .</t>
  </si>
  <si>
    <t xml:space="preserve">Very bad experience with app. Slowest app I have ever seen.
                  Very much lagging. Not even opening menu and photos are also
                  not loading. Please work on app.</t>
  </si>
  <si>
    <t xml:space="preserve">Edit: Reducing my 5 to 1 star. This company is now
                  directionless. Orders are cancelled without reason and almost
                  always are never on time. Old:Miles better than it's
                  competition Blinkit. Customer support actually exists and
                  functions well, we feel heard. Whereas in Blinkit everything
                  is Ram Bharose and it'll end up stealing your money sooner or
                  later (through coupons, refunds, gift cards etc) under the
                  pretext of fingerprint in Terms and conditions. Kudos to Zepto
                  for being much superior in CS.</t>
  </si>
  <si>
    <t xml:space="preserve">Everything is good from selecting, ordering and receiving the
                  order. Only thing i want to say is why include "a fresh
                  surprise" in cart while you never mean deliver it.</t>
  </si>
  <si>
    <t xml:space="preserve">It was raining and I didn't have an umbrella, and I had to
                  reach somewhere. So I thought of buying an umbrella. I checked
                  the delivery time, It showed 10 mints, great. So I paid and
                  guess what the delivery time is 25 mints. Still I was positive
                  and waited. I could not cancel the order as it showed getting
                  packed, immediately after placing the order. So I waited half
                  an hour and guess the delivery time now. 25 mints. Are you
                  kidding me. Still it's getting packed. Can't get in the bus as
                  waiting.</t>
  </si>
  <si>
    <t xml:space="preserve">Zepto honestly I felt disappointed since it showed that I'll
                  be getting the new year gift box free with my order but then I
                  didn't got it I was so excited for that like if you are
                  mentioning it provide it or there is no need to mention it.</t>
  </si>
  <si>
    <t xml:space="preserve">I recently install zepto, some friends are tell me about it,
                  later in wallet their some amount added in zepto wallet, but
                  valid for next order, but i already 1st order complete with my
                  own money, afterwards the zepto wallet is temporarily
                  unavailable, there are like coward, who don't have guts to
                  response about what they do, they also not mentioned customer
                  care number, only email service, One thing I would tell who
                  read my comment if there was swiggy insta mart - there is
                  customer service call</t>
  </si>
  <si>
    <t xml:space="preserve">I recently order product and I was not able to utilize the
                  wallet cash balance. I write the issue to support team and
                  they mention that you have multiple login from different
                  devices so you cannot use the wallet balance. I wonder does it
                  even matter as far as you use your account. If they say this
                  means they are taking info from your cellphone. please take
                  care as your cellphone are vulnerable and they take your
                  personal info. I'm also going to write this issue with concern
                  IT authority.</t>
  </si>
  <si>
    <t xml:space="preserve">Worse quick delivery app they don't give you any offers after
                  your first order. No matter if you use a different number, if
                  your is address same they won't give you any discount.</t>
  </si>
  <si>
    <t xml:space="preserve">great and fats delivery was going to order a product yesterday
                  but price suddenly hiked in a matter of 2-3 minute vecause i
                  just kept a product oage open to compare its price with other
                  platforms so had to give up and then checked next day price
                  wss slashed again then i ordered as quickly as possible also
                  came in matter of moments</t>
  </si>
  <si>
    <t xml:space="preserve">I have ordered a item from this app and i want to cancel the
                  order, guess what no option to cancel my order even after
                  immediately placed order in app, and no number provided to
                  call and cancel atleast, in Google we get the customer care
                  number and they say their is no cancellation policy at all in
                  Zepto, once order placed cannot be cancelled you have to take
                  it whether u take it or not, and even delivery boy has no
                  option of cancelling the order. Thier is no cancellation of
                  orders in App Great.</t>
  </si>
  <si>
    <t xml:space="preserve">"Dear Zepto Team, I'm extremely disappointed to share that my
                  experience with Zepto has been the worst ever. Despite being a
                  loyal customer, I've been left feeling ignored and
                  undervalued. I raised a concern on LinkedIn, but
                  unfortunately, it didn't receive the attention it deserved.
                  The lack of a proper resolution is appalling. If you believe
                  that retaining â‚¹1,103 is more important than retaining a loyal
                  customer, then so be it. Congratulations to you and your team
                  on this achievement.</t>
  </si>
  <si>
    <t xml:space="preserve">It is a good app but sometimes when you aren't using it for a
                  while you don't get cash on delivery option this is really not
                  done because people like me don't use any online banking or
                  online transfer of money. Sadly if the things are urgent you
                  can't order it because of this reason laptop should take
                  action to always put cash on delivery at any time</t>
  </si>
  <si>
    <t xml:space="preserve">This app just sends repeated SMS messages saying that free
                  cash has been credited to my account, and the worst part is
                  that they never allow us to use that cash. I'm really
                  disappointed.</t>
  </si>
  <si>
    <t xml:space="preserve">Terrible experience... this app doesn't have any payment
                  checking information. I've placed an order by mistake and
                  doesn't have any CANCELLATION option.</t>
  </si>
  <si>
    <t xml:space="preserve">They sent a wrong item and wasted more than an hour of my time
                  acting like resolving the problem, but end of the day did
                  nothing. 29/Oct/2024 - They refunded the amount finally.
                  1/Nov/2024 - Not again. Ordered a smartwatch, received a non
                  working product, when contacted customer support and
                  explaining for an hour, they ask me to get in touch with the
                  manufacturer. Been an horrible experience. Beware, buy at your
                  own risk!!!</t>
  </si>
  <si>
    <t xml:space="preserve">Very useless app, I don't want delivery right now, it will be
                  okay if it takes four or five days. I am not able to explore
                  app they only showing location not serviceable . Very poor
                  app.</t>
  </si>
  <si>
    <t xml:space="preserve">Always take screenshot of your order amount. Zepto puts surge
                  fee even if not shown at the time of ordering It's customer
                  care is also of no use. They just give standard answer of what
                  a surge fee is, but they don't accept the fact that zepto
                  applies it without informing customers. Beware from this money
                  sucking app.</t>
  </si>
  <si>
    <t xml:space="preserve">Recently Zepto added Fashion Electronics and Footwear too in
                  their app. But has no return or replacement policy available.
                  If we have size or fitting issues we cannot go for return or
                  replacement. This is very disappointing. I have wasted my
                  money. Please don't buy any of other items except grocery</t>
  </si>
  <si>
    <t xml:space="preserve">Worst experience ever unable to use cash which I added into
                  wallet saying unable to use &amp; also send 20-30 email to
                  support till now but didn't get any response from team getting
                  only bot reply also on WhatsApp trying to resolve but they
                  said email us Now also after this they will say drop an email
                  instead of solving issues u r frustrating us why we don't need
                  to use this app &amp; in refer &amp; earn i refer 10 people
                  but didn't get any single referral amount doesn't know how
                  they are doing this &amp; all</t>
  </si>
  <si>
    <t xml:space="preserve">I love ordering from Zepto. Fast delivery , easy to use app
                  and free delivery at a nominal monthly fee. Zepto comes up
                  with these cute surprise boxes. I recently ordered sanitary
                  pads and got a super cute period care box</t>
  </si>
  <si>
    <t xml:space="preserve">This is a fake application, if you will not be able to
                  transfer your wallet money to it and if you add something to
                  the wallet, you will not be able to do that also. Will the
                  option of easy delivery not come after two orders? This is the
                  total effectðŸ˜¡ðŸ˜¡ Fake application , Only fraud with customer
                  ðŸ˜¡</t>
  </si>
  <si>
    <t xml:space="preserve">This has been the worst delivery and service ever with zepto.
                  I ordered a ankle cap and some eggs along with. When
                  delivered, got to know that the knee cap was unavailable and
                  eggs are broken. Already it took 30 minutes for the delivery
                  at midnight and I had to wait for replacement as they did not
                  issue a refund</t>
  </si>
  <si>
    <t xml:space="preserve">Worse app. Customer executive took so much time to join chat.
                  Worse experience in first order which is not yet delivered. I
                  am chasing from last 2 days but nobody sorting this. Nobody
                  picking calls, no revert on mail id it some kind of span.
                  Please keep my review in mind as nobody is interested in
                  sorting first order issue.</t>
  </si>
  <si>
    <t xml:space="preserve">One of the worst app I ever used, when I ordered the grocery,
                  first it shows 20 minutes but even after 40 it shows 18
                  minutes and no delivery partner is assigned, customer service
                  is one of the big big lemon, they even don't know how to
                  respond to a customer , Now I M WAITING FOR MY REFUND AMOUNT
                  WHICH IS PAID, SINCE 3 DAYS IT SHOWS UNDER PROCESS PLEAE
                  PROCESS MY REFUND OR I GOING FILE A CASE AT CONSUMER ON THIS</t>
  </si>
  <si>
    <t xml:space="preserve">Firstly, the the store remains unserviceable in area all the
                  times. It only become serviceable for 1 or 2 days. I mailed to
                  support team, there was no response. Secondly whenever, there
                  is delay in order, and I chat with support, it says connecting
                  to an agent for 2-3 hours. Till then, order is delivered and
                  chat support says your order was delivered. It happens thrice.
                  Feels like a tricky joke to buy time of customer. Thanks</t>
  </si>
  <si>
    <t xml:space="preserve">I am disappointed by this app at first i thinks it a great app
                  but after 1 successful order they blocked my wallet and in
                  exchange to unblock they asked me for 2 more orders . I want
                  to ask the support team is it right to block someone wallet
                  without any reason and don't talk them Straightly. I have 2
                  account both have same problem. Why???? After send details
                  with proper explanation still zepto team is sleeping. It's
                  really disgusting.</t>
  </si>
  <si>
    <t xml:space="preserve">I don't find this app worthful . As it claims that they would
                  give coupon on daily basis as per I got those for 4 days only.
                  after that there is no coupon in my wallet and they charge
                  upto 30 to 40 rupees on product amount . If they start sending
                  zepto cash I assure that I'll delete this review. Otherwise I
                  recommended everybody not to be a part of this . You will find
                  only dilemmas but nothing else..</t>
  </si>
  <si>
    <t xml:space="preserve">Very cheap customer support. Request for replacement no one
                  taking care..ðŸ˜¡ðŸ˜¡ bakavas Customer support reached to me and
                  saying replacement is not mentioned in product description.
                  What the hell where it is mentioned in product description.
                  While checking product they have written 7 days replacement
                  then why soðŸ˜¡ðŸ˜¡</t>
  </si>
  <si>
    <t xml:space="preserve">Fake app..I ordered some groceries....it's show slightly delay
                  ..2 min 3 min but after 1 hr the order not showing...I paid
                  1500...where is my groceries?.. .no tracking system only lucky
                  Gupta delivery boy name showing...what is this? I ordered
                  first time but this is very bad experience.</t>
  </si>
  <si>
    <t xml:space="preserve">Worst app I have ever seen in my life because all time they
                  deposits some zepto wallet money in my account and say order
                  an item and after delivery you can enjoy your wallet but when
                  1st order is delivered then zepto expires the zepto wallet
                  money immediately I have facing this problem from a long time
                  and I sent lot of email to customer care but they didn't solve
                  the problem. That's why I don't recommend to use this app</t>
  </si>
  <si>
    <t xml:space="preserve">I really disappointed from zepto i use upi payment for my
                  order and amount was debited but order get cancel what should
                  i do?? I have no money to place another order again who take
                  this responsibility i trusted zepto but i m very disappointed
                  and zepto's customer care is also so bad they didn't answer my
                  text like other apps do dont use this app once my money get
                  returned I'll delete zepto for sure ðŸ˜¡ i forget to tell u it
                  was my first order what failure !</t>
  </si>
  <si>
    <t xml:space="preserve">Update: I got refund for the item i did not receive. The
                  developer has been responsive. Thanks. Very poor service.
                  First they didn't deliver complete order. Then their customer
                  service is poor, or lets say absent. No Refund for missing
                  item. And the delivery guy doesn't even care. Very
                  unprofessional.</t>
  </si>
  <si>
    <t xml:space="preserve">Totally fraud. As a new user, I receive some cash back, up
                  which I can claim after 2 successfully order. As I placed 2nd
                  order they removed the cash back. Proces are high as well.
                  Most of the 4 and 5 start review are paid only.</t>
  </si>
  <si>
    <t xml:space="preserve">Lol review for what? I cant even download the app.. the very
                  first thing thas popping up is the location i tried 10
                  different locations, all it has its not accessible and so the
                  page doesn't go further. I dont know how the app looks or what
                  all products does it offer coz the app is stuck on location..</t>
  </si>
  <si>
    <t xml:space="preserve">Poor iam not able to use my wallet balance 125 iam mailed to
                  many time but not resolved very poor costmor service given by
                  zepto please don't install. This app they are making fool all
                  people. And no one responded if we are sending any mail.
                  Finally iam uninstall this aap and in my family and friends
                  all iam not suggest this app . This app is fake</t>
  </si>
  <si>
    <t xml:space="preserve">Don't use zepto as there are better platforms available with
                  better customer support. I received an expired product and
                  they didn't give me refund saying ACCORDING TO THEM the
                  product was delivered in good condition though attached
                  pictures of same.</t>
  </si>
  <si>
    <t xml:space="preserve">My experience was quite good..I didn't get any difficulty in
                  ordering and free cash was also so easy to be used and
                  applied.. delivery was also so fast ..and most importantly
                  food quality was the best ..this was my first experience with
                  any online grocery apps..I am truly satisfied with zepto
                  services ðŸ˜‡</t>
  </si>
  <si>
    <t xml:space="preserve">Thanks for Zepto on helped me on daily purchases all the year.
                  now I'll not order daily since the charges got high. Old
                  review : Zepto becomes not value for money on my regular
                  purchases. Just by my last order there is a invisible 15.9
                  rupees. Even if I place a 20 rupees or 100 rupees product. By
                  checking the invoice it's for packaging. I never seen someone
                  charges almost 16 rupees for packaging. Even a local stores
                  don't charge for packaging.</t>
  </si>
  <si>
    <t xml:space="preserve">I have placed an order and amount got debited from my account
                  but my order was cancelled.So again i reorderd and amount got
                  debited but again it got cancelled.No option to contact
                  customer support for this issue. Pathetic!!</t>
  </si>
  <si>
    <t xml:space="preserve">The app tricks you by telling you that you have received free
                  zepto cash in zepto wallet, which is valid on next order only,
                  but does not allow you to use this cash while placing your
                  order. As soon as you place your first order, this cash
                  immediately expires. Never using this app again simply on the
                  principle that i don't like being tricked.</t>
  </si>
  <si>
    <t xml:space="preserve">Everytime they send SMS saying that a particular amount is
                  credited to your zepto wallet but when we check them, it shows
                  zero. this is soo frustrating and also sometime wallet money
                  won't be working to. there are many hard times with this app.</t>
  </si>
  <si>
    <t xml:space="preserve">A good app but recently I have had a bad experience with it. I
                  ordered items worth Rs.631 I applied my Rs.100 Zepto cash and
                  the amount to pay was Rs.531 I tried the payment 3 times and
                  lost Rs.1,593 and still didn't get it back since our order
                  transaction had failed. They said we would get the money back
                  in 3-5 days but we still didn't get it back. I'm really
                  disappointed with this app.</t>
  </si>
  <si>
    <t xml:space="preserve">Does deliver in around 15-20mins, but last time I ordered a
                  bouquet and the flowers were bad and didn't look like the
                  image at all When I contacted the customer care they said
                  nothing can be done and they won't be taking it back either
                  That was kind of dissapointing So yea, we should be careful
                  with what we're buying on this app</t>
  </si>
  <si>
    <t xml:space="preserve">Edited on 11 Dec 2024: Quality of products and service
                  improved a lot. It's good now. Thanks. .... Old review: Bad
                  quality products, unprofessional erratic delivery boys. Bad
                  service. Difficult returns. Not good experience.</t>
  </si>
  <si>
    <t xml:space="preserve">Patheic app. I had a literally horrible experience today with
                  this app. Everything they advertise the "10 min" delivery and
                  cashback is all scam and fake. Ordered smtg today it showed
                  delivery in 14 mins and was delivered after 40 minsðŸ™„ðŸ™„. Also
                  when I sign up got 75rs cash in wallet and when I tried to
                  order I wasn't able to use the cash wallet &amp;there is no
                  option to withdraw money from wallet as well which I
                  transferred.And after the order placement it showed cashback
                  used &amp;no cashback got.</t>
  </si>
  <si>
    <t xml:space="preserve">This is the most disappointing app. I ordered a plum cake it
                  took my money and showing order cancelled and not giving back
                  refund.And also got riped fruits so many times. Twice i got
                  melted ice cream. Now iam going to uninstall this app. Very
                  bad experience.</t>
  </si>
  <si>
    <t xml:space="preserve">Products are listed ate very high cost compared to other apps.
                  Swiggy insta mart listed item for 340 and zepto listed same
                  item for 480, and this I saw in almost most of the products.
                  Why will i buy high cost products when competition is giving
                  at significantly low price. REALLY PATHETIC ZEPTO.</t>
  </si>
  <si>
    <t xml:space="preserve">These zepto people are very irresponsible. Because I received
                  2 orders last week, then I will try put order last Saturday to
                  till date, they show unserviceable area, then why giving
                  notification, today got 5 notifications, I don't understand.
                  Today I think the app is delete.</t>
  </si>
  <si>
    <t xml:space="preserve">Extremely disappointed with zepto cash being unavailable. For
                  every transaction the zepto cash is unavailable and it is a
                  major inconvenience. Then what is the use of providing such a
                  scheme just to trick customers? Moreover there is no customer
                  care to contact for any inconvenience.</t>
  </si>
  <si>
    <t xml:space="preserve">Haven't received an order on time, yet. It first shows 8-9
                  mins, as soon as the order is placed the traffic in my area
                  suddenly is high, exactly at 1223 I placed the order and 14
                  mins later they're still packing. The total time was 15 mins
                  after it showed 9 mins and it's still being packed.</t>
  </si>
  <si>
    <t xml:space="preserve">To me , this app is just useless. Reason --&gt;1. Zepto wallet
                  is not working, to solve this tried everything like watching
                  solution on YouTube which are also useless no one is giving
                  clear answer, i update it, delete it , then install again
                  still not working. Reason --&gt; 2. Cash On Delivery is not
                  working, I don't have bank account, I can only pay through
                  cash On Delivery method, there is no such option in zepto.</t>
  </si>
  <si>
    <t xml:space="preserve">Zepto people are liars. They are not returning my money..
                  Since 12 of September. Daily they are saying they will return
                  as soon as possible... Fake promises and fake call from
                  there... But no response from them... Daily they are
                  apologising But returning my amount.. Don't know which bank
                  they are using to return the amount daily they have technical
                  issues.. Even many times I said I need to talk to your manager
                  but no use... Again the same thing done very bad experience</t>
  </si>
  <si>
    <t xml:space="preserve">I'm having issues with zepto wallet cash I've added couple of
                  funds to it but it does not let me use it and I even it tried
                  with a new account where you get a bonus money from zepto but
                  it does let me use that money too! Please fix this bug it is
                  so much irritating</t>
  </si>
  <si>
    <t xml:space="preserve">I ordered item, but zepto delivered expired item which item
                  doesn't have any information like mfg, pkg and batch number. I
                  don't know how careless they are deliverying expired and bad
                  quality items. If we unnoticed what happen to our health,
                  please zepto check good and safe items to delivery it's my
                  humble request.</t>
  </si>
  <si>
    <t xml:space="preserve">Not a good customer service from this app compared to others a
                  d very rigid customer care service no timely response and they
                  delivered a wrong product and not accepting for replacement
                  and they themselves confirm for return and the delivery
                  partner was rude and forcing me to give away the product not
                  happy with the service you are providing your competitors are
                  much quicker in solving the customer issues</t>
  </si>
  <si>
    <t xml:space="preserve">Default option was pay via upi and once i clicked by mistake
                  lost chance to apply coupon code or change payment method..
                  User interface not user friendly for sure.. Bigbasket have
                  option to apply voucher even after placing order</t>
  </si>
  <si>
    <t xml:space="preserve">Worst experience...as I frequently used this app I added my
                  own funds into the walllet but not able to use the For any
                  purchase.. they said that the wallet is freeze to stop
                  Illegitimate usage..neither I am able to use my own funds not
                  they allowed to refund of it .. Already written an email to
                  support, but satisfactory response</t>
  </si>
  <si>
    <t xml:space="preserve">App displayed order arrived early but in actuality it arrived
                  8 minutes after that claim. Secondly, the delivery parter was
                  insisting on online payment for a rupees 398 order. He claimed
                  he did not have change for 500. Furthermore, Zepto has been
                  spamming me with SMS messages since my purchase enticing me
                  with 100 rupee wallet discount. These are the multiple reasons
                  which have forced me to give a 1 star rating.</t>
  </si>
  <si>
    <t xml:space="preserve">Dear Team Zepto, I am Uttam Kothari, a frequent user of your
                  platform. I was recently rewarded â‚¹100 as Zepto Cash by your
                  company. However, I have encountered an issue while trying to
                  use it. I reside in Hyderabad, and when placing orders, the
                  option to use my Zepto Cash does not appear during checkout.
                  Despite selecting my items, I am required to pay the full
                  amount without being able to utilize the â‚¹100 Zepto Cash.</t>
  </si>
  <si>
    <t xml:space="preserve">I am never going to use this app again. They sent me spoiled
                  egss couple of times and when i raised the concern then
                  customer care is taking that they will take strong action
                  against delivery hub but there is no proof. These eggs was
                  completely spoiled and black and i couldn't even take photo
                  because it was unbearable to even watch it for seconds.
                  Uninstalling.</t>
  </si>
  <si>
    <t xml:space="preserve">They'll say 200/- cash price for 10 referrals... and referral
                  link itself won't work ... Great app found in PlayStore. there
                  is no offers, for bunch of orders no offer, on first order no
                  offer, festival offers, discounts etc etc nothing is there
                  man... I'm uninstalling this.... it's better to take from near
                  shops....</t>
  </si>
  <si>
    <t xml:space="preserve">Guys! It's a SCAM! When I added 4 items into my cart, the bill
                  was â‚¹222 and then I applied â‚¹100 wallet cash, so the bill was
                  â‚¹122 and I selected COD as the payment option and ordered the
                  grocery. When the delivery partner came and showed me QR where
                  the bill was â‚¹222ðŸ¤¯ which I need to pay. This is such a new
                  High - Level SCAM!!! to grab customers. Such a cheap act from
                  Zepto! Will never order again.</t>
  </si>
  <si>
    <t xml:space="preserve">Very pathetic service zepto... From 30 mins it is showing that
                  the order is arriving in 2 mins. and upon complaining on
                  customer service the executive is just saying please wait a
                  little longer for your order. He is not able to provide the
                  current status of my order neither u all are provide contact
                  details of the rider so that we can connect with them..</t>
  </si>
  <si>
    <t xml:space="preserve">Extremely pathetic experience.Since last 20 days I have been
                  tracking daily for my refund but until now Zepto haven't
                  initiated my refund yet. Everytime they tell to connect with
                  senior, make fall promises but don't initiate the refund.Zepto
                  is fooling tue customers by showing payment failure issue and
                  not refunding the amount.Please don't trust them.Extremely
                  unprofessional service as they make false promises every time
                  to refund but don't initiate the refund. No response from
                  customer support</t>
  </si>
  <si>
    <t xml:space="preserve">Zepto is one of the most app to get the high quality grocery.
                  The products are the best! The delivery would be done in just
                  10 minutes! I believe theres no other good app like zepto I
                  highly recommend to use this app!! It deserves more than 5
                  stars!</t>
  </si>
  <si>
    <t xml:space="preserve">Zepto ads are going on like it has all the solutions for Us
                  but app is showing STORE UNDER CONSTRUCTION since three months
                  for Mumbai Central area... Not solving your own problems it
                  seems.. Very disappointed ðŸ˜ž..</t>
  </si>
  <si>
    <t xml:space="preserve">They are showing cunningness.It was the worst app I ever used
                  .My order was cancelled and payment was debited from my
                  account ,even after ending of second week my payment was not
                  received to my account ðŸ˜”.now I felt bad for used this app.</t>
  </si>
  <si>
    <t xml:space="preserve">Terrible experience with Zeptoâ€™s referral system! Signed up
                  with my sister's code, but no cashback for either of us.
                  Despite sharing proof on Twitter, they claimed no referral
                  existed. Their tech team failed to resolve the issue and kept
                  giving vague responses. Zepto, please donâ€™t reply asking for
                  proof or to email, Iâ€™ve already shared everything with
                  screenshots. Poor app and supportâ€”highly disappointing.
                  Considering deleting my account. Not recommended at All! I
                  wish, I could give 0.</t>
  </si>
  <si>
    <t xml:space="preserve">I always used to pay through COD ( cash on delivery ) but now
                  i'm not able to buy anything on Zepto as COD option is not
                  available anymore. So i would like to request that please make
                  that option available as soon as possible. Thank you</t>
  </si>
  <si>
    <t xml:space="preserve">WORST APPLICATION that I've ever used. WARNING - 1. They are
                  never on time - it will show you that the order will be
                  delivered in 5-6 mins which is a LIE 2. Their delivery
                  partners are thieves they will neither deliver your order nor
                  they'll pick the call for the status 3. Connect to the support
                  and wait for their response forever or they will just transfer
                  the chat from one to another 4. Highly NOT RECOMMENDED as
                  you're not getting your money back</t>
  </si>
  <si>
    <t xml:space="preserve">Worst app to buy any groceries. I have stucked payment with
                  zepto for almost an 45 day, still they haven't given refund
                  for that. If you guy's don't want to have stuck your payments,
                  try other platforms they have better customer support that
                  zepto.</t>
  </si>
  <si>
    <t xml:space="preserve">worst, they have worst payment gateway ever. it cancelled my
                  1000 rs order many times. and now i have to wait for 3-4
                  business days to get my money back. and they dont even
                  apologise on connecting with them. order from here only if you
                  have alot of money to waste.</t>
  </si>
  <si>
    <t xml:space="preserve">I am writing to express my disappointment regarding my recent
                  order of Mandarin oranges. The order shows as "Delivered" in
                  the app, but I have not received it. The delivery person did
                  not call or attempt to contact me in any way, which has caused
                  significant inconvenience. I rely on your service, and this
                  has completely spoiled my morning. I request immediate
                  clarification on the status of my order and prompt resolution
                  Garima ranjan dubey is telling to wait 13mins more for the
                  resolution</t>
  </si>
  <si>
    <t xml:space="preserve">At late nights they don't give proper information about
                  delivery and kept me waiting for long time. When we ask them
                  to give a discount coupon or such for their delay, they simply
                  say feedback is taken. Such a bad customer service.</t>
  </si>
  <si>
    <t xml:space="preserve">Adds surge charge automatically at while making payment. They
                  will not show th surge charge in payment details as soon as
                  you click on make payment using creditcard they will add the
                  surge charge. Will not order again from zepto. Also there is
                  no customer support. Not allowing to use zepto cash. I am In
                  Mumbai.</t>
  </si>
  <si>
    <t xml:space="preserve">A request to zepto team please help me out I can't use my
                  wallet cash there no option for use wallet cash it have 101
                  rupees in my wallet but I can't use any of them kindly fix
                  this bug give an option to order with wallet cash we have to
                  order many things with this app because it gives best
                  discounts and best product but now this bug is irritating
                  can't place any order with this bug I hope you understand and
                  will fix this on time thank you</t>
  </si>
  <si>
    <t xml:space="preserve">7/10 times order is delay &amp; don't have an option
                  whereabout of rider. instamart and blinkit have an option so
                  customer can understood where is rider. I have faced so many
                  time good branded products out of stocks like biscuits and
                  many products. Not promoting Instamart and blinkit but these
                  two groceries app have an goods stock and fast delivery on
                  time with in 10 mins. Sorry zepto team you have to improve</t>
  </si>
  <si>
    <t xml:space="preserve">Title: Privacy Violation &amp; Poor Service Review: On Dec 26,
                  I placed an order, and the delivery agent repeatedly asked for
                  my phone number (2-3 times), causing discomfort. Despite
                  having my address, he canceled the order after I refused to
                  share my number. I raised a complaint, but Zepto has taken no
                  action to resolve this. This incident has caused me
                  significant distress, and I have requested â‚¹25,000
                  compensation for the inconvenience and privacy violation.</t>
  </si>
  <si>
    <t xml:space="preserve">Great app, but I consistently receive warm drinks instead of
                  chilled ones, which is disappointing. This might be an issue
                  specific to Chennai, as Iâ€™ve tried multiple times with the
                  same result. However, I do appreciate the 24-hour service.</t>
  </si>
  <si>
    <t xml:space="preserve">I am very disappointed that I can't use the wallet cash option
                  because it shows that is unavailable on my location but the
                  point is that I works perfectly without wallet cash What the
                  use of sending wallet cash when I can't use it . I have sent
                  e-mails on support@zepto But dint get any response neither the
                  problem is fix. It has been 4-5 months</t>
  </si>
  <si>
    <t xml:space="preserve">Iâ€™m disappointed with the experience. The app promises a
                  10-minute delivery, but my order took 23 minutes to arrive,
                  which defeats the purpose of 'instant delivery.' Additionally,
                  there's a promotion for Rs. 125 off after the first order, but
                  it turned out to be misleading. I didn't receive the discount,
                  and it feels like a scam. Please improve the delivery times to
                  match your promise and make sure your offers are genuine. This
                  would help build more trust and a better user experience.</t>
  </si>
  <si>
    <t xml:space="preserve">Very bad experience on installing app i hot 75 rs in wallet
                  but unable to use that... When I contacted to customer support
                  they replied you have to place two successful order ls then
                  you can use wallet from 3rd order... There policy varies
                  person to person... Why u giving zepto cash in wallet if we
                  can not use that...</t>
  </si>
  <si>
    <t xml:space="preserve">This app is very bad it doesn't give me a benefit of my free
                  wallet I have 100 rs in my wallet but I am unable to use it
                  very bad service you provide please don't install this app I
                  also uninstall this app . I discuss my concern through an
                  email but u didn't give a response and doesn't resolve my
                  problem</t>
  </si>
  <si>
    <t xml:space="preserve">Till now everything was going good. Today my order was
                  delivered but o didn't recieved it, it might be delivered to
                  someone else or delivery partner himself. I went for help and
                  chat with support system, then there they only said from here
                  it is confirmed that order is delivered and gave delivery
                  partner's number to shortout what happened! What would i talk
                  to him he is clearly lieing that he talked me on phone and
                  then delivered and even complaint system worker didn't ask for
                  screen shot to him</t>
  </si>
  <si>
    <t xml:space="preserve">Worst app ever made, Worst service and Worst response in case
                  of orders getting delayed, there's no provision for order
                  cancellation either. Delivery partner number is unreasonable
                  so basically you are on your own if you face any issue with
                  this app.</t>
  </si>
  <si>
    <t xml:space="preserve">Im stopping the use of zepto and switching to blinkit instead.
                  I had a really bad experience with a delivery partner and
                  zepto team didnt bother to do anything about it plus they are
                  really slow and unprofessional. So are their delivery agents.</t>
  </si>
  <si>
    <t xml:space="preserve">Very bad service I ordered from zepto today and after half n
                  hr of showing my order is getting packed now it it showing the
                  order got delivered without delivering. I chatted with the
                  customer service person and she is saying that we delivered
                  the item without talking with the delivery person. Poor
                  service Waste app I have shared my invoice with the support
                  through mail</t>
  </si>
  <si>
    <t xml:space="preserve">Very good services and product offerings. Superb delivery
                  service. Observed issue sometimes in Cart, payment amount was
                  showing incorrect. Say I have ordered 2 milk bags costing Rs.
                  112, Cart shows payment to be made of Rs. 156. If I am paying
                  membership fees and my order is above 99, you suppose to
                  charge max Rs. 122, not Rs. 156. Please take this as feedback
                  and see where is a bug.</t>
  </si>
  <si>
    <t xml:space="preserve">I am, sorry was a regular customer. Took zepto pass every
                  month. I was charged delivery fee as they say u need to
                  manually apply for free delivery. Also that the bread
                  delivered is not that good, i requested a refund for both and
                  its denied. Better do not give offers.</t>
  </si>
  <si>
    <t xml:space="preserve">The app is good however since last few days one issue has
                  arise. After opening app it always showing free cash is
                  unavailable please try after some time. Kindly resolve the
                  issue.</t>
  </si>
  <si>
    <t xml:space="preserve">The worst app ever.. I have order some products and paid as
                  well after that it asking tobpay again and when I raised the
                  ticket the app went unserviceable and I couldn't open app..
                  there is no way I get my money back or products</t>
  </si>
  <si>
    <t xml:space="preserve">Such a rubbish app no support and no resolution. In Lucknow
                  they are now available so I started order but there is zepto
                  wallet that show not available and all cash expired, not
                  showing during payment also. They said after 2 order you can
                  use but still nothing happen. Now I uninstall and using others
                  thanks.</t>
  </si>
  <si>
    <t xml:space="preserve">Worst app. Placed order and have been waiting for 30 mins it
                  only says order getting Packed. Worst app dont use it. Instead
                  use blinkit or swiggy insta mart. Cannot cancel the order as
                  well if you can't deliver pls provide an option to cancel the
                  order. Worst app</t>
  </si>
  <si>
    <t xml:space="preserve">The service is a little bad . We order one thing andd they
                  bring another item . If we order one version of a product they
                  bring other version of the product. And frozen foods are
                  delivered late</t>
  </si>
  <si>
    <t xml:space="preserve">The service is nice, but it takes very long to deliver the
                  products and secondly the main problem is there is no customer
                  service available on the app once I received rotten bananas
                  and there is no help desk to complain about the Bananas, it
                  just completely wasted my money and efforts both</t>
  </si>
  <si>
    <t xml:space="preserve">Everything is good but why can't we see on maps where the
                  delivery partner is? And we can't chat with support team about
                  the issue as there are inbuilt messages only so we are not
                  able to describe them. You should fix these two problems.
                  Overall it's good.</t>
  </si>
  <si>
    <t xml:space="preserve">The ordered items are not complete And they don't respond
                  properly I had horrible experience and they were not refunding
                  better than zepto blink it has best regards towards customer
                  service. Zepto just don't respond to customers but they block
                  the conversation in b/w and respond as if they delivered
                  everything and customer is fool.however this app says we will
                  fulfill as they promised but ,no they don't such a bad and
                  horrible experience ðŸ‘Ž</t>
  </si>
  <si>
    <t xml:space="preserve">Had a bad experience with zepto, I ordered the products from
                  them but when order got delivered few items were missing, know
                  they are saying that only one product refund can be initiated
                  and when I asked for other items they stoped responding and
                  closed the chat Worst customer care service</t>
  </si>
  <si>
    <t xml:space="preserve">I ve a bad experience regarding their customer care service I
                  ve mailed thrice time regarding my double payment issue but
                  till now neither their team nor their delivery partner respond
                  me for this issue. It's so bad that no service, ve been
                  provided by their team regarding issues who re facing
                  customers</t>
  </si>
  <si>
    <t xml:space="preserve">V bad experience , I reside in Kanpur, Zepto started providing
                  service recently, the concern is that they always deliver with
                  the delivery packet open, no privacy, every time they deliver,
                  the delivery boy look into the packet before delivery. That is
                  too much embarrassing. I am stop using it for the only stated
                  reason. Goodbye Zepto.</t>
  </si>
  <si>
    <t xml:space="preserve">Sorry to say this but I today ordered a airports for myself. I
                  needed it by today so I thought zepto would be perfect for
                  that! But turns out to be a big NO. First it was an advance
                  payment. And second my address was perfectly correct but the
                  delivery guy says he is in my location. And he isn't having a
                  proper convo also. Than I kept trying to call him he picks up
                  the call and doesn't speak. Than I received a message telling
                  that they will refund my money back in 3 to 5 days. I didn't
                  like that</t>
  </si>
  <si>
    <t xml:space="preserve">Very bad experience with zepto. We have purchase a electronic
                  product but the product is defective then I will return the
                  amount is refund but my zepto cash balance not refund the
                  zepto customer care not reply and not receive call vey poor
                  service. If any doubt I will also share the all screen shot.</t>
  </si>
  <si>
    <t xml:space="preserve">Highly unsupportive customer service. Frozen items they send
                  are mostly of poor quality and there us no clarity on their
                  service. Worst delivery application support ever.</t>
  </si>
  <si>
    <t xml:space="preserve">This is so pathetic, I ordered for about 200+ and had 125 free
                  cash so I have to pay only 70rs but when the order came it
                  charged me 195 this is not done.if they give free cash just to
                  show off!when you order and go to payment they charge the same
                  amount or if you did cod then take full payment,this is so
                  wrong if you don't want us to use the cash just don't give the
                  facility and mislead people.refund my extra money back please</t>
  </si>
  <si>
    <t xml:space="preserve">Worst app. 9 out of 10 times they add extra surge fee. Give
                  tip to the delivery guy, then delivery fee, then pay surge
                  fee, then they say pay for monthly pass. Paying Zepto for all
                  the services is more expensive than the product most of the
                  times</t>
  </si>
  <si>
    <t xml:space="preserve">No map view available to check the live location of the
                  delivery partner, that's a big thumbs down in comparison to
                  its competitors. Just giving offers and freebies doesn't count
                  improve your delivery. Delivery partner should be well trained
                  to follow maps correctly. Please don't ask to mail the details
                  as the details in this review is self explanatory and enough
                  for your team to work upon and improve.</t>
  </si>
  <si>
    <t xml:space="preserve">Worst experience ever, I ordered two times and both times they
                  cancelled my order at the end moment while delivery partner
                  was at the location well if you are unable to deliver than
                  please don't accept the order in first place was hungry both
                  the times and imagine getting your order cancelled in this
                  situation will never purchase anything again Please contact if
                  you need proof</t>
  </si>
  <si>
    <t xml:space="preserve">I dont know what happened after i updated the app. Suddenly it
                  changed into location not serviceable. My last order was on
                  17th december on 19 its not serviceable. Plz work on it.</t>
  </si>
  <si>
    <t xml:space="preserve">Fruits ordered some of were eaten, No properly respond from
                  customer support order number # 8332AJKKN11743. I wanted to
                  give to someone, but few fruits were eaten by unknown guy and
                  same has been delivered. Just simply they throw back money
                  does it makes sense. I never order food stuff in ZEPTO.</t>
  </si>
  <si>
    <t xml:space="preserve">Zepto is delivering fast. But they are ready to face the
                  issues. I ordered iron box. But it is not a working condition.
                  They are delivered the product. If there is any problem they
                  are not ready to face that.</t>
  </si>
  <si>
    <t xml:space="preserve">App showing me delivery time of 6 mins but order not delivered
                  even after 1 hr and delivery guy also not picking phone
                  customer support also not able to solve issue they are not
                  even replying. Wish I had an option for zero star definitely
                  would have given it Shittiest app ever Anyone seeing this
                  don't ever download this app and don't give a single penny to
                  these morons.</t>
  </si>
  <si>
    <t xml:space="preserve">I order zepto today and I want to payment click on upi to see
                  Rs125 wallet use or not but when I click it order placed then
                  immediately I go to help section to cancel order it is within
                  10 sec but they say order placed not to be cancel . Then I
                  tried calling their customer care no it is also not available.
                  Then I tried contact care on chat it is also not accepting
                  chat . Only robot chat available. So if no customer support
                  this company is very bad and never use again Order reached in
                  30 min.</t>
  </si>
  <si>
    <t xml:space="preserve">does give some wallet cash and discount offers and helps in
                  saving money, but doesn't cancel orders or make refunds or
                  doesn't even have a option to change address after placing
                  order. Once the order is placed it is placed and food in zepto
                  cafe is hygienic but not tasty or fulfilling.</t>
  </si>
  <si>
    <t xml:space="preserve">This app is a complete fraud. The online payment gets
                  deducted, and I receive a message saying the parcel has been
                  delivered, but the customer never actually receives the
                  parcel. They donâ€™t even refund the payment. The customer care
                  service is very bad in this app. Iâ€™ve had two bad experiences
                  with this app. ðŸ‘Ž</t>
  </si>
  <si>
    <t xml:space="preserve">This is amazing app! Very helpful, And I would like to suggest
                  you something, That is.,can you introduce Zepto pharmacy app,
                  where all medical products would be delivered soon! I think i
                  would be a great help to us because other medicine apps takes
                  atleast 1 to 2 hours or more to deliver products, so i it's
                  possible please do introduce zepto pharmacy type app! Thank
                  you ðŸ˜Š</t>
  </si>
  <si>
    <t xml:space="preserve">I don't know why they have even provided the wallet thing if
                  they always want to make it unavailable for us!!.. seriously
                  the quality of this app has been deteriorating so much..
                  requesting the zepto team to resolve this issue.!!!</t>
  </si>
  <si>
    <t xml:space="preserve">Zepto give free cash in wallet as promotional offer but at the
                  same time blocks the wallet from using that cash ðŸ‘Ž However, I
                  placed 1 order in hope that wallets gets unblocked but still
                  it was blocked After emailing to support team, they replied
                  that you have to again place orders so that free cash in your
                  wallet can be accessible Zepto is trying to lure and fool
                  customers by showing free cash in wallet but at the same time
                  blocking it which is nothing but clear example of fooling
                  people ðŸ‘Ž</t>
  </si>
  <si>
    <t xml:space="preserve">they cheat you out of money by sending out cheaper
                  alternatives while putting a good quality product in the
                  images!! their customer service doesnt give a solution but
                  instead creates more problems!!!</t>
  </si>
  <si>
    <t xml:space="preserve">Zepto is good for emergency and last minute items. Used it and
                  liked it also. Only one thing which is not good is cash gets
                  credited in wallet but can't be used. This trick must be for
                  increase downloads. But this is kind of cheating ðŸ˜žðŸ˜ž</t>
  </si>
  <si>
    <t xml:space="preserve">Do not credit cash in the wallet if no option is provided from
                  your end for redeeming it. It's like fooling the customers.
                  Products are good but while raising a complaint it's not easy
                  to contact the customer care executive through chat sometimes.
                  There should be a provision where one can contact customer
                  care executive via call.</t>
  </si>
  <si>
    <t xml:space="preserve">Very poor service, I ordered goods made payment but nothing is
                  showing in the app. There also no customer support.It is a
                  very terrible app. Just shut down your Business if you don't
                  know even the basic needs for doing the business.</t>
  </si>
  <si>
    <t xml:space="preserve">The Service is good. But this is really annoying. Getting
                  spammed by messages 20-30 times a day to use wallet cash. Dude
                  I'll use it when I want to use it. This is desperate and
                  annoying that's why I am uninstalling it.</t>
  </si>
  <si>
    <t xml:space="preserve">Last time when I tried adding money to the wallet it declined
                  due to the server issur from your end and haven't got the
                  refund back in my account yet.... but today I made another
                  transaction to add money which was successful but I'm not able
                  to use the same.... I can't find the option to use the same
                  money present in the wallet.... moreover COD isn't available
                  what sort of updations you have made????????????</t>
  </si>
  <si>
    <t xml:space="preserve">Frauding with zepto cash ðŸ’µ . They don't have a clear rule for
                  use of that cash.They will say that you can use your wallet
                  cash after 2 successful deliveries but when you orders
                  something the wallet cash suddenly disappeared or shows
                  exipered. Totally fraud don't trust on this app.</t>
  </si>
  <si>
    <t xml:space="preserve">I will give rating as 4, as this app is very slow as it gets
                  hang every time to search the item and to place the order.
                  otherwise the delivery is on time.</t>
  </si>
  <si>
    <t xml:space="preserve">Hi Everyone please see the payment details otherwise they will
                  fool you. Price of the product in before checkout is different
                  than checkout page. Every product you added 2 to 3 RS extra(
                  if product price you mention 155/- rs at checkout page it show
                  159/- rs). Your using big bazar strategy. Think this before
                  otherwise you will be out from the market and you will face
                  civil case problem.</t>
  </si>
  <si>
    <t xml:space="preserve">You are offering free cash for users to use your app, yet you
                  do not allow them to access it. If you are promoting your app
                  with incentives like free cash, it should be made available
                  for use. Otherwise, your app becomes nothing more than
                  unnecessary clutter on my phone.</t>
  </si>
  <si>
    <t xml:space="preserve">They rarely send sealed packages. And if the times are missing
                  they simply say that they have sent it and refuse refund. They
                  need to setup checkpoints so that neither the hub, nor the
                  delivery partner can steal items.</t>
  </si>
  <si>
    <t xml:space="preserve">Don't order any electric product i have ordered trimmer it not
                  even working i contacted customer support they telling to
                  reach out service centre. I didn't even used that product. The
                  customer service very worst don't order any product in zepto.
                  If you want order then it will be your own risk</t>
  </si>
  <si>
    <t xml:space="preserve">Worst App, always surge fee applicable, most of the times it
                  says try after 15minutues, but that 15minutues never turns,
                  shows surge/high demand even at 10:30pm n to attract people
                  they give free cash in wallet n never allows you to use it n
                  it gets expired in a day...most fool making app ever
                  experienced...not recommended...Instamart,Blinkit, Bigbasket
                  are best..Zepto app is worst, customer support just copy n
                  paste a text saying to email them...worst support team</t>
  </si>
  <si>
    <t xml:space="preserve">Worst customer service. Delivered half used product (according
                  to customer service i have used half of Hair cream within 10
                  minutes of delivery) and then customer service is so great
                  that instead of resolving current issue asking if there is any
                  other assistance needed. Thank you zepto for the worst
                  experience ever. Using blinkit since a long time but have
                  never faced such issue. Will prefer to use blinkit again.</t>
  </si>
  <si>
    <t xml:space="preserve">I am very happy to order Septola for the first time and not
                  only that, I am not happy with the Perusa program because of
                  the price difference. But let's go to the shop and work hard
                  Everything like the cost of petrol, the cost of the car, the
                  difference in price, but I don't know about the changes in
                  Perusa, but the quality and the selected packing materials are
                  very happy.So far I am very satisfied with the product quality
                  and just delivery and service done by Andiline.</t>
  </si>
  <si>
    <t xml:space="preserve">Iâ€™ve never been able to use Zepto Cash, even after adding
                  money to it. It always displays the message: "Wallet is
                  blocked due to high demand, please try again after 15
                  minutes." Additionally, the free cash expires before its
                  stated expiration time. Also, no chat support provided inside
                  the app.</t>
  </si>
  <si>
    <t xml:space="preserve">There seems to be a problem with the app on my phone. The
                  thing is, all of my friends have two options -zepto store and
                  super saver store- and I don't have it on my phone. I tried re
                  installing the app but it didn't work. So my friend had a
                  zepto coupon for discount on first order, I had just installed
                  the app so it was my first order and for some reason i
                  couldn't claim the coupon. (because my phone only has super
                  saver mode? I don't know ugh) So people at Zepto, is there any
                  way to solve it?</t>
  </si>
  <si>
    <t xml:space="preserve">I ordered from zepto the money has been debited but there is
                  no order showing in the app and when we want to connect to
                  customer care service there is no service to show concern
                  about the issue we are facing. Where do we complain . I hope
                  you add a feature where people can actually talk about the
                  problem .</t>
  </si>
  <si>
    <t xml:space="preserve">Zepto is a horrible app. You order something and get something
                  else. There customer service will agree that wrong item
                  delivered but will neither refund nor exchange the product. In
                  this case i talked to humera fathima of customer service of
                  zepto. She said she will not do anything and was eager yo
                  close the case. Opt for swiggy / bb. They are much more
                  reliable. And to think of it, they are selling iphone too. God
                  knows what you will get. Cant deliver a bulb, and trying to
                  sell electronics.</t>
  </si>
  <si>
    <t xml:space="preserve">The customer support is pathetic. It's been 2 days since I've
                  been trying to get a resolution for a comb. The chat responds
                  after 10 minutes and mostly doesn't, and when you reach out to
                  call them, all agents are busy right now please wait while we
                  transfer you to the next available agent is all you listen for
                  3-4-5 mins. They'll tire you so you give up. Very bad</t>
  </si>
  <si>
    <t xml:space="preserve">This app is very bad and experienced is worst . they give some
                  amount in wallet but I didn't use the amount because of app
                  fault. And expire date is 2025 but amount expired today with
                  change date . app just doing it's prmoation to give some
                  benifit. But blink it is better than zepto. Please I request
                  you each and every one please delet this app as soon as
                  possible. And all good rating is paid. And you have my all
                  details don't ask me about my details</t>
  </si>
  <si>
    <t xml:space="preserve">I am facing an issue while logging in. Whenever I try to log
                  in with my mobile number, the app shows my profile name and
                  number, but when I tap on 'Login,' the page buffers and
                  redirects me back to the same login page." Let me know if you
                  need further assistance</t>
  </si>
  <si>
    <t xml:space="preserve">What's the point of pass? If not delivery fee then Handling
                  fee or platform fee. You'll pay additional amount one way or
                  the other. All these fees by these eCommerce &amp; quick
                  commerce are Scams.</t>
  </si>
  <si>
    <t xml:space="preserve">I have worst experience from zepto. This was my 2nd order from
                  zepto. First time as well zepto took time around more or equal
                  to 30 mins to deliver my product and today as well the hub
                  which is 10 mins away from my house they weren't able to
                  deliver my product in 20 mins as well then I tried to contact
                  zepto service people through chats... They were continuously
                  saying me that it will be delivered it will be delivered
                  kindly wait and I saw they cancelled my order it's the worst
                  app don't use it</t>
  </si>
  <si>
    <t xml:space="preserve">Horrible experience. They sent me a Tampere product and I
                  returned it, but they gave any kind of refund, they just took
                  product back. I kept complaining constantly, in the start they
                  asked me to wait for a 5-8 days for it to reflect in my
                  statement, It didn't. I even sent them my bank statement and
                  again complained, they had the audacity to tell me that I
                  should have complained within 3 days of the order. And then
                  when I further complained, they said they'll reinitiate the
                  refund, but nope.</t>
  </si>
  <si>
    <t xml:space="preserve">The app is very slow making an order impossible at times.
                  There are so many news articles calling out the unwelcomed and
                  unnecessarily annoying and offensive notifications that zepto
                  keeps sending to its users. I'm surprised how this app has 4+
                  rating maybe they pay for the good reviews</t>
  </si>
  <si>
    <t xml:space="preserve">After placing order and approving the entry for delivery
                  agent. Still they have been cancelling the order without
                  informing me. And there is no option of connecting with
                  customer care. Really disappointed and have lost my trust on
                  this app for my emergency purchases.</t>
  </si>
  <si>
    <t xml:space="preserve">Pathetic customer support. Gift box delivered with tempered
                  seal and customer support refused for replacement or refund..
                  Higher prices than other competition apps. Better order from
                  other 10 min rapid delivery apps and avoid zepto.. Just trying
                  to be in market by giving free zepto cash..</t>
  </si>
  <si>
    <t xml:space="preserve">I returned a used, rusted, and low quality cutlery stand on 1
                  Nov. Till date, these lying cheats have not refunded the
                  amount for returned item, in spite of me complaining 7 times.
                  They have instead marked that order as "replacement failed", a
                  blatant lie Every time I reopen the complaint, they LIE that I
                  did not pay for the order. These cheats expect payment for a
                  returned item. Every time I ask for the refund, they lie that
                  they will refund in 24 to 72 hrs but never do. Don't buy from
                  them.</t>
  </si>
  <si>
    <t xml:space="preserve">worse than others, they gave me offer Gua Mexico or something,
                  Rs. 44.00 per piece, is it there in India anywhere?, they
                  offered others ok good, but what about this? They have a lot
                  of problems with the addresses, I kept address Ramnagar, they
                  tried to deliver at 4th phase, KPHB, I tried change so many
                  times, but couldn't. They always try to escape from the
                  situation..</t>
  </si>
  <si>
    <t xml:space="preserve">One of the worst apps, no update on order cancellation,reorder
                  status, delivery partner number etc. Just the opposite of what
                  they show in ads Just concerned with looting customer with
                  pass and other tactics Horrible experience</t>
  </si>
  <si>
    <t xml:space="preserve">Not at all good as they deny the order at any time. Very poor
                  services in Hisar. I would rather recommend Blinkit, as they
                  deliver on time and never cancel the orders.</t>
  </si>
  <si>
    <t xml:space="preserve">Zepto is a rapidly growing quick-commerce platform
                  revolutionizing how we shop for groceries and essentials. It
                  specializes in ultra-fast delivery, promising orders at your
                  doorstep within minutes. Known for its reliability, Zepto
                  offers a wide range of fresh produce, packaged foods,
                  household items, and more at competitive prices. The app is
                  user-friendly, with features like live order tracking and
                  convenient payment options, ensuring a seamless shopping
                  experience. Zeptoâ€™</t>
  </si>
  <si>
    <t xml:space="preserve">Zepto has started playing smart by including item cost and gst
                  in one total. They think customers are fool. They never show
                  the breakdown of cost clearly while checkout. Never ever going
                  to use this app again</t>
  </si>
  <si>
    <t xml:space="preserve">Worst service overall even after order gets confirmed, rider
                  calls and ask me to cancel just bcoz he cannot travel long,
                  and even customer service executive calls and says same to
                  cancel. If u cannot deliver or provide service then why your
                  into this sector.</t>
  </si>
  <si>
    <t xml:space="preserve">Zepto is giving tough competition to Blinkit and Big Basket
                  right now, but not for long time, Reasons- Customer service is
                  not efficient-they donâ€™t know how to come up with better
                  solutions or how to handle customers with mutual
                  understanding, even though thats a key part of
                  satisfaction.The app has glitches, especially in the Zepto
                  wallet, which sometimes doesnâ€™t show the cash. The Zepto Pass
                  is not very helpful. There are attractive tactics to gain
                  customers, but your management is not proper</t>
  </si>
  <si>
    <t xml:space="preserve">Fake app. These people are scammers. Do not order from this
                  app, it should be banned, i am struggling for my order for
                  more than 1 hour and even they were not allowing me to cancel
                  even and replied to me, the items are not available in store
                  so it is taking time. No support from customer service, for 1
                  hour i am asking for details to complaint but they are not
                  ready to give details, rather making me wait again and again.
                  Please guys stop using this app.</t>
  </si>
  <si>
    <t xml:space="preserve">I prefer Blinkit or Big Basket over Zepto The option to leave
                  the items at doorstep doesn't work (every delivery person
                  called me multiple times to try to have someone open door) ,
                  Items are a little more expensive and there is phone privacy
                  issue as I get phone call from the delivery person's no. , not
                  a customer care number</t>
  </si>
  <si>
    <t xml:space="preserve">Really bad experience I have ordered 4003PPSQ04273, I have
                  ordered 5 kulfi . All rec'd melted . I have sent a pic to
                  customer care. But they told return 4 items. But my family
                  members also opened another 2 packages. So only 2 were pending
                  for return . Pick up person picked up 2 kulfi but not marked
                  as picked partial qty.4003PPSR79337 - Return order id in which
                  2 kulfi were picked up by delivery person but he marked return
                  fulfillment failed. He took a 2 kulfi. I don't rec'd any
                  refund.</t>
  </si>
  <si>
    <t xml:space="preserve">The number one looters, they give u coupon and some how de
                  activate it, this happened several times for me. These people
                  lure you saying that there is amount added in your wallet and
                  then after the order they don't even show your order history
                  ðŸ‘ŽðŸ»ðŸ‘ŽðŸ»ðŸ‘ŽðŸ»ðŸ‘ŽðŸ», I don't recommend this app</t>
  </si>
  <si>
    <t xml:space="preserve">"Pls fix your app, it takes forever to load items and the
                  going to cart, also takes forever. Some how I am forced to
                  purchase from BlinkIt because load time of BlinkIt is pretty
                  fast.. " I am not able to make purchase because of load
                  issues! Fix it, this is so horrid nowadays. It used to be good
                  and fast app.</t>
  </si>
  <si>
    <t xml:space="preserve">Zepto is total fraud quick commerce company. They have given
                  zepto cash for INR 200 which was valid for next order only and
                  validity till Oct'25 but zepto has make it expired today
                  itself giving no valid reason as there was no such t&amp;c
                  except it was valid for next order. I better start using
                  swiggy instamart wherein I get 10% discount through my swiggy
                  hdfc credit card.</t>
  </si>
  <si>
    <t xml:space="preserve">This app is not customer friendly. No customer care number so
                  you can't raise the complaint. You can't return the products.
                  While searching products they show you less price and at the
                  time of ordering product prices increases in back and even you
                  couldn't realised and just ordered.</t>
  </si>
  <si>
    <t xml:space="preserve">16.10.24, If there is an issue no one is there to listen you.
                  One food item was returned by me as date of packaging and
                  expiry was erased. Earlier it was showing refund pending. Now
                  showing return failed. There is no option for me to call, chat
                  or email through zepto app. it won't share its contact details
                  so that the customer could contact them. Edited on 12.10.2024,
                  on providing my contact details, I receive 2-3 mail daily that
                  they tried to contact me but I was not reachable.</t>
  </si>
  <si>
    <t xml:space="preserve">Very bad experience, if there was a option to give in negative
                  i would give that. I ordered an item, product was damaged,
                  returned that item, its been 2 weeks i didnt recieve the
                  refund for the product and associates told i already recieved
                  the refundðŸ˜…ðŸ˜…ðŸ˜… what joke zepto. DEFINITELY NOT EXPECTED.</t>
  </si>
  <si>
    <t xml:space="preserve">They think customer's are foolish, after selling zepto pass
                  for free delivery on orders above 99 they will charge a surge
                  free insted of delivery charges. What's the use of zepto pass
                  when they don't want to honour their commitment of free
                  delivery. I can never order anything without surge fees. Also
                  charging GST over the product MRP + platform fees. Don't
                  commit if you can't fulfill your promise. Useless app.</t>
  </si>
  <si>
    <t xml:space="preserve">After adding items to the cart, Zepto shows 'unserviceable'
                  even at 6 AM. Surge fees, extra charges despite having a
                  pass??? Exorbitant prices for 60% of items? There is no easy
                  way to add Zepto Cash and use it.</t>
  </si>
  <si>
    <t xml:space="preserve">Everytime I try to search and order, the app shuts off.
                  Terrible experience. I've uninstalled &amp; reinstalled the
                  app multiple times, still the problem persists</t>
  </si>
  <si>
    <t xml:space="preserve">Very worst experience in zepto. I have ordered drone , I
                  received it without battery. I have reached customer
                  executive"Chetan Ainakar" he mentioned it's delivered as per
                  description after I show pictures also he not responding
                  properly.very very worst experience I had. Strongly not
                  recommended.</t>
  </si>
  <si>
    <t xml:space="preserve">Every time some diff fee /cart charge , etc added to Bill.
                  Even I buy Monthly Pass membership, Delivery Fee is always
                  added to Invoice. Unfare Billing, be cautious before you pay
                  &amp; remove extra items added.</t>
  </si>
  <si>
    <t xml:space="preserve">There are a lot of issue with the app. The payment gateway is
                  terrible. The order don't process after payment or COD
                  selection a lot of time. However, sharing 4 star rating, just
                  because of Mr. Vinayak a very polite and competent customer
                  care executive that helped me solve a huge payment related
                  issue very quickly. Big shoutout to Mr. Vinayak, thanks again.</t>
  </si>
  <si>
    <t xml:space="preserve">When I ordered my order , it showed that I had to pay 118 rs
                  but when the order arrived , the delivery man said that it is
                  showing 148 rs and when I checked it was indeed 148 rs . The
                  price increased suddenly and showed it was surge price 30 rs
                  and I had to pay it . do something about this , so this
                  doesn't happen again .</t>
  </si>
  <si>
    <t xml:space="preserve">My first order with Zepto was delivered on 13th October2024.
                  Thereafter it is always showing " Location not serviceable". I
                  have tried many times with your App support, but not resolved
                  till today itself 24th October 2024. I have some unspent
                  amount in Zepto wallet , but I am unable to place an order and
                  utilise wallet amount. You are requested to resolve the issues
                  as soon as possible so that I utilise the amount in my wallet
                  to place the orders. Alok Kumar</t>
  </si>
  <si>
    <t xml:space="preserve">I wish I can give you a zero star but unfortunately I have to
                  give u a single star 24*7 this application use to charge surge
                  charge i don't know all over the world people use to purchase
                  stuff's through zepto that is the reason they are showing this
                  charges. How cheap wat they are using extra amount by showing
                  always a surge charges.</t>
  </si>
  <si>
    <t xml:space="preserve">They do not deliver some items ordered and they do not deliver
                  the missing items or refund the money of the product that was
                  missed out in the order. Big liars. First I gave 1 star
                  because of missing item and no refund or exchange from help
                  center. Then I got a call from Zepto and they apologized and
                  added the missing item cash into zepto wallet. They also
                  listened to my complaint. With the refunded cash in the wallet
                  and reprdered the missing item and got it delivered today.</t>
  </si>
  <si>
    <t xml:space="preserve">Worst app, there is no customer support to whom should I
                  contact. I have added to my cart but the payment button is not
                  available it just have shop more for this amount. I cannot
                  contact anybody. Frustrating and irritating. Now I am ordering
                  from BigBasket. Latest 15 rupees costly but I have no option.</t>
  </si>
  <si>
    <t xml:space="preserve">Zepto represent speed, yet I've ordered from them more than 50
                  times, and each time I've had a great experience and a timely
                  delivery â¤ï¸. Continue on, Zepto. I can assure you that this is
                  exactly what the consumer was searching forâ€”you are the one
                  that brought minutes delivery to the market. Would like it if
                  your deliveries could accommodate additional categories.A
                  pleased customer. Many thanks</t>
  </si>
  <si>
    <t xml:space="preserve">Best app deliver grocery in lowest time enjoying. But I am
                  facing some problem some time zepto wallet option is not
                  showing while ordering Item please fix the problem. Otherwise
                  good app for grocery and other products dilivery in time.</t>
  </si>
  <si>
    <t xml:space="preserve">I ordered groceries twice through Zipto but both the orders
                  were cancelled after some time, you gave some other reason
                  from your end and my Rs 607 was also deducted but it has been
                  5 days so far And no amount has been credited to my account
                  and I received a message from Zepto that the refund has been
                  initiated, this is a useless application.</t>
  </si>
  <si>
    <t xml:space="preserve">Zepto is an organized Scam. They deliberately miss our
                  products on our paid orders that are in stock. They force us
                  to add money in zepto cash and then disable the option when we
                  want to use it to make payment as a result we end up using Upi
                  again. They make fake claims of having added money in wallet
                  that we are never able to use. In the end their customer
                  support is a sham. They delay their response time, test our
                  patience and make us so helpless so that we quit finally.
                  Zepto is an ordeal.</t>
  </si>
  <si>
    <t xml:space="preserve">I used to purchase household groceries from Zepto for which I
                  got some cash back and recently I wanted to use the cashback
                  and in my last order that I booked earlier was not delivered,
                  the same amount which was in cash back, after some time the
                  item started showing as delivered although it did not reach my
                  pass and the cashback was over. When I chatted with customer
                  support then I came to know, then I understood that they are
                  doing fraud that is why I'm instilling this app</t>
  </si>
  <si>
    <t xml:space="preserve">Don't expect any great deals or big discounts as in Dmart,
                  Bigbasket, etc. Absolutely no customer care or backing... Cafe
                  items are qualitywise very ordinary but expensive... Only
                  saving grace is ordered goods will reach your doorstep within
                  15 minutes. That's all !! Update on 2nd December : The Super
                  Saver is really super... Great discounts... Far better than
                  Reliance... Keep it up!! ðŸ‘Œ</t>
  </si>
  <si>
    <t xml:space="preserve">Unable to place order due to apparent surge in demand. Tried
                  every 5 mins for an hour but not able to place order. Cannot
                  even schedule delivery for later. What's the use of such an
                  app if you are unable to service the cart?</t>
  </si>
  <si>
    <t xml:space="preserve">Dear Zepto Support Team, I am writing to raise a concern
                  regarding the Zepto Cash credited to my account. While I
                  appreciate the initiative of providing Zepto Cash, I am unable
                  to use it for any transactions, despite it showing as
                  available in my wallet. This issue has persisted, and to make
                  matters worse, the Zepto Cash is expiring without giving me
                  the opportunity to utilize it. If Zepto Cash cannot be used as
                  intended, I fail to understand the purpose of providing it in
                  the first place.</t>
  </si>
  <si>
    <t xml:space="preserve">I didn't recive my order yet. It's really insane how the
                  customer care doesn't respond soon. Thay take ages to respond.
                  I didn't recive either my order or refund. No sign of anything
                  yet. It's been hours this happend. And not even responding to
                  the customer when needed. I need my refund ! And it's really
                  frustating that you don't respond.</t>
  </si>
  <si>
    <t xml:space="preserve">Worst app it didn't deliver the order and just make it will be
                  on 2 min for 40 min seriously and after all that it didn't
                  even delivered and I raise the complain and they didn't even
                  reporting the damn status they just waste my time for no
                  reason it would be better to just cancelled it but no they
                  just talk nonsense things just remove the tag of the 10 min
                  delivery please it doesn't get on time always it is late</t>
  </si>
  <si>
    <t xml:space="preserve">Worst experience, I had wrongly placed an order, within a
                  second I am trying to cancel the order, but they given
                  notification your order already packed so you won't cancel the
                  order. This is completely unacceptable , they were forcing the
                  customer to buy their products .</t>
  </si>
  <si>
    <t xml:space="preserve">Worst app. Excessive Handling charges even with zepto pass.
                  They charge 14 to 15 rupees as handling charges on which they
                  take additional extra 18% GST. This comes upto 17-20 ruppes
                  extra. These charges are additional to already bought zepto
                  pass for which I paid seperately. They hide the extra charges
                  during final pay screen. Scamming ppl by hiding their added
                  charges. Compitition charges only 9-10 rupees and show us
                  exact prices. No customer support as well if something is
                  wrong after delivery</t>
  </si>
  <si>
    <t xml:space="preserve">Useless App with pure fooling around of promotional wallet
                  concept. They keep forcing you for more orders and bluff of
                  promotional cashback continues. Order fails and they refund
                  money in 7 working days with certain deductions reason
                  unknown. Uselss customer service.!! Don't install this. Money
                  n time waste both..</t>
  </si>
  <si>
    <t xml:space="preserve">I was delivered non veg sandwich instead of veg. I am a
                  structure vegetarian. I asked the customer support to do the
                  needful but they gave coupon of 20% of the amount of the
                  product ( mind the lowly act and then handing out pennies)
                  thats all and no further investigation was done. very poor
                  service and no resolution. highly dissatisfied</t>
  </si>
  <si>
    <t xml:space="preserve">This is tooo much worst application for shopping.. they don't
                  have any option to return or exchange the product. Customer
                  support is completely useless they all are uneducated and
                  totally irresponsible. They don't have any solution for
                  customer problem.. they have only *I extremely sorry
                  sir/ma'am* . I am too much disappointed with this application
                  don't shopping with this application if you will do you only
                  waste your money time and energy.</t>
  </si>
  <si>
    <t xml:space="preserve">Revising with reduced rating to 2 from 5... Now a days items
                  are going out of stock literally for days and no stock
                  available to place the order... Seems items going out of stock
                  for ppl who purchased the zapto-pass and pathetic thing is
                  there is no customer support to check back for any issues..
                  feels like victim of pass scam.</t>
  </si>
  <si>
    <t xml:space="preserve">Worst customer service. They deliver wrong product. Then again
                  re deliver the wrong product to not make good the earlier not
                  even still even still with the correct item. That too at 12:45
                  am in the night for a 10.30 p.m. delivery. Bogus ppl</t>
  </si>
  <si>
    <t xml:space="preserve">Zepto sent me a message via WhatsApp confirming a zepto cash
                  â‚¹125, I installed the app and tried using, I was prompted to
                  pay â‚¹1 to buy some zepto 'pass' which I did. Added some items
                  in cart and on payment page I didn't find any zepto cash.
                  Wrote to support@zepto, they are denying refund of my â‚¹1.
                  Don't know from how many people they have collected â‚¹1 each
                  like this</t>
  </si>
  <si>
    <t xml:space="preserve">I have given only 4 star, one star i haven't give cause of
                  this application experience. My experience in this application
                  is very bad. You should make a proper catagory, if you are
                  making some catagories then you should available the product.
                  add address &amp; tracking the product experience also very
                  bad. if you are ordering a product then old address also
                  showing when i am ordering. zepto should improve this
                  application for the easy access.</t>
  </si>
  <si>
    <t xml:space="preserve">After charging platform fee and other additional charges, they
                  can't even afford a normal paper bag. It's really frustrating
                  to collect every single item from the delivery agent hand.</t>
  </si>
  <si>
    <t xml:space="preserve">Uninstalled Because of booking confirmed âœ… notification,
                  which obviously they, the company knows is fake, but I don't.
                  Not i had to stop my bike to check whether it's by mistake,
                  and where the package is going, will I be there to collect it
                  or not Absolutely careless/very manipulative tactic.</t>
  </si>
  <si>
    <t xml:space="preserve">Worst experience on first order itself. I ordered for some
                  gift and time it was showing 5 mins and it got cancelled in
                  couple of minutes by saying unable to deliver and asked to
                  reorder. I reordere and again it got cancelled by saying same
                  reason.</t>
  </si>
  <si>
    <t xml:space="preserve">Looting delivery charges from customers. Cheap tactics to
                  steal delivery charges even though the cart is applicable for
                  free delivery. Below is the direct response from customer
                  service when I questioned. "Thank you for reaching out to
                  Zepto. Our sincere apologies for the unpleasant experience.
                  Free Delivery will need to be applied manually on orders basis
                  of the bar available while items are added to the cart. "</t>
  </si>
  <si>
    <t xml:space="preserve">I have ordered one product. Product condition is good but they
                  are not mentioned dimensions of the product. It was too big
                  then expected and I raised a ticket on the app and email. They
                  responded like the product condition is good, hence they are
                  not responsible for production dimensions. I felt bad with
                  their response. I suggest them, understand the customer
                  concerns, help customers and resolve the issue.</t>
  </si>
  <si>
    <t xml:space="preserve">App telling me to Choose locations of my city, I am living in
                  the middle of the city, but it says change your location and
                  see from where it is possible to deliver in 10 minutes......
                  But not a single location they accepted..... Even the area of
                  Mobile Market not accepting...... They are developing now.....
                  In next 2 to 3 years they may deliver the Items......</t>
  </si>
  <si>
    <t xml:space="preserve">Worst app. Once order is placed app doesn't have option for
                  cancelling order. You call customer care multiple times only
                  to hear that all agents are busy. SMS is sent for cash is
                  added and there is 0 amount added.</t>
  </si>
  <si>
    <t xml:space="preserve">My second review after 18.09.2022 and it's still the same.
                  Even if I require a single item I cannot buy one and I have to
                  go buy a combo pack. The app has made idiotic combos and we
                  are forced to buy those only. I can't even edit my combos.
                  This is greatly inconvenient.</t>
  </si>
  <si>
    <t xml:space="preserve">Poor user experience. What's the purpose of giving zepto cash
                  if a user cannot use it in their purchases. Had a talk with
                  customer service, and was told to place orders on regular
                  basis to avail the accumulated zepto cash. What a waste of a
                  app, trying to compete with blinkit and such apps with such a
                  strategy.</t>
  </si>
  <si>
    <t xml:space="preserve">Very bad experience. The order (total 8 in numbers) had to be
                  received on the street, no carry bag given. Selling poor
                  quality product like Relish Chicken, also no product rating
                  system. Big Basket is much better. This is the first and this
                  is the last order.Kolkata</t>
  </si>
  <si>
    <t xml:space="preserve">11th Oct 24 It's good u spend less on advertisement and spend
                  more on your employees and service quality..From last one
                  month your delivery time is always 24 mins and most of the
                  time order not accepted due to high demand. Got fed up with
                  this service..hv to switch to Blinkit or insta Mart 6 months
                  backThis app shows to deliver in 10 mins but takes 45 mins and
                  never shows correct picture..u can not trust them if u are in
                  hurry</t>
  </si>
  <si>
    <t xml:space="preserve">Very bad experience with zepto firstly they gave a cash in
                  wallet after product return they deduct their cash from wallet
                  automatically and their agents told the money which was
                  debited, automatically credit in wallet after pickup our
                  order...but they didn't give any coupon again</t>
  </si>
  <si>
    <t xml:space="preserve">These fraud scammers probabaly sell ypu clearance stock in the
                  name of discount , 1 ordered 3 different pieces of " boat
                  immortal 170" earphones, everyone of them were not turning on,
                  and the money is refunded into zepto conveniently so that to
                  use it ,you are forced to shop on the same fraud app Then i
                  bought wired earphones expecting them to work One of the 2
                  earbuds was working, now when i asked for replacement, they
                  told me it is impossible. Dont use this scammer app</t>
  </si>
  <si>
    <t xml:space="preserve">This is the worst app . Please don't download this app bcoz
                  after one month ago I am order a product but I didn't get it .
                  The delivery boy was delivered the product but still I didn't
                  get it and the customer care said that u will get the refund
                  in 7 days but still I have didn't get any refund . That's why
                  I am saying this worst app .</t>
  </si>
  <si>
    <t xml:space="preserve">Provided cashback against last order and for last 2 days,
                  error message was coming which says I can't use cashback for
                  further order for sometime. And then after cashback was
                  expired. Please avoid such cashback offer. Also, vegetables
                  are not fresh. Other plateform are some what costly but very
                  reliable so please avoid Zepto and move to other</t>
  </si>
  <si>
    <t xml:space="preserve">Zepto has turned out to be disappointing. They provided wallet
                  credit for my first order, but when I reached the billing
                  page, I couldnâ€™t use that wallet balance. It feels like a
                  scam, especially after all the hype theyâ€™ve received.</t>
  </si>
  <si>
    <t xml:space="preserve">There is no proper response to the customer support and the
                  way the app is designed you don't get to know whether order
                  will be delivered or not. Worst experience better to shift to
                  big basket which has been always good support system</t>
  </si>
  <si>
    <t xml:space="preserve">Some couple of days,I ordered some eggs but all eggs were
                  crashed and one of egg which was nasty &amp; developing some
                  worms around the eggs... it's very pathetic service I never
                  order again eggs on your app.so App is working very good,all
                  products are available in reasonable price but chitale milk is
                  not available in the stock ..? why are you not deliver to our
                  location</t>
  </si>
  <si>
    <t xml:space="preserve">Not able to order. There is always a message "we are seeing a
                  surge in demand" always. I trying to from last two weeks and
                  till now see the same message. Never see message on other
                  order delivery apps.</t>
  </si>
  <si>
    <t xml:space="preserve">Worst app. My order was not delivered and application
                  interface showing your order is delivered. When I try to call
                  delivery partner all agents are busy. Don't order anything
                  from this application worst application ðŸ™ðŸ»</t>
  </si>
  <si>
    <t xml:space="preserve">Worst app ever . My 700 rs got stuck as I ordered some
                  products and payment was also successful and still they were
                  not ordered and it takes 4-5 days for them return money . It
                  takes no time for them to take money but it will take 4-5 days
                  to return your own money which was successful transferred to
                  them customer support service is also the worst provides no
                  solution .support local grocery people better than this fraud
                  app , they lore you using their free cash and trap your money
                  for4-5 days.</t>
  </si>
  <si>
    <t xml:space="preserve">The latest experience with the New Zepto is Pathetic and
                  Horrible, first after paying upfront for your order you get an
                  incomplete delivery that too in a filthy condition and on top
                  of it the Delivery person argues saying to accept it in the
                  same condition and when you try to escalate the matter to
                  Zepto Chat box which is too slow and extremely inconvenient
                  that finally you end up with no solution but a very Unpleasant
                  and Troublesome experience. My Order is still pending my
                  children had to suff</t>
  </si>
  <si>
    <t xml:space="preserve">Experience is nice,but atleast provide map and real time
                  location of delivery agent. So that we were comfortable to see
                  in map.</t>
  </si>
  <si>
    <t xml:space="preserve">Zepto does give money to the wallet. But to use the money in
                  that wallet, you have to order something first. After
                  ordering, when you win and go to use the money, that money
                  expires and they deduct the money. In this way, Zepto is
                  scanning with everyone.</t>
  </si>
  <si>
    <t xml:space="preserve">I added 1k in wallet, but detected from my Amazon wallet
                  duration transition. I will never refer this app in network..
                  this is very disappoint moment for me. I try to reach any help
                  line number, but showing number is not existing ðŸ˜­ðŸ˜­ðŸ˜­ðŸ˜­ðŸ˜­ My
                  concern very clear, I want to pay though zapto wallet.</t>
  </si>
  <si>
    <t xml:space="preserve">I am giving 1 star because I have ordered something but I
                  didn't got that and I have already paid and it's shows that
                  your order is arrived at the door step one of the worst app I
                  need my money back. And the delivery agent is not picking up
                  the phone and tere is no Coustmour service to talk about that.
                  This app deserve not even 1 star ðŸ‘ðŸ¼</t>
  </si>
  <si>
    <t xml:space="preserve">zepto takes additional amount to deliver items for free
                  however even after paying this amount in every Bill they add
                  the delivery fee and and somewhere they give option to apply
                  free delivery .this is unfair &amp; cheating with the
                  customers if you have taken additional amount from the
                  customer then by default for the period the customer has paid
                  the amount delivery fee should not be added.Due to this many
                  times when you are in a rush to order things we tend to click
                  on that free delivery apply tab</t>
  </si>
  <si>
    <t xml:space="preserve">can not cancel the order once it's placed and it's take more
                  then 10 minutes for delivery also app response very slow and
                  some times we can place the order or some times not. some time
                  we can not use the wallet money.</t>
  </si>
  <si>
    <t xml:space="preserve">It nice for home delivery, but someone's wants to cancel their
                  order they can't. The app should want to add cancel feature.
                  The feature will be works like : in starting 2 min you can
                  cancel your order</t>
  </si>
  <si>
    <t xml:space="preserve">Response you will recieve from support whenever you raise
                  complaint and give genuine feedback which they not even care
                  to check. They will first give one Nick name to you,not even
                  have time to copy name of customer properly 1)self appraisal
                  for best customer experience they are giving (ctrl+c,ctrl+v of
                  well made script which has same thing everytime) 2)sorry 3)we
                  have one team for checking but not sure what they do and when
                  they do 4)again sorry 5)Thank you PS:ask team to respond to
                  mail</t>
  </si>
  <si>
    <t xml:space="preserve">Deceptive marketing strategies, add cash in your wallet but
                  block the usage saying due to high demand. and when wrote to
                  customer care they say it's coz of fair usage, kepp ordering
                  we will unblock it in due time, it's more then 15 days, no
                  matter what time of the day you try to use it same "wallet is
                  blocked due to high demand" Improveise your service and
                  network if u r unable to handle the demands. Totally gimmicky
                  vibes. other platforms are better, don't lure you with fake
                  wallet money.</t>
  </si>
  <si>
    <t xml:space="preserve">I ordered an electronic product,it was not working properly so
                  I asked for replacement. I wasn't available that day so we
                  scheduled the person to come pick it up the next. The next day
                  the person does not come, so I contact customer service AGAIN
                  and this time I ask for a refund again, the agent orders for a
                  replacement. I did not indicate I wanted replacement. The
                  replacement comes and there was a cockroach in the bag, this
                  shows that their warehouse is unhygienic and unsanitary.</t>
  </si>
  <si>
    <t xml:space="preserve">I find the prices relatively lesser than others...products are
                  good enough and offer a wider range too...delivery is also
                  quite hassle free in the sense of personnel navigation...that
                  is they land on the doorstep most of the times without calling
                  for help...the only issue is that they don't have an option to
                  pay by cash on delivery ðŸ˜’</t>
  </si>
  <si>
    <t xml:space="preserve">They are not allowing me to choose payment option as COD the
                  worst app I've installed till the date . I even mailed them
                  about this issue but they are ignoring it deliberately I'm not
                  able to use my free cash wallet n not able to do COD !!!!!
                  WORST APP</t>
  </si>
  <si>
    <t xml:space="preserve">every time i decide to order something from this app, it says
                  store closed. EVERY SINGLE TIME THIS HAPPENS. what's the point
                  of paying for the monthly subscription if they can't be
                  bothered to deliver any products whatsoever. on top of that
                  they have pathetic customer service.</t>
  </si>
  <si>
    <t xml:space="preserve">Its a really bad app the zepto cash you receive has deducted
                  automatically without using by you,no proper customer support
                  or contact is there the bill includes unnecessary charges
                  which makes the bill amount high its an really bad application</t>
  </si>
  <si>
    <t xml:space="preserve">Needs to work on accessibility for screen reader users. Search
                  option isn't accessible for someone who is using a screen
                  reader like talkback. Kindly fix it.</t>
  </si>
  <si>
    <t xml:space="preserve">The order was delivered very fast. I was just trying to order
                  through this new app. Was not sure about the quickness of
                  delivery. But to my surprise the order was delivered within
                  five to eight minutes itself at my doorstep...</t>
  </si>
  <si>
    <t xml:space="preserve">Worst experience. Sometimes take more than 40 mins to deliver.
                  No response from delivery personal. No update or eta on the
                  app. Just keep on showing 1 min for half hour. Customer care
                  keep on diconnecting the chat and only asking for feedback.
                  This is the last time i will purchasing from you. Blikit if
                  way more better than this</t>
  </si>
  <si>
    <t xml:space="preserve">It was an terrible experience using this app, my order got
                  cancelled heads-up more than once. Cannot be trusted during
                  emergencies. And the customer service is really awful and
                  useless</t>
  </si>
  <si>
    <t xml:space="preserve">This is the worst fraud app Iâ€™ve ever used. It showed in the
                  app that I could use â‚¹100 on my next order, but I was unable
                  to redeem it while placing the order, as it didnâ€™t appear
                  anywhere. After the order was delivered without the â‚¹100
                  cashback/discount, it then showed that the â‚¹100 had expired.
                  This is the worst app Iâ€™ve ever come across. One more thing, I
                  ordered bread, and the expiry date is just a day after
                  tomorrow. How am I supposed to finish the whole loaf in 2
                  days. It was my last order</t>
  </si>
  <si>
    <t xml:space="preserve">Got notified recently that Zepto is operational in my area.
                  Ordered today and the items got delivered in 12 minutes (10
                  minutes for arriving at gate + 2 minutes for actual
                  delivering). Ordered icecream cones as well to check the
                  product handling. Everything got delivered in good condition,
                  especially the icecream cones were intact unlike the
                  competitor apps where if you order cone still you have to eat
                  by spoon.</t>
  </si>
  <si>
    <t xml:space="preserve">Worst experience ever..I have ordered sweet then it showed
                  that delivery partner reached then tried connecting hom but it
                  didn't got connected and also tried to seek help from Zepto
                  customer care .But nothing happened.I don't think any delivery
                  partner has reached my place.Then they said your number was
                  not reachable so it got refunded then as a good will gesture i
                  was promised 100 Zepto money but I still didn't got it. Blink
                  it works better.</t>
  </si>
  <si>
    <t xml:space="preserve">The main thing is that I am giving zero star rating to this
                  app because it is the most useless app in the world. Do not
                  order anything from Zepto. It always does not give the order
                  by going to the location. Please log in and understand this.
                  Delete all the useless apps today and delete them once. Karo
                  aap log blinking Flipkart Jogi Amazon hai jo jisi hai bhi
                  order karna hai karna hai and delete this laptop quickly.</t>
  </si>
  <si>
    <t xml:space="preserve">Zepto sent a product whose seal was broken, could be a used
                  product and there is no option to return or log a complaint
                  about the product as well. I was very disappointed as the app
                  doesn't have any help section for the product to be returned.</t>
  </si>
  <si>
    <t xml:space="preserve">work experience I am unable to use my wallet balance, While
                  check out it doesn't show to pay from wallet, I tried
                  contacting you via email but got same response that you number
                  doesn't have any money in wallet and to add a money in wallet
                  and infact in my wallet there is already money present Many
                  users face the same issue, I recommend to fix this issue, then
                  only it will be useful</t>
  </si>
  <si>
    <t xml:space="preserve">Disappointed!!!! I had a very bad experience. I am not able to
                  use my wallet cash since days. I complained in zepto support
                  but they kept saying that we are checking to avoid invalid
                  transaction blah blah blah... They also told to make 2 more
                  orders to use this wallet cash. They are not solving my
                  problem nor they're giving a valid response. Eventually, that
                  was bad experience from zepto support ðŸ¤·ðŸ«¤ I've also emailed
                  everything on zepto support I'd but my problem is not resolved</t>
  </si>
  <si>
    <t xml:space="preserve">I don't know why they apply surge fees. Rain fee is
                  considerable but surge fees, pathetic just extortion of money
                  from the customer in the name of surge fees. You should in
                  place the procedure for customer to know surge of items. Why
                  should zepto pass holders have to pay surge fees? we have
                  already paid for the pass and now have to pay surge.</t>
  </si>
  <si>
    <t xml:space="preserve">High prices extra surge fee there is no use waste even after
                  zepto pass we need to pay extra and delivery time 22minutes.
                  Especially they will give you zepto cash but you cannot use
                  it. It will be there till it's expiry date.</t>
  </si>
  <si>
    <t xml:space="preserve">Hi my account is on hold without any mistake and if I ask to
                  customer service they did not help me They charge more price
                  than outside like platform fee, surge fee, minimum cart fee,
                  and many more they charge even though we take zepto pass The
                  items in the description also showing wrong The prices of
                  vegetables, fruits are available at double hike prices than
                  outside I already shared all the required images and tell my
                  problem to that email and senior customer care members but no
                  solution given</t>
  </si>
  <si>
    <t xml:space="preserve">Upon 10 sucessfull referral they will give 2k. But this is a
                  truly false promise. It's been 10 days now and still they say
                  we will look into it after exchanging 5-7 emails. And more now
                  I received a call which saying eligible number will reflect
                  wait, otherwise we can not help you. This is simply a false
                  advertisment.</t>
  </si>
  <si>
    <t xml:space="preserve">Option for Switching to Dark mode would be a great idea. it's
                  2024, guys. Dont want to burn my eyes opening the app. So,
                  that thing should be on the top of the list for future
                  updates. Also, there is no option after purchasing to inform
                  the delivery guy not to ring the bell or keep outside the door
                  like Blinkit</t>
  </si>
  <si>
    <t xml:space="preserve">I would like to give negative rating .. guys dnt order
                  anything frm here.products are missing and customer service is
                  worst... Worst customer support in last 20 years..this is a
                  scam..they don't provide with any solution and they cheat on
                  your products.worst app ever.. go for swiggy instamart
                  instead..this is a scam app... Worst experience ever</t>
  </si>
  <si>
    <t xml:space="preserve">Zepto wallet cannot be activated... I added 500/- in the
                  wallet but at the time of placinf order and making payment
                  there is no option of selecting zepto cash balance... Neither
                  I can withdraw my cash nor use to make purchases .. very
                  disappointed... I downloaded this app since i got a good
                  review but unfortunately very u happy with this app... My
                  Money is blocked with zepto... Kindly refund my money to my
                  sourse account... Or ki dly activate my wallet immediately...
                  Waiting for a quick response</t>
  </si>
  <si>
    <t xml:space="preserve">Be careful while checkout. Zepto charges handling fee 3x
                  higher than similar apps. It took me 15 mins to figure out
                  hidden 'Handling Charge' â‚¹15.99. They are not taking delivery
                  charges to Months pass customers still ordering at other sites
                  is cheaper. Swiggy and Blinkit genuily shows del chrg,
                  handling chrg etc and most importantly doesn't have Surge
                  Change concept.</t>
  </si>
  <si>
    <t xml:space="preserve">I have 50rs in wallet and i cant place a order via wallet. And
                  most of the time it shows heavy traffic as more people are
                  using please try again after some time but at the same time
                  another person sitting behind me makes a order via wallet.
                  Worst app that manipulates the peoples by giving free cash
                  just to tease them. Please keep your free cash with you and
                  guide me to delete my account.i have already emailed and still
                  no one is able to help instead bluntly insisted to delete the
                  account.#shame</t>
  </si>
  <si>
    <t xml:space="preserve">This is very wrong thing you have done you added cash to my
                  wallet firstly you showed the expire date is 5 November 2025
                  &amp; today I have to buy some product I check my wallet the
                  the cash is expired if you don't have to give money to your
                  users don't give but don't show hopes to them. This is not
                  acceptable g very bad thing you have done with your customer</t>
  </si>
  <si>
    <t xml:space="preserve">Fools customers giving money in wallet, which is useless most
                  of the times, . Money shows in wallet but not able to use
                  while payments. Also delivery times which shows is fake all
                  the times, it shows 7-8 minutes and takes more than 20-25
                  minutes, atleast it should show the real timings</t>
  </si>
  <si>
    <t xml:space="preserve">Please use a bag to deliver items and seal it as you claim in
                  your support chat. My very first order and the delivery boy
                  handed me items one by one. He left out one item, stating the
                  item was cancelled. On insisiting that it was being shown as
                  delivered, he said he would check it out and left. After
                  waiting for quite some time, I raised a complain and you guys
                  closed it stating that it was delivered in "sealed package".
                  End of support. Pathetic. And do you use bots claming to be
                  human?</t>
  </si>
  <si>
    <t xml:space="preserve">I am giving 5 star for their superfast delivery. How it
                  possible within 15 minutes they packing the items and deliver
                  at location. Vegetable order is full on luck basis but grocery
                  and good. Emergency situation it is very helpful. Today itself
                  i have ordered 2 times. Both deliverd within 10 min. I have
                  been ordering grocery from flipkart grocery. It deliver only
                  next day.now i will use zepto only for same day delivery</t>
  </si>
  <si>
    <t xml:space="preserve">I recently start using this app after delivering a baby. And I
                  found it very useful for ordering vegetables and other
                  products because delivery is super fast. I also tried zepto
                  caffe and it's amazing. Food quality is up to the mark I can
                  say . It's chicken puff , moong daal halwa and other bakery
                  products. May be am going to use this app for my future
                  orders. Thanks !</t>
  </si>
  <si>
    <t xml:space="preserve">Customer service is worst. The item is not delivered but it's
                  showing delivered in the app . The rider also didn't pick the
                  call. I tried reaching customer service but they hung the
                  call.</t>
  </si>
  <si>
    <t xml:space="preserve">Whilst the app side is fine... the customer service and
                  misinformation selling is ridiculous. Complete untrained staff
                  in customer service. They sell perishable items online without
                  mentioning the use by date. Then you are left to fight it out
                  after you receive stale products.</t>
  </si>
  <si>
    <t xml:space="preserve">I had a disappointing experience with Zepto. I ordered ice
                  cream, but the delivery partner informed me it had melted and
                  wouldnâ€™t be in good condition to deliver. He suggested that I
                  cancel the order, so I agreed. However, itâ€™s now been five
                  days, and I still havenâ€™t received my refund. Each time I
                  contact customer support, they repeat the same messageâ€”that
                  the refund will be processed in a few business days. This
                  delay and lack of clear communication is really frustrating. I
                  hope Zepto improves</t>
  </si>
  <si>
    <t xml:space="preserve">I was happy with Zepto till last week when they suddenly
                  stopped the Cash on Delivery option as i hate online payments
                  as there is always a hitch sometime or the other, so have
                  stopped buying from them although they have good options on
                  frozen chicken stuff. Please get the cash on the delivery
                  option back again</t>
  </si>
  <si>
    <t xml:space="preserve">I had very bad exprience.i had some balance in my wallet and
                  was showing that you can use the in the order.i orderd
                  something and paid directly from upi except from my wallet.but
                  once the payment was done via upi ,the wallet balance
                  expired.This is shadow business.this is called deceiving
                  tactics and not sustainable. Hope zepto will resolve my issue
                  asap.</t>
  </si>
  <si>
    <t xml:space="preserve">you never get payment options worst app to use they have
                  segragTed to super saver and normal but none have payment
                  options which lead you to go out from checkout everyday it's
                  the same also no way to reach out to the customer support</t>
  </si>
  <si>
    <t xml:space="preserve">What's this with wallet being blocked due to high demand.
                  What's the use of the wallet cashback if I am not able to use
                  it. Whenever I try to order anything it shows wallet has been
                  blocked everytime, is it a new update which doesn't allow the
                  user to use the wallet cash</t>
  </si>
  <si>
    <t xml:space="preserve">The customer service has difficulty understanding the problem
                  and keeps repeating the same thing. Bad quality vegetables are
                  delivered in 13 mins!!! I would rather go for the other ones</t>
  </si>
  <si>
    <t xml:space="preserve">First time user here! Couldn't believe my ears when the
                  doorbell rang in 5 minutes. I can see myself hooked to Zepto!
                  The app itself was a little slow, with 'zepto is not
                  responding' messages appearing ever so often.</t>
  </si>
  <si>
    <t xml:space="preserve">Fraud app! They are adding wallet balance in your account,
                  showing that it will expire November 2025. Then the amount
                  expired automatically in 1 day... Their customer service is
                  worst, they just say they can't do anything about it.</t>
  </si>
  <si>
    <t xml:space="preserve">This is the slowest app in its category. Delay in selecting
                  items irritates customers a lot. Even though this problem has
                  been there since the beginning, the product team remains
                  silent.</t>
  </si>
  <si>
    <t xml:space="preserve">the most pathetic app the worst app really very service , pls
                  don't use this app sincere request to all , can't even the
                  cancel the order within seconds of placing, no proper service
                  provided no wasto contact customer care , better to use other
                  apps at this point , this is repeating more than 4 times now</t>
  </si>
  <si>
    <t xml:space="preserve">While application download asking for current location, I have
                  updated many times location , even though I updated manual
                  address but apps not able to continue wayforward...am stopped
                  at starting point...not able to use and see the what is the
                  zeptoðŸ˜’ðŸ˜­</t>
  </si>
  <si>
    <t xml:space="preserve">Scam app. Doesn't deliver products but charges money in
                  advance. Look at other reviews as well Edit : they spam you
                  with messages even when you unsubscribe. This is the worst
                  experience I've ever had with a grocery/delivery app.</t>
  </si>
  <si>
    <t xml:space="preserve">Zepto send me a defected piece and when I asked for a refund,
                  they said to wait for a moment while they connect me to their
                  assistant or whatever, they did not connect me to anyone and
                  neither I got a opportunity to talk to anyone. The customer
                  support just stopped replying and then themselves closed the
                  chat. It is funny how this app is rated 4.7 stars. You don't
                  deserve it bruh... I am so sad that I do not have an option to
                  give you 0 star and even minus. I truly wish I could do that.</t>
  </si>
  <si>
    <t xml:space="preserve">Ancient app. Lacks location tracking and relies on telepathic
                  drivers who are supposed to magically figure out the location
                  (most of the time they can't).</t>
  </si>
  <si>
    <t xml:space="preserve">Wallet amount not showing ..fake app. Even though we register
                  our compliments the team does take any action .I lost my
                  amount of rupees 135 wallet amount. I would rather use swiggy
                  instent Mart than this fake app. I have shared the details
                  with zeptonow , but no action where taken . Please don't
                  install this app for wallet cash offer .</t>
  </si>
  <si>
    <t xml:space="preserve">THEY SEND ROTTEN PRODUCTS Ordered few items, one of them was
                  paneer and it was rotten (tasted badly soured even when it was
                  expiring in a month but perhaps they kept unrefrigerated in
                  heat and later put it in fridge), It was not consumable so
                  threw it. Sent them pic of it thrown in dustbin but they
                  emailed back stating they want more pictures. I told them not
                  to email back and keep the money ðŸ˜‚. Horrible Zepto and bad
                  customer service.</t>
  </si>
  <si>
    <t xml:space="preserve">Placed an order and it shows the estimated time 20 mins. Aftet
                  15 mins again changed the eta to another 20 mins. After one
                  hour contacted customer care they asked me to cancel the
                  order. Very fraustrated If not able to deliver why it shows
                  fake estimation and after 1 hour asked to cancel. Worst
                  service</t>
  </si>
  <si>
    <t xml:space="preserve">The worst in delivery. They tell you a stipulated time but do
                  not follow it you are also unable to track your delivery. The
                  delivery will show arriving in 5 mins for the past 30 mins.
                  You also cannot contact the customer service to ask about your
                  delivery as they have automated responses.</t>
  </si>
  <si>
    <t xml:space="preserve">It's good service wise but your marketing practices are so
                  bad. It adds cash to your zepto wallet but on checkout doesnt
                  allow you to use the cash and then the cash expires. Very
                  disappointed with these cheap tricks. Otherwise a good
                  service.</t>
  </si>
  <si>
    <t xml:space="preserve">Worst app ever I wanted to order Nutella which was worth rs
                  183 and while doing payment it's showing 190.47. for what you
                  people are taking 7.47 more. If you people can't be loyal then
                  close your shops. Each and every time I want to order
                  something you people take more amount. Even free delivery was
                  written. Don't even wanted to give star. Fake peoples... Not
                  even cod option is there.</t>
  </si>
  <si>
    <t xml:space="preserve">Overall the experience was good but, this time I am facing a
                  major problem in using zepto free cash. It is showing In my
                  balance but when I order something then it is not showing,
                  please solve this problem as early as possible.</t>
  </si>
  <si>
    <t xml:space="preserve">Worst experience using zepto. They cannot deliver products
                  undamaged. And refuse to refund or replace according to their
                  own convenience. Their customer support does not reply via
                  call, chat or email. They refunded my money in zepto cash and
                  i could not use that amount. Worst case of customer service
                  ever. Do not waste money here.</t>
  </si>
  <si>
    <t xml:space="preserve">I want to refer somebody this app, but I am not able to coz I
                  don't see any tab or option for referral. I even updated the
                  app but its not visible. I can't even reach support team
                  directly. It's very frustrating.</t>
  </si>
  <si>
    <t xml:space="preserve">When ever I try to order something it's also adding surge fee
                  due to high demand. But it's not possible every time it's high
                  demand. If you have lots of order then increase your
                  resources. Very experience.</t>
  </si>
  <si>
    <t xml:space="preserve">Payment systems needs a thorough relook, products returned due
                  to bad quality or bad delivery is always a suspense. While
                  reaching customer care is one daunting task. I am not sure
                  weather they really have a customer care executive to solve
                  problems or just a recording "all our executives attending
                  other customers"</t>
  </si>
  <si>
    <t xml:space="preserve">Just installed application and I got 125 rs in Zepto cash but
                  I am unable to use because Zepto cash option not showing while
                  I'm ordering anything. I request you Zepto team please help me
                  out for this. I already reinstalled application and also
                  deleted account and re-registerd but still not showing. I
                  already sent you on mail this issue but not responding. I
                  request you to please help me out for this. Thanks</t>
  </si>
  <si>
    <t xml:space="preserve">this app is a revolution in this era. I have used many grocery
                  app. but it's unique. whether you are stuck in emergency or
                  you want to buy on daily basis u get in 10 minutes. always you
                  get fresh product with reasonable rate. I recommend this app.
                  to all. Big thanks Zepto.</t>
  </si>
  <si>
    <t xml:space="preserve">Free delivery not auto applied despite having a paid
                  membership; item totals don't add up. Kudos to the spineless
                  UX team. Update: Thanks for the lousy canned reply on the
                  unpleasant experience. The review is self explanatory. Enough
                  tweets echoing the same.</t>
  </si>
  <si>
    <t xml:space="preserve">To hell with this app.. please fire your App Developer as soon
                  as you see this... customer care is a joke... can't even
                  contact them in chat .. a single mis click and order is
                  placed..and can't even cancel right after placing order by
                  mistake... worst app worst experience..what is this zepto
                  credit is for when you can't use them ...zero stars</t>
  </si>
  <si>
    <t xml:space="preserve">Free delivery is not applied by default, we have click apply
                  to add it. If i miss it there is no option for help as well.
                  This is disgusting. I will never use this app again. You lost
                  a loyal customer</t>
  </si>
  <si>
    <t xml:space="preserve">Third class app Today my son mistakely placed order So Im
                  tried many times to cancel my order bug I siding happened ..
                  they are just giving an option to cancel the order but it was
                  nog happened .... They just given the option for cancellation
                  of order So I want my money return.</t>
  </si>
  <si>
    <t xml:space="preserve">It's really worse. I can't use my wallet cash of zepto. It's
                  showing unavailable in my location though my friend can use it
                  easily. For her the same location is available but not for me.
                  They should treat everyone equally.</t>
  </si>
  <si>
    <t xml:space="preserve">The free wallet cash that the app gives when we create an
                  account and subscribe to its zepto pass isn't working it says
                  the pass expires on 8th October 2025 but then it show that the
                  pass is expired and can't be used on 10th October 2024 I have
                  tried to use the waller cash on the same day that is 8th of
                  October but that time also it didn't work.Please fix this
                  issue as soon as possible</t>
  </si>
  <si>
    <t xml:space="preserve">I ordered specifically to us my zepto cash, though I selected
                  to use zepto cash the order went through with out using zepto
                  cash and I ended up paying from my pocket...Worst part is I
                  can't cancel order and there is no way to reach customer care
                  team because the chat bot will only allow u to select the
                  options it gives you.</t>
  </si>
  <si>
    <t xml:space="preserve">I'm writing to express my severe dissatisfaction with Zepto's
                  customer service. As a long-time customer, I've always been
                  impressed by their service. However, my recent experience has
                  been quite disappointing. I had to return a product for a
                  legitimate reason, but Zepto refused to address my issue. This
                  lack of respect for a loyal customer is unacceptable. As a
                  result, I and my family will no longer be using Zepto.</t>
  </si>
  <si>
    <t xml:space="preserve">Firstly it was very worthy but now it's totally Worst and
                  useless...wish I could give ZERO. 1)Selling Expired product.
                  2)No proper customer support. 3)Delivery person asking to
                  cancel order as having issues with zepto something.</t>
  </si>
  <si>
    <t xml:space="preserve">This delivery app provides appalling service. They exploit
                  customers, particularly in metropolitan cities, where people
                  are busy and underpaid. Zepto offers minimal discounts
                  (â‚¹10-50) only for the first two purchases, then bombards users
                  with popup ads for items readily available at nearby shops,
                  charging extra (â‚¹20+) for delivery. Delivery personnel, often
                  unemployed, recklessly ride bikes to meet tight deadlines,
                  putting their lives at risk without insurance or adequate
                  compensation.</t>
  </si>
  <si>
    <t xml:space="preserve">App is too lagging and it doesn't even allow me to login....am
                  very frustrated right now if you don't know how to manage a
                  application then Don't do it.......worse application due to
                  lagging interface and application crashing</t>
  </si>
  <si>
    <t xml:space="preserve">It shows you have 50 rupees free in your zepto wallet but in
                  my cart it is saying you have to place atleast two orders two
                  use them than I placed 2 orders but it is showing you have to
                  place 3 orders so , I placed 3 orders but it again showing you
                  can use it on your 10 th order than on my 11 orders it showing
                  you can use it on your 19 th order but it is showing again you
                  can use it on 25 orders !!!! Zero point zero rating for zepto
                  If you have to waste your money and time than download zepto
                  !!!</t>
  </si>
  <si>
    <t xml:space="preserve">I am not able to use the wallet amount n COD service, even
                  after placing so many complaints the team is only replying
                  that they don't know when the sevice of wallet/COD will the
                  start and they ask to use online payment option, my point is
                  when I have amount in my wallet why should still pay online.
                  the customer service team isn't helpful at all.</t>
  </si>
  <si>
    <t xml:space="preserve">This version is very poor, doesn't provide any support on what
                  you need. Can select only from the FAQs. No contact
                  information for customer support. It's difficult to find link
                  to make payments.</t>
  </si>
  <si>
    <t xml:space="preserve">Very bad app...since you can not cancel order even within 10
                  seconds of your order placing...It also sometimes does not
                  show you payment options and once you place this you cannot
                  cancel it.</t>
  </si>
  <si>
    <t xml:space="preserve">Biggest scam!! 2-3months ago they used to give what they
                  promised in the add but now the 50â‚¹ they give expires after
                  first order and we can only use it after 2 orders and platform
                  fees is 10â‚¹ so it's becomes more than the MRP. Then when I
                  contacted the customer service about the zepto cash they were
                  rude and said that they reserve the right to take back the
                  zepto cash. Biggest scam.Don't download this app, they're just
                  looting us instead use reliance smart they give huge discounts
                  and rone point</t>
  </si>
  <si>
    <t xml:space="preserve">Zepto = Pleasant Surprise! Right from the packaging to the
                  seamless delivery and even loads of food options to choose
                  from, is there anything Zepto can't do! I'm a fan already, top
                  recommended app for so many useful conveniences.</t>
  </si>
  <si>
    <t xml:space="preserve">Initially they will provide huge discounts (actually your
                  first 3orders). Then the rates will be so high that it will
                  often exceed the printed price. They will give the discounts
                  and then So much delivery charges, card charges will increase
                  the price of the goods. It's better yo buy offline !!!</t>
  </si>
  <si>
    <t xml:space="preserve">It shows that I would get certain percent discount and ordered
                  the product but when the product was ordered the amount to be
                  paid showed without the discount and the delivery guy was
                  asking us to pay that much, it's a fraudulent app and the
                  delivery charges are very high as well.</t>
  </si>
  <si>
    <t xml:space="preserve">One of the worst experience with zepto is... Whenever I open
                  the app to order something it shows the popup of zepto cash of
                  75 or 125 rs. But when I try to see it in my wallet there is
                  no such cash in my wallet. If there is no amount in the wallet
                  then please stop sending push notifications and WhatsApp
                  messages regarding those zepto cash it's really annoying.</t>
  </si>
  <si>
    <t xml:space="preserve">I had a very bad experience with the app . I had Zepto money
                  that I couldn't use, and it expired automatically. It was
                  supposed to be applicable to my next order, but that didn't
                  happen. Overall, it has been a disappointing experience.</t>
  </si>
  <si>
    <t xml:space="preserve">The surge fee is applied 24/7. How is the demand so high all
                  the time that there is always surge fee? Zepto Pass is also of
                  no use in this aspect. Other delivery apps seem like a better
                  option currently.</t>
  </si>
  <si>
    <t xml:space="preserve">It is a very strange app, my Zepto wallet has been deactivated
                  or told that after placing 2 orders it will be activated
                  again, I have sent many emails but no solution has been found
                  or even the mails are not being answered on time.</t>
  </si>
  <si>
    <t xml:space="preserve">First time I am too much disappointed with this delivery app.
                  They give a bait by sending message of zepto free cash which
                  is totally unusable. It will show on app that i have
                  promotional cash in wallet but at the time of placing order it
                  is not adjusted. Then what is the meaning of giving free cash.
                  Please don't do this type of fake advertisement.</t>
  </si>
  <si>
    <t xml:space="preserve">Terrible experience on Zepto. Got milk which was not stored
                  properly &amp; hence got spoilt on using it. Then got some
                  packaged milk peda which was old stock &amp; expired. Worst
                  part is their customer service is the so bad because you can
                  only connect to chat bots &amp; not live people No way to call
                  or get speedy resolutions on bad product received. Fed up
                  &amp; prefer Big Basket or Swiggy Instamart now. At least you
                  get resolutions or products exchanged if required on those
                  platforms</t>
  </si>
  <si>
    <t xml:space="preserve">Don't see any logic behind unnecessary calls and texts of
                  having money in wallet , but not allowing delhi ncr people to
                  avail. Plus the amount it shows before booking is different to
                  what it shows right before the payment.</t>
  </si>
  <si>
    <t xml:space="preserve">Fraudulent company. Just stared using this delivery
                  application and in my 3rd order they didn't deliver an item
                  and refused refund. Told me that order came in sealed package
                  but i shared the photo of it but they denied refund. Never
                  ordering again.</t>
  </si>
  <si>
    <t xml:space="preserve">The reason I was giving one star for this app. I have an issue
                  about zepto wallet cash the wallet cash they are giving for
                  customers is good. but later when they are giving zepto wallet
                  cash again I can't use that zepto wallet cash because it
                  wasn't showing me any option to pay through wallet.so pls
                  kindly solve my problem fastly so I can use your app.</t>
  </si>
  <si>
    <t xml:space="preserve">Earlier the location was not serviceable. Later they provided
                  the service, and after few days, it started saying not
                  available due to traffic congestion whereas the others like
                  BlinkIt and Swiggy InstaMart was delivering the items in 10-12
                  minutes. Now, past few days, it is showing Store is closed.
                  One click and uninstalled!</t>
  </si>
  <si>
    <t xml:space="preserve">I have 250rs in my Zepto cash wallet. But since last month
                  they are not getting option to use. No matter how many times I
                  mailed the customer support, there is no reply from them. Nor
                  do they have any customer care number on which we can call and
                  resolve it.</t>
  </si>
  <si>
    <t xml:space="preserve">Worst costumer service ever. Mistakenly ordered wrong product
                  so their chat support team first said they going to arrange
                  pickup and refund for the same but then no come to pickup the
                  product so I connect again then again chat support team said
                  they don't have any refund policy so I ask for costomer
                  support number but customer support agent greets me on the
                  call the no response and also disconnected the call from there
                  end 2 times.</t>
  </si>
  <si>
    <t xml:space="preserve">Horrible experience here in Kolkata. They are delivering
                  ordinary items in the name of super quality items with double
                  the price. Escalating the issue, they completely denied such
                  thing and refused to refund or replacement. This is FRAUD app.
                  Don't buy here.</t>
  </si>
  <si>
    <t xml:space="preserve">I live in Bangalore. I have 101 rs in zepto wallet but I am
                  not able to use that. I have to pay entire amount, then what's
                  the use of providing or adding wallet cash. I got some
                  vouchers from gpay but when I tried to claim those , it's
                  showing not available right now. All my wallet cash got
                  expired like this way. The wallet cash is a hoax as you won't
                  be able to use it.</t>
  </si>
  <si>
    <t xml:space="preserve">Beware! This app gathers your device info and modifies the
                  minimum order amount on the super saver option based on the
                  price of the phone you use. I'm shown a minimum of Rs 1999 to
                  place an order on my Z Flip5 vs. Rs 899 on my wife's Pixel 7.
                  Both of us have Zepto pass.</t>
  </si>
  <si>
    <t xml:space="preserve">Zepto has made joke of their words..I have purchased a pass
                  for one month of free delivery.. Now when I am ordering it the
                  amount in the billing is higher than the product as the amount
                  contain handling charges.. U are not taking delivery but in
                  the name of handling charges... Cheating</t>
  </si>
  <si>
    <t xml:space="preserve">Everything is good on Zepto, the price is also okay but I
                  don't understand that when I order and I get a message from
                  zepto , that I have received free cash, how does my Zepto
                  wallet remain 0 When my order was delayed, I messaged on the
                  help number and they asked me to cancel the order. I did the
                  same but I did not get my full refund, only half the refund .
                  Disappointed</t>
  </si>
  <si>
    <t xml:space="preserve">They are just scammers. Here is the story - I ordered Status
                  said that it will deliver in 8 minutes 17 minutes passed, I
                  called delivery guy, he said will reach in 2 minutes after 3
                  minutes, the status was showing that order has already
                  delivered, but I didn't receive it. I called the delivery guy
                  again , he said that by mistake he delivered to the wrong guy.
                  and will come in few minutes after collecting the order from
                  that guy. then 10 minutes passed and I called again and then
                  he abused.</t>
  </si>
  <si>
    <t xml:space="preserve">Was not able to order for a different address. The app showed
                  that I was ina different location when entered the current
                  location it was not taking the address and said to change the
                  address on the home screen. But the address was the same.</t>
  </si>
  <si>
    <t xml:space="preserve">They cancel the order without asking, it is a very bad app,
                  very bad app. If you call the riders they disconnect the phone
                  and there is no customer support.</t>
  </si>
  <si>
    <t xml:space="preserve">This is the worst app I had seen ever. They deliver wrong
                  items and when I talk to customer care, they start making
                  excuses instead of exchanging the product. The product is
                  delivered is around 40-45 minutes &amp; when I told to
                  delivery boy that the product is wrong &amp; I don't want
                  this, then the delivery boy said "Please take the delivery and
                  complain to the customer care regarding this" , I take the
                  delivery because I have paid money online not Cash on
                  delivery. They make me fool.</t>
  </si>
  <si>
    <t xml:space="preserve">I don't also want to give one star also but to write review I
                  have give at least one star also so this app is riddiculas
                  because I have 100 ruppes in my zepto wallet but it is always
                  showing unavalaible so is there is any technical issue or
                  zepto is doing this kind of things with me only because all my
                  relatives can use the zepto wallet it is only showing
                  technical issue with my account I have â‚¹100 but i can't use it
                  so please do something</t>
  </si>
  <si>
    <t xml:space="preserve">The worst app i have ever experienced they show us zepto cash
                  option to redeem but when u redeem it and order they show the
                  actual price without using zepto cash and ask for the price.
                  The zepto cash option is absolutely fake. Never ever use this
                  app for deliveries</t>
  </si>
  <si>
    <t xml:space="preserve">The app offers free cash time to time but you are never
                  allowed to use it. It continuously says "use it on next order"
                  but it never works on the next order. When I reached out to
                  the support they said it is our promotion we can expire it as
                  we like. Absolutely worst experience ever.</t>
  </si>
  <si>
    <t xml:space="preserve">Zepto is highly recommended for anyone looking for fast,
                  reliable, and efficient grocery delivery. Its ease of use,
                  quality products, and speed of service make it a standout app
                  in the competitive grocery delivery market.</t>
  </si>
  <si>
    <t xml:space="preserve">It's amazing and super. Delivery is very very very fast. I am
                  so happy with this app and I think it's my best experience
                  ever. It's very helpful in emergency situation. I suggest
                  people to use this app and save your time.</t>
  </si>
  <si>
    <t xml:space="preserve">It's a comple scam app. To all users reading this review,
                  please manually calculate the total. These people jack up the
                  total amount by 10-15 rs and we cannot see the breakup unless
                  we specifically check for it . This way daily they are looting
                  crores. I would recommend everyone to stay away from this app.
                  Uninstalled today(4 dec). The same case is available on reddit
                  and over the internet. Also they jack up prices for higher
                  cost mobile phones. Nobody replied from the customer care.</t>
  </si>
  <si>
    <t xml:space="preserve">One day I needed snacks immediately but the zepto wallet cash
                  option was not showing in my area(Mumbai).No matter how much I
                  tried it won't work. I tried to place order and cancel to see
                  if it would work but after I placed the order i couldn't
                  cancel again.At that time I was going out of Mumbai so the
                  wallet cash was not going to work later.so I wanted to use it
                  before going.Now I couldn't use the wallet cash and lost
                  300.it would be good if there was an option to transfer the
                  money into my acc</t>
  </si>
  <si>
    <t xml:space="preserve">Service is not in my area it's ok but when I start to use app
                  automatically logout every time. When I change my location
                  logou. I'm going to view product logout.</t>
  </si>
  <si>
    <t xml:space="preserve">Zepto lures the customers by giving free cash but when you
                  login they say the zepto wallet cash is unavailable, customer
                  care associate say to order 2 times then it will be available
                  but after ordering 2 times it is not available,so i suggest
                  that dont download this fraud app which lures the customer
                  into its trap.</t>
  </si>
  <si>
    <t xml:space="preserve">This app is the worst..they gave me a bunch of rotten produce
                  and even after submitting clear images they were stalling
                  asking for a jpg format... and saying the images were not
                  clear.. such bad experience..never again will use this app.</t>
  </si>
  <si>
    <t xml:space="preserve">this is my second order but I had an issiue with order ,
                  customer service is really appreciated! I have received my
                  same item as replace order within 10 mins which is really
                  awesome! unlike zomato&amp; swiggy they waste simply customer
                  time instead of solving problem that caused to customer. keep
                  it up!!! thumbs up ðŸ‘</t>
  </si>
  <si>
    <t xml:space="preserve">Even after continuous follow up and submitting all essential
                  document, request for, till today I do not received my excess
                  payment of Rs.195.00 or do not received any confirmation of
                  excess amount received. In every correspondent only ask fir
                  product image and bank statement or dome times aware me that
                  you are not paid for your cancelled order. I know that I
                  didn't pay for cancelled order. I choose option of COD and
                  pain by using Upi which delivery boy said not received but
                  deducted from my ban</t>
  </si>
  <si>
    <t xml:space="preserve">This app deposits money in your wallet but when you go to
                  purchase any product, you will not be able to use that money.
                  Because of this you waist your time , better you go to near by
                  shop and purchase that product. 1 month membership is also
                  scam not all products are included in it</t>
  </si>
  <si>
    <t xml:space="preserve">doesn't like the photograph at the time of delivery. whatever
                  you have ordered, first you have to spread it on flat surface,
                  it can be floor or sofa or bed then delivery boy will take the
                  photos of that. very creepy.. suppose I ordred some personal
                  stuff then? sorry but not going to order with Zepto further
                  despite expensive products on other platform.</t>
  </si>
  <si>
    <t xml:space="preserve">Almost , always fully priced, no discounts, no offers, and
                  mostly old stock &amp; near expiry products.. AVOID.. Instead
                  Try &amp; opt for FLIPKART MINUTES, all items / products
                  fresh, hugely discounted prices, free delivery above 99/- ,
                  just Rs. 5/- platform fee.. No other fees..</t>
  </si>
  <si>
    <t xml:space="preserve">Delivered damaged item, asked for replacement. Replaced item
                  is also damaged. The deliver person is insisted me to accept
                  the product and rise replacement again in customer care. Chat
                  support is very worst. Taking 20 min for 1 reply. If you want
                  any refund or replacement, you have to spend half day with
                  them and finally that will not happen.</t>
  </si>
  <si>
    <t xml:space="preserve">They gave me a coupon worth rs. 100 applicable on 2nd order
                  (validity 1 year). After 1st order the coupon expired without
                  being used (within validity period) . They use shameless
                  tactics to provoke customers to place order.</t>
  </si>
  <si>
    <t xml:space="preserve">It has been a month since I downloaded the Zepto app and
                  within a month the sites have stopped giving me coupons. While
                  I always used to place orders above 300 and people around me
                  and my friend circle used to place orders after getting coupon
                  for less than â‚¹100 or â‚¹100. But still the sites are getting
                  coupons every week. Why is this so? I mailed and called also
                  but to no avail.</t>
  </si>
  <si>
    <t xml:space="preserve">The zepto cash loaded in my wallet is unusable. There is no
                  option to use it during payments. Its just a SCAM! Also, till
                  today I didn't receive any response to my complaint email send
                  months back. There is no option to chat or call customer care
                  in the app. No customer support.</t>
  </si>
  <si>
    <t xml:space="preserve">The product ordered was different as compared to the delivered
                  product. The customer care service is very bad and slow.
                  Deleting the app will try blink it.</t>
  </si>
  <si>
    <t xml:space="preserve">Very very very bad experience, U ppl took my money granted,
                  I'll share the screenshot of my issue I had in chat Zepto
                  bluffers!!! Also don't believe the number of minutes they
                  mention in the app, please order on COD basis, if u prepay ur
                  order n upon cancellation of the same from Zepto then for sure
                  they won't give ur money back even if the mistake is from
                  their side</t>
  </si>
  <si>
    <t xml:space="preserve">They will give 125 cash in your wallet and if we place order
                  then it will not be deducted from wallet. I have called
                  customer care then they are saying after placing 2 successful
                  orders then I'm bale to use this cash from wallet. But after
                  placing the first order my cash got expired from the wallet.
                  And these idiots will not mention any where about these rules.
                  And also these idiots will give an checkbox option to use the
                  cash from wallet in the first order it self. Totally scam</t>
  </si>
  <si>
    <t xml:space="preserve">I am writing to bring to your attention an issue I am facing
                  with my Zepto wallet. I have noticed that I am unable to use
                  my Zepto wallet cash while making a purchase, as the option to
                  select it is not visible during the checkout process. Could
                  you please look into this matter and advise on how I can
                  resolve this issue? I would appreciate any guidance or
                  assistance you can provide.</t>
  </si>
  <si>
    <t xml:space="preserve">my experience with zepto is very good ðŸ‘ .its my 1st
                  experience to by something online, i always scared to shoping
                  online ðŸ™ƒ but with zepto i enjoy every time and yes its credit
                  to zepto for encouraging me for online shoping and daily gives
                  me coupons and other gifts for shoping. thank you so much for
                  good experience. and not to forget to thanx our delivery
                  partners ðŸ˜Š. keep growing ðŸ‘ zepto.</t>
  </si>
  <si>
    <t xml:space="preserve">very good.and fast delivery of the time and TnC apply. Check
                  the ETA before placing the order INTRODUCING: ZEPTO PASS We're
                  here to make you feel special: Get 20% off* on every order
                  &amp; unlimited free delivery on orders over â‚¹99. Earlier,
                  when you wanted to buy groceries it meant rushing from work,
                  queuing up for payments, spending hours finding those fresh
                  groceries, and getting home exhausted. Or, you would buy
                  groceries online and wait for days to enjoy the perks of
                  doorstep delivery. We</t>
  </si>
  <si>
    <t xml:space="preserve">Fraudulent app, extra additions to cart, no transparency in
                  billing and differential pricing by sudden changes even though
                  same place, same model of phone and same time. I have already
                  given you all details on your twitter DM, you chose to ignore.</t>
  </si>
  <si>
    <t xml:space="preserve">Worst experience.. one item was missing in my order and when I
                  informed it to the delivery boy he told he'll check and bring
                  the missing item..after sometime when I tried to contact ,call
                  was not connecting and from zepto it was saying that I'm
                  calling from an unregistered number</t>
  </si>
  <si>
    <t xml:space="preserve">It's very irritating app, you don't get my location and keep
                  sending notifications.it really really disturbing. I placed
                  order so many times everytime you can't find my location gk3ðŸ˜³
                  very irritating</t>
  </si>
  <si>
    <t xml:space="preserve">For delivering damaged products to a horrible customer care
                  service, Zepto's quality is going downward. Offering Zepto
                  pass at 9 will not help if the service and products are so
                  bad. No privacy for the orders, as the delivery executive
                  takes a picture of the product front of you. No zepto bags
                  even tho it's not opted out. Folks will eventually stop using
                  Zepto if this continues.</t>
  </si>
  <si>
    <t xml:space="preserve">Very worst service they will give expired curd or expiring on
                  before 3 hours this type of service is there and also bottle
                  shampoo is worst packaging it is broken and also quality and
                  quantity is very less and it is mixed with water very worst
                  and also replacement will be cancelled automatically they even
                  didn't contact me very worst experience</t>
  </si>
  <si>
    <t xml:space="preserve">It's a very bad app. There is no exchange and refund thing in
                  this app. I ordered something wrong by mistake. When I asked
                  them to exchange the product, they said they can't because you
                  ordered this as per our records.</t>
  </si>
  <si>
    <t xml:space="preserve">I had raised a refund request and still not got my refund but
                  Zepto app is showing that it's been credited when in reality
                  it has not. I'm trying to reach out to support but nobody ever
                  picks up the calls and I'm also not getting option to start a
                  chat as that screen is frozen. I have written an email but no
                  response from there too.</t>
  </si>
  <si>
    <t xml:space="preserve">They Just Advertise ...i have placed two orders .i have
                  received on time however they did not give any Diwali box .
                  Please Stop promoting misleading Ads , I have received a
                  response stating bill amount should be above 499 and gift box
                  should be added to cart ...even after adding products worth
                  800rs .there is no such option .</t>
  </si>
  <si>
    <t xml:space="preserve">I'm extremely satisfied with this app for online delivery of
                  daily home essentials. They consistently deliver on time,
                  meeting their promised schedules. The online delivery service
                  is excellent, and I'm impressed with the efficiency. In my
                  area, most orders are delivered within an astonishing 10
                  minutes.</t>
  </si>
  <si>
    <t xml:space="preserve">Worst delivery online. I ordered for rs 1078 they cancelled
                  after 2.5 hrs for reasons only known to them and refund was
                  issued for only rs1072. They are robbing customers through
                  their new saver app. They also don't pick calls. And have set
                  replies when messages are sent through app.</t>
  </si>
  <si>
    <t xml:space="preserve">No service in terms of delivery. Very bad experience in terms
                  of timed delivery, whatever they promise never deliver.
                  Automatic cancels order. Very poor. Never going to recommend.
                  It don't even deserve 1 star</t>
  </si>
  <si>
    <t xml:space="preserve">This is the worst app in case of cancellation policy i have
                  placed an order and it's been 2 hours this 10 min app is
                  taking 2 hours to deliver me the order and even not cancelling
                  the order because they running late and even I don't have an
                  cancellation option too worst worst app don't download this
                  and also why the hell shop owners accept the order when they
                  don't have that items in stock and tell us to take something
                  different because we don't have cancellation policy ok zepto</t>
  </si>
  <si>
    <t xml:space="preserve">Wallet payment option is not visible I am a new user and
                  wanted to use the wallet option to as I have already added
                  money in that but it's not visible, this is a kind of bug
                  which needed to be fixed soon.</t>
  </si>
  <si>
    <t xml:space="preserve">Bad experience one of the worst apps on play store as I am
                  trying to reach support team but no one is responding from
                  last 30 min one more thing even after adding funds in wallet
                  we are not able to user our funds I thing this is one type of
                  digital robbery.</t>
  </si>
  <si>
    <t xml:space="preserve">I had used app when I happened to visit Mumbai in March April
                  2024,very happy with services. Later on I reached my home at
                  Jaipur and I stay at Malviya Nagar. Unfortunately at this
                  moment services are not there. I really feel very irritating
                  everyday I am getting message to use a discount coupon. I
                  really don't understand if a customer area there is no
                  services provided from your end,how can he use coupon. I
                  really appreciate your sincere followup with customer but try
                  to probe the cause.</t>
  </si>
  <si>
    <t xml:space="preserve">I hope this message finds you well. I recently downloaded your
                  app after seeing extensive advertisements about your services,
                  which highlighted fast delivery and a wide range of products.
                  However, despite being excited to use your service, I found
                  that Zepto is not currently available in my area. Could you
                  kindly provide some clarity on whether your service will be
                  expanding to my location soon, or if there are any other
                  options for me to access your platform?</t>
  </si>
  <si>
    <t xml:space="preserve">Worst when wanted to order something which is needed
                  immediately. Always show try again in 15 minutes not once but
                  every time I open it is showing try again later. What is use
                  of zepto pass and all if can't order when needed.</t>
  </si>
  <si>
    <t xml:space="preserve">Unable to contact support. No way to either chat or call the
                  customer support team. The support page gives automated
                  responses and no way to get an update on case of an order
                  delay as in my case.</t>
  </si>
  <si>
    <t xml:space="preserve">Worst app. NEVER USE ZEPTO. They are cheaters. They have kept
                  thieves for delivery. Their delivery boys will steal items and
                  zepto team will not respond to it. You will only end up
                  loosing your money in this app. Worst product quality. They
                  even deliver rotten fruits and vegetables. Cheats. The claim
                  of delivering in 10 minutes is a lie, a trap. They don't even
                  deliver products. The riders mark arrive after 5 minutes and
                  the app shows before time. Zepto team, be ready for some legal
                  firings.</t>
  </si>
  <si>
    <t xml:space="preserve">Doesn't deliver to my location I have been trying to tell them
                  to deliver at my location it's been two years and i am so
                  shocked that other apps have started to deliver at my location
                  but zepto dosent deliver . at first other apps also refused
                  but now they have started and i think it's been a year they
                  have started to deliver but zepto dosent deliver. I don't know
                  why but i think zepto dosent even deserve a star</t>
  </si>
  <si>
    <t xml:space="preserve">I live in Mumbai , I get all most of the stuff from zepto
                  after ordering the stuff zepto give me money wallet of rs 125
                  which is of no use because that wallet can be used to specific
                  place rather than in Mumbai or maharatha so that is of no use
                  and them also having strategi behind it this is so worts .
                  they should offer the wallet money in our location only were
                  we usually order it it's a request please make a improvement
                  on it ðŸ™</t>
  </si>
  <si>
    <t xml:space="preserve">Zepto takes 45 mins for delivery... Is this supposed to be a
                  quick delivery or some other app who give some realistic
                  timelines for delivery... Their competitors are much better..
                  I would not buy from them anymore</t>
  </si>
  <si>
    <t xml:space="preserve">Pathetic experience with them in my second order itself.
                  Received wrong item, returned but didn't get the refund.
                  Customer care is useless who keeps saying we will connect to a
                  specialist and cycle repeats. After wasting 2 hours with this
                  drama decided to not to order from them ever again.</t>
  </si>
  <si>
    <t xml:space="preserve">This app is a waste of time, i have ordered eggsðŸ¥š and milkðŸ„,
                  the eggs r outdated, when i boiled it the substance is getting
                  hard &amp; i can't able to eat itðŸ˜µâ€ðŸ’« my mom is telling me do
                  not order any items with that types of apps butðŸ™‚â€â†•ï¸ I've not
                  listen to her and i ordered milk today of 4 packets, the milk
                  substance is like over #thin like waterðŸ˜¤....... I just want
                  my refund of 4 packs of milk!</t>
  </si>
  <si>
    <t xml:space="preserve">Third class customer service. After asking issues multiple
                  times, they didn't response. Their customer service is very
                  poor. After clicking on help, whole app get stuck.</t>
  </si>
  <si>
    <t xml:space="preserve">I'm not satisfied with the Zepto. My personal experienced is
                  worst because of few reasons such as 1 The promise time for
                  delivery is less and actual timing id diffrent. 2 zno
                  professionalism. 3 They can't watch standard of Blinkit. 4
                  They took too much in delivery, They have delivered all my
                  orders but not in promised timing. I have received my last
                  order at time otherwise all orders took too much time.</t>
  </si>
  <si>
    <t xml:space="preserve">I like this app but giving a 3 star as could not return items
                  incase something ordered by mistake &amp; they will not accept
                  return even after immediately placing the order. Also there is
                  no way to put a review on the quality of products sold. One
                  such item is Badam which I ordered &amp; the product quality
                  is extremely bad most of it smells when eating.</t>
  </si>
  <si>
    <t xml:space="preserve">This app is doing fraud with wallet balance. I received
                  cashbach in wallet which expiry year is 2025, Today morning I
                  see, my wallet balance is expired atnight as on 22/11/2024 and
                  expiry date also shown changed. I have screenshoot for every
                  wallet balance/transactions with expiry date. Will be
                  highlight by social media within 1 days.</t>
  </si>
  <si>
    <t xml:space="preserve">They recently changed delivery time from 30 mins to less than
                  10 mins but now I am not getting Zepto Super Saver mode which
                  was really excellent for purchasing monthly ration and I
                  thought to myself instead of going to super market maybe I
                  will order from here but it seems when they changed the outlet
                  location the current outlet doesn't provide that Super saver
                  mode and has less stock compare to the other one</t>
  </si>
  <si>
    <t xml:space="preserve">Shows orders delivered without delivering the items. The
                  customer service is also worst. Need to improve the delivery
                  as well as customer service. I do not recommend this app</t>
  </si>
  <si>
    <t xml:space="preserve">Items are delivered on time within 10 minutes and delivery
                  guys are friendly. I would recommend to make this app more
                  intuitive and user friendly.</t>
  </si>
  <si>
    <t xml:space="preserve">Worst service ever .I have ordered a plant they sent a rotten
                  plant and have not even helped me with a returned even after
                  sharing the unboxing vdo . I already have shared this on the
                  provider email. I am not getting any option to share the
                  pictures here else I would have uploaded this is not only with
                  me this is with many people .</t>
  </si>
  <si>
    <t xml:space="preserve">Everytime I try order i have to pay the surge fee. Free
                  delivery above 99 is good but when u have to pay additional 60
                  due to surge fee for nothing it feels wrong. I just feel like
                  I am paying for a penalty i didn't deserve.</t>
  </si>
  <si>
    <t xml:space="preserve">They are making fools with the monthly pass. I have taken pass
                  But when I took few items and see my cart value it was 528 rs.
                  The same item when I took in my wife zepto account the price
                  was 488 rs. They are claiming free delivery above rs 99 but
                  when I saw my price break up they had added handling fee, rain
                  fee etc whereas in my wife zepto account these all fee were 0.
                  Me with pass I got the value of rs 528 whereas my wife without
                  pass she got 488 rs for the same products. Be careful wid pass</t>
  </si>
  <si>
    <t xml:space="preserve">UNRELIABLE! GPS issue App., delivery guy always reaches at new
                  wrong place.Zepto cancels order anytime.Doesn't have any
                  control over delivery. Botchat answers dumb. No way to connect
                  cheater customer service since there is no service at all.
                  Their delivery boys waste bags inspite of you opting out to
                  take those!. Delivery boys show up as arrived fake. All the
                  app is designed deliberately corrupt, will charge you under
                  unnecessary heads when there is no rain or any other illogic
                  expense excuse!</t>
  </si>
  <si>
    <t xml:space="preserve">Very unsatisfied, first time installing the app order placed
                  for â‚¹3500+ one missing product only of â‚¹56. Which the team
                  happened to remove later on and show it as 1st order cancelled
                  and 2nd order received where that particular product is
                  missing. Very unhappy 1â‚¹/50/100â‚¹ no app Or company has the
                  rights to not return of cut any extra money for product no
                  received. Uninstalling this app. Atleast the rep should
                  informe that amount was not deducted or it will be refunded.
                  Bad customer service.</t>
  </si>
  <si>
    <t xml:space="preserve">FRAUDS, SCAMMERS ,THEIFS L. Guys stop using this app . They
                  charge for a product and send a different product that has a
                  huge price difference. For eg if you order a dryer of 2000Rs
                  they will send dryer worth Rs600 and when you try to talk with
                  them they straight away denies for exchange or refund. These
                  guys are doing FRAUDS AND SCAMS.</t>
  </si>
  <si>
    <t xml:space="preserve">I ordered a edible product but while ordering i overlooked
                  sugar in the nutrition value so within 2 hours I had a chat
                  with representatives and he directly denied and not even
                  trying to take return. Zepto only delivers fast and if any
                  return (even if product is costly and unused) they will not
                  accept to take it back. -5 stars for their policy</t>
  </si>
  <si>
    <t xml:space="preserve">Fraudulent Company at Best. First provider me free zepto cash,
                  went to place an order but didn't allow me to use Zepto wallet
                  balance on my order. I tried to reach out to support got to
                  know that they didn't have one in place and they expect us to
                  email them every time. Any service without any cs should be
                  avoided always.</t>
  </si>
  <si>
    <t xml:space="preserve">I'm facing an issue. I can't find the Zepto wallet option
                  while paying for the products. I added cash to the wallet and
                  can't use it. This is noting but an attempt to harass your
                  customers.</t>
  </si>
  <si>
    <t xml:space="preserve">Very poor application. Please don't use this application, Very
                  bad customer support services and u order one u can not cancel
                  the order because company no given any option related to
                  cancel order. Very bad experience to so don't use this
                  application.ðŸ‘ŽðŸ»ðŸ‘ŽðŸ»ðŸ‘ŽðŸ» Add Option to better ur application 1.
                  Cancel order option. 2. Support communication team number.</t>
  </si>
  <si>
    <t xml:space="preserve">Zepto is charging higher than MRP. For example, If you add 2
                  amul gold milk of 66 rs and 2 amul gold milk of 33 rs. Total
                  item should cost 198. (It is MRP which means maximum retail
                  price). But zepto is showing 208 Rs as item cost. So we are
                  buying higher than MRP. After buying zepto pass they are
                  providing free delivery but actually they are charging in item
                  cost. Zepto should provide proper clarification on item cost
                  and handling and delivery. So I don't like this app due to
                  higher Item cost</t>
  </si>
  <si>
    <t xml:space="preserve">First and last experience with zepto truly fake I ordered at
                  10.31a.m but order says delivered but I didn't receive the
                  order customer support says I understand what you are saying.
                  However, as explained earlier, we will be unable to process
                  this refund/replacement for you based on the validation done
                  This is the answer I losss my 149 rs due to delivery person
                  delivered my order and taken customer support number is not
                  working it's says busy all time</t>
  </si>
  <si>
    <t xml:space="preserve">Product offerings are increasing and delivery is real fast,
                  but description is missing or irrelevant and incomplete for
                  most of the products at least 90% of the products. E.g. See
                  the product 'Bloom Anthurium Red Plant' and guess whether pot
                  is included in the product or not. Ane description says NA :)
                  And then they don't accept returns easily.</t>
  </si>
  <si>
    <t xml:space="preserve">I have ordered lifelong Induction oven. And delivered
                  defective item. When i call for return they picked up and
                  update that refund initiated and refund credited. But my
                  account showing no refund. You must refund my money. Upset
                  with zepto. Today is 7th day. Yet they didnot refund my money
                  back. I took this issue to Central consumer forum. Because
                  Zepto customer care called and said money ia already credited.
                  Complete lie. Fraud. Their money refund process is terrible
                  ðŸ˜”.</t>
  </si>
  <si>
    <t xml:space="preserve">Guyss please do not purchase clothes from zepto , They give
                  hige discounts on clothes and then deliver garbage with no
                  return or replacement policy even the size of the product
                  doesnt fit Even the customer support are not at all
                  supportive, they just say that we delivered the product now
                  its your headache.If the size of the product doesnt fits then
                  in other apps there is an option of replacement where you can
                  get it replaced but in zepto you do not get replaced There is
                  no option for half star</t>
  </si>
  <si>
    <t xml:space="preserve">Not happy with the misleading and misguiding product listing
                  of the product been sold by zepto due which coustomers are
                  facing issues it doesn't feel right to waste money on products
                  which are unsafe to use and are over priced than market and
                  after selling product with faulty description they are not
                  scheduling a return request too I wanted to return product
                  with in a hour</t>
  </si>
  <si>
    <t xml:space="preserve">A very good app but the only thing that's bugging me is that
                  I'm not able to access the zepto cash on the app, it shows
                  that I have around 75 rupees on my zepto acc but I can't seem
                  to access it. I've tried reinstalling the app around 5 times
                  but no use. And its been there since the day I installed it.
                  What do I do</t>
  </si>
  <si>
    <t xml:space="preserve">Diwali gift box advertised by zepto they removed it post
                  payment, they cancel it automatically without any warning
                  message. Automatically, new order with same items but gift box
                  flies away, you cannot guess how this app reacts, so horrible
                  interface that reacts unable to guess. Customer care says lot
                  of times eligibility needed for gift box but never say what it
                  is! If we go to report issues, they transferred chats to 4 to
                  6 people and played hide and seek to test your patience. Poor.</t>
  </si>
  <si>
    <t xml:space="preserve">Zepto is a life saver for me it always deliver order in time.
                  And the drawback is we can't cancel order once we booked other
                  all things are good</t>
  </si>
  <si>
    <t xml:space="preserve">I thought Zepto is here to beat blinkit. But was disappointed
                  with my very first order only. I have placed an order almost
                  half an hour ago and still waiting for my order to come. By
                  the way- delivery time shown to me was 13 mins. Not going to
                  order again from the app. Blinkit delivers in 4 mins at my
                  place.</t>
  </si>
  <si>
    <t xml:space="preserve">The app is not working. Have used it before but now everytime
                  and even on updating, I am getting the message that there's an
                  error and my address is unserviceable.</t>
  </si>
  <si>
    <t xml:space="preserve">There were some amount in my zepto wallet but I was unable to
                  use them at the time of payment and when I done the payment
                  without wallet points, those points automatically get expired
                  before the expiry date.</t>
  </si>
  <si>
    <t xml:space="preserve">Stupid App... Neither the wallet cash is available for use nor
                  the coupon codes are available for use. Every offer is fake,
                  except free delivery. Just don't make offers you can't commit.</t>
  </si>
  <si>
    <t xml:space="preserve">I've been their Zepto pass member, and ordering from it
                  regularly. This is about their pathetic and fraudulent
                  promise. They promise to give Diwali boxes, their turn 3 bday
                  box and advertise heavily on that. Third time in a row it was
                  not delivered. The delivery guy says that he forgot to bring
                  and customer care issues a discount coupon for hotel booking-
                  which is of no use. I requested them to just send me the box
                  and they denied. Fake Advertisement. Not using it againðŸ‘ŽðŸ‘ŽðŸ‘Ž</t>
  </si>
  <si>
    <t xml:space="preserve">I had a very bad experience with Zepto. I asked for an item
                  from Zepto which turned out to be damaged. I returned the
                  money or used it in my account but they put it in Zepto
                  wallet. After talking to them they just said they would like
                  to be forgiven.</t>
  </si>
  <si>
    <t xml:space="preserve">Nowadays it is seems to create mind game. He provide some
                  wallet case that approx 75 and condition is next order and
                  valid upto 2025 but after complete first order quickly
                  expired.again two days same condition is comming. I hope zepto
                  will considered Also .please don't use wallet cash I add some
                  money but not able to use. And customer care review is also
                  not satisfied. So you can purcase direct in the shop.otjer
                  wise your wallet balance will pending how many years I don't
                  know</t>
  </si>
  <si>
    <t xml:space="preserve">Zepto charges hidden charges ( Packing charges) which is not
                  visible when you place an order but it's visible in invoice.
                  This is a malpractice. Charging something without customer's
                  knowledge is never a transparent dealing and is against
                  consumer's interest. Zepto declares with Zepto pass for any
                  purchase above Rs.99.00 delivery is free yet it charges
                  delivery fee if you don't click on free delivery. Isn't that
                  cheating?</t>
  </si>
  <si>
    <t xml:space="preserve">I'm facing an issue that zepto wallet is not showing while I
                  am ordering the items even though I have money in it. I'm
                  facing this issue past one week. If you want me to continue as
                  your customer, please fix this. Otherwise I'm going to
                  uninstall.</t>
  </si>
  <si>
    <t xml:space="preserve">Very disappoint, when I created account they give me Rs.50 in
                  wallet with1 year expiry and when I ordered something all
                  amount paid to this order by me and at that time this wallet
                  amount not applied to the cart and just placing the order this
                  wallet cash expired. There is no facility of customer care and
                  complaint. I also buy premium account as they suggested but
                  now very disappoint with zepto. Please be carefull with zepto
                  wallet amount it is not trustable and zepto offers too.</t>
  </si>
  <si>
    <t xml:space="preserve">Good app. However, half the items I order either arrive broken
                  or damaged. Zepto cash is also a huge scam, IMO. They entice
                  new users with the promise of INR 100 cash and then claim it's
                  only applicable in certain areas.</t>
  </si>
  <si>
    <t xml:space="preserve">Always Lack of Commitment : it committed to deliver in 10 min
                  but always silver in 40-50 min after doing so much of follow
                  ups. It's literally bad infact swiggymart is better than this.
                  It not happens one or two times now it becomes 10 times.</t>
  </si>
  <si>
    <t xml:space="preserve">I used to love this app but lately it has disappointed me alot
                  the free cash that I used to get can't be used anymore as it's
                  coming unavailable everything is so expensive on this app and
                  not mention with GST and extra hidden charges it just makes
                  everything extra expensive very disappointing</t>
  </si>
  <si>
    <t xml:space="preserve">Low standards regarding safety of food items. I loved this
                  service but recently they have started sending me torn,
                  damaged packages with items missing and they don't care about
                  it at all. Started with giving out good offers with poor
                  delivery quality.</t>
  </si>
  <si>
    <t xml:space="preserve">When I installed to this application that time I got 200
                  rupees but when I use this wallet that time this wallet
                  balance is not working and I ordered some item and compony is
                  not give to cancel facility. So it's a totally scame. Please
                  don't cheat people. I want to suggest to all people please
                  don't use this application ðŸ™</t>
  </si>
  <si>
    <t xml:space="preserve">Very bad customer service, chat with us option isn't
                  available, neither they're connecting the call to the agent,
                  saying all our agents are busy, they don't even call back to
                  hear our issues</t>
  </si>
  <si>
    <t xml:space="preserve">I really frustrated on ordering recent days.. no proper
                  customer service. Only they transferring the chat. And about
                  the delivery perviously it was good. Now days it's worst .
                  They are not delivering order bcoz of other products out of
                  stock . I am loosing my temper ðŸ¤¬ðŸ¤¬ðŸ¤¬ what is system they
                  running it..</t>
  </si>
  <si>
    <t xml:space="preserve">My experience with zepto is worst., recently I ordered items
                  from zepto it showed ny order will be delivered in 7 minutes
                  not showing any info like map... After 10 min it showed order
                  is arrived but no delivery boy was came and no call was came
                  from delivery man. It shows order was cancelled without any
                  reason.... It happend twice....</t>
  </si>
  <si>
    <t xml:space="preserve">used it at home really good , I stay in hostel which is also
                  in urban banglore , says it's not available in my area, dude
                  places where there are no proper restaurants and super markets
                  , don't you think it should be available in my area filled
                  with pgs and hostels , there almost 1200 students staying in
                  the area approx with out including people who stay with thier
                  families , is it not the basic logic to put up the apps
                  service where there is excess demand</t>
  </si>
  <si>
    <t xml:space="preserve">Such waste of time.. i tried to select different locations
                  multiple times but this location not accepting that even
                  though not giving us options for delivery location such
                  irritating app.</t>
  </si>
  <si>
    <t xml:space="preserve">Not providing any account balance..even though I shop around
                  1k from zepto...they are providing every one account balance
                  expect me...I don't know the reason but I will uninstall the
                  app..very disappointed from zepto..I waited for a very long
                  time for the account balance</t>
  </si>
  <si>
    <t xml:space="preserve">"Extremely disappointing experience with Zepto. I usually use
                  Blinkit and thought of trying Zepto for the first time, only
                  to discover that someone had already placed two orders from my
                  profile back in June, even though I had never used Zepto
                  before today. On top of that, Blinkit usually delivers within
                  an average of 8 minutes, whereas Zepto took over 16 minutes.
                  To make matters worse, the delivery executive lacked basic
                  mannersâ€”he refused to get off his bike to deliver.</t>
  </si>
  <si>
    <t xml:space="preserve">Money comes in my zepto wallet but it is not getting used.
                  This amount is not shown on the zepto cash on delivery page
                  for use. There is an issue in the app. Should I update it? I
                  am not able to understand this.please Cooperate</t>
  </si>
  <si>
    <t xml:space="preserve">Initially, the offers were good. Not a great app to buy
                  veggies or fruits! I wasted money buying those here. Did not
                  even get a refund/ replacement for those rotten things I got
                  despite sending the photos!</t>
  </si>
  <si>
    <t xml:space="preserve">Dont use Zepto. Use Blinkit and Big Basket. Zepto is poorly
                  managed accompanied with pathetic team of customer support.
                  Their delivery agent runs immediately after giving package and
                  if contacted for missing items their customer support team
                  says we have given full order quantity. Waste of money.</t>
  </si>
  <si>
    <t xml:space="preserve">The customer service and the overall service is utterly
                  dissapointing. Took the money and later telling thete is
                  delay. Not even the agent is responding. Dissappointing.</t>
  </si>
  <si>
    <t xml:space="preserve">Waste application doesn't deliver my location even in chennai,
                  kolathur. Don't use this application they repeating push
                  notifications but not deliver my location. Zepto don't waste
                  money to that waste ads give that money to some delivery
                  persons to increase your orders and income.</t>
  </si>
  <si>
    <t xml:space="preserve">Good app fast delivery ðŸšš . Zepto is best option and give
                  offers every month. Zepto replace all delivery apps. Good
                  quality products are delivered. Thank you zepto ðŸ’–</t>
  </si>
  <si>
    <t xml:space="preserve">Iâ€™m extremely disappointed with Zeptoâ€™s customer support team.
                  I would not recommend their services to anyone. Despite their
                  7-day return policy, they refused to accept a return for a
                  product of poor quality within just 1 hour of delivery. Such
                  practices reflect poor customer service and lack of
                  accountability. This version is clear, professional, and
                  emphasizes your dissatisfaction without being overly harsh.</t>
  </si>
  <si>
    <t xml:space="preserve">Very disheartening, I did not received my gift box but in app
                  it show you delivered it today and i want my order to change..
                  But i unable to contact, your customers care services are
                  worse.. I could not place a call and in chat they give very
                  late reply with the attitude that your issue will not resolve</t>
  </si>
  <si>
    <t xml:space="preserve">It's a excellent app. I ordered Adult diapers in case of an
                  medical emergency and it reached me in not more than 6
                  minutes! This is an excellent app for last minute shopping!
                  Thank you... Zepto saved my day!!</t>
  </si>
  <si>
    <t xml:space="preserve">The promotional offers they are claiming are a hoax. They put
                  that "zepto cash" in your wallet but you cannot use it. When
                  questioned they use vague language like "you need to place a
                  few orders in order to use zepto cash". These are extremely
                  shady and unethical business practices.</t>
  </si>
  <si>
    <t xml:space="preserve">Really very disappointed by this zepto cash option it's
                  showing 125 rupees in balance but can not applicable always
                  can not use this cash if I'm buying products more than 80
                  rupees the zepto cash is not applicable alwysssss!!!!!!! I
                  request u zepto to solve this problem ASAP!!!!</t>
  </si>
  <si>
    <t xml:space="preserve">Please don't go for free cash it's a scam always sending
                  messages and calling unnecessary to tell you have free cash.
                  And now they have closed free cash scheme to old user only new
                  user can avail. I have gift card of zepto and now I am unable
                  to use waste of money atleast I want to use my own money I
                  don't want free cash my money stuck . Worst service no chat
                  support no mail reply. I just hope zepto closes soon and use
                  blinkit or go to nearest shop it is far better than zepto.</t>
  </si>
  <si>
    <t xml:space="preserve">Zepto cancelled my order and gave me the refund of 446 rupees.
                  But neither it's showing in the wallet nor in the gift card.
                  How do I use it now!? And they have the worst support team
                  unwilling to help out. I cannot even reach out to them.</t>
  </si>
  <si>
    <t xml:space="preserve">App is very slow. 10 minutes is the time it takes to load.
                  Swiggy was able to deliver good before zepto could load the
                  snacks screen.</t>
  </si>
  <si>
    <t xml:space="preserve">Doesn't deliver to my location even though I live on the very
                  main road near a functional metro station. What kind of
                  delivery app is this! Blinkit and Swiggy instamart delivers to
                  me but zepto? wow, amazed.</t>
  </si>
  <si>
    <t xml:space="preserve">It was going good till I added money to the wallet and payment
                  with wallet is suddenly not acceptable anymore, customer care
                  ditched me in the middle of the conversation Worst experience
                  shopping ever!!</t>
  </si>
  <si>
    <t xml:space="preserve">no hassle in delivery. smooth payment getaway. experience has
                  been awesome. Customer service is very good .it is fast and
                  quick in decision making.</t>
  </si>
  <si>
    <t xml:space="preserve">I'm very disappointed with zepto my every friend has zepto
                  cash in their wallet even I have too but whenever I want to
                  use it it shows unavailable from last 10 days and my friends
                  are getting cash everyday it is very frustrating I'm going to
                  uninstall this app</t>
  </si>
  <si>
    <t xml:space="preserve">This app is totally time waste and take pls don't use it...
                  They steal items from your order and don't even refund
                  them...it's totally fake app... don't waste your money and
                  time here instead use blinkit and Swiggy Instamart... highly
                  not recomendable</t>
  </si>
  <si>
    <t xml:space="preserve">I brought T-shirt, size was too big while asked for exchange
                  the size. No one is responding, very bad and customer care
                  also not responding tried calling 30 min but still music only
                  no one available attending the issue. My suggest please dont
                  buy anything in zepto. Better use blinkit Or any other app.</t>
  </si>
  <si>
    <t xml:space="preserve">I'm not getting Zepto and Zepto super saver while logging in.
                  Seems like an bug. I tried reinstalling many times, its still
                  the same</t>
  </si>
  <si>
    <t xml:space="preserve">I did not recieve my order and the order status shows
                  delivered tried contacting customer support through chat and
                  calls but no one is available . Such a fraud The email id u
                  mentioned its been long now atleast revert on that .zepto has
                  worst customer care</t>
  </si>
  <si>
    <t xml:space="preserve">10 minutes delivery service was excellent and grocery price
                  also but when i order they show me worth price to placing
                  order what would we do if we had to order just one thing in an
                  emergency basically zepto has advantages or disadvantages too</t>
  </si>
  <si>
    <t xml:space="preserve">I order amount 249 deducted of my account and I just thinking
                  app server slow but no 2nd order apply 160 amount deducted of
                  my account no refund option this app no customer care single
                  number on Google showing sinlge number I just tried call this
                  number always incorrect this number I m very frustrated this
                  app and I trying customer care sending on mail but customer
                  care side no reply again and again showing is ''we are
                  currently offline '' I request your please remove this app On
                  play storeðŸ˜¡</t>
  </si>
  <si>
    <t xml:space="preserve">Hi All, I had bad experience with zepto i ordered boat power
                  bank and when iopen the package I see there were scratches and
                  zepto team not ready for return/replace saying package was
                  good so if package was good what is the guarantee that inside
                  product is perfect seems the item used/damaged product So
                  please be careful while ordering products from zepto</t>
  </si>
  <si>
    <t xml:space="preserve">Your app is very good . But since 2 days . I did not receive
                  the cash back coupons . It's not good . You give me coupons
                  daily other wise I deleted your app in my 50 phones and
                  friends phone also . Please give me coupons</t>
  </si>
  <si>
    <t xml:space="preserve">I had ordered spinach and tomatoes. The spinach is rotten,
                  even an animal wouldn't eat it. Also, the quantity of tomatoes
                  is less than 1kg.</t>
  </si>
  <si>
    <t xml:space="preserve">it's a nice app for doing simple tasks and for offer free cash
                  also but 1 thing that I don't is they are taking money of emi
                  and ect for 1 liter milk rs.56 I order I have to pay 120.5 rs
                  I know there has written delivery charges but left delivery
                  charges ect it's like not good everything the fast delivery
                  packaging behaviour of delivery partner is nice ðŸ‘ðŸ™‚</t>
  </si>
  <si>
    <t xml:space="preserve">Very Bad experience... Poor application...These people say
                  that they will deliver in 19 minutes. But after 2 hours they
                  cancel your delivery and their delivery partner does not pick
                  up the call. Pur product Pur service...</t>
  </si>
  <si>
    <t xml:space="preserve">Very bad service, after so many delivery , it's shown
                  unserviceable..what a service , why they are not stop the app
                  , Swiggy are the best .... I will share the feedback to all my
                  circle..</t>
  </si>
  <si>
    <t xml:space="preserve">very slow delivery not from delivery partner's end its from
                  the app and app was not working properly the they give to us
                  it was could't connect and my number was going switch off to
                  delivery partner plzzz improve this otherwise i dont order any
                  the from this app</t>
  </si>
  <si>
    <t xml:space="preserve">This is app is misleading the customers, they provide cash as
                  intial offer, but that won't work. Simply to attract the
                  customers they have made offers. So don't fall for those fake
                  offers.</t>
  </si>
  <si>
    <t xml:space="preserve">Worst support system. They can cheat people by misguided
                  information. I orders for Glass cleaner with Cleary mention in
                  app 500ml*4pc pack of 4pc also image is for 4pc bottle and
                  they delivers only 2pc and when I talk on chat support thet
                  tell me from our side order is ok it is for 2pc so why they
                  misguided us. It is Cleary cheating with us. Also chat
                  executive give answers after we exit chat window so I take all
                  screenshoot with me. They no need to face Customer or it's
                  issue.</t>
  </si>
  <si>
    <t xml:space="preserve">A new scam going on items are missing in large orders and the
                  delivery guy didnot even made us chech the order and was in
                  hurry items worth rs 500 missing I do have some proves and
                  will try to take legal action against it and the customer care
                  replies they can do nothing after 3 days but beware and check
                  the items before delivery</t>
  </si>
  <si>
    <t xml:space="preserve">Delivery driver mistake disabled my COD. I ordered something
                  and the delivery driver bought someone else's delivery so my
                  order got cancelled. Now I can't make COD payment. App bucks
                  and delivery driver sucks more. They are actually cheating the
                  company and affecting their business.</t>
  </si>
  <si>
    <t xml:space="preserve">Worst app. Because when am open the app it's not working only
                  showing the locationðŸ“. I entered my location,then also not
                  working it. Then why it was? Rubbish. I really getting bother
                  itðŸ˜”</t>
  </si>
  <si>
    <t xml:space="preserve">I am unable to use my wallet money in this app for the last
                  two days. So I give zero rating ...They don't even have
                  customer support available and they don't even have a customer
                  number. I have take screenshot..</t>
  </si>
  <si>
    <t xml:space="preserve">this App is good in all aspects. all the offers are so good
                  and also best in quick delivery. small suggestion make the app
                  compatible with TalkBack.</t>
  </si>
  <si>
    <t xml:space="preserve">Fraud and Scammers App, Don't download, u will loose ur hard
                  money. Don't make online prepayment, Once u place prepaid
                  order, their delivery executives within 10 minutes mark
                  product delivered without any delivery attempt. They are
                  cheaters. 300rs loss on the first order itself. Google play
                  store team remove this app,</t>
  </si>
  <si>
    <t xml:space="preserve">Very disappointed......Everytime I place an order something or
                  the other item is missing during delivery and the delivery
                  agents don't even wait till I check the items.</t>
  </si>
  <si>
    <t xml:space="preserve">I ordered a drone on 10th of december, The Controller of the
                  drone was not working at all so i placed a return concern to
                  the zepto customer care, they initiated the return and then
                  kept cancelling the pickup for 72 hours and after the deadline
                  of return policies they don't allow you to get any return or
                  refund for that product, I wasted my 2k on this.ðŸ¥²</t>
  </si>
  <si>
    <t xml:space="preserve">Bad experience,waste application I have got in 75 rs in wallet
                  whose validity November 2025 tha, But I decide to use it but
                  it shows unavailable i couldn't use and feel very disappoint,
                  immediately I give â­ and uninstalled application. I suggest
                  you don't use Zepto,use another Grocery app</t>
  </si>
  <si>
    <t xml:space="preserve">Disappointed with Zeptos experience. 5 minutes delivery is
                  nothing if you guys don't understand basics of delivery, such
                  as sending large orders in a carry bag. I am shocked to see
                  all my orders are delivered without a carry bag, EVERYTIME!
                  hassle of taking delivery, wasting my and delivery guys time.
                  The chat experience and chat customer service is a JOKE.
                  Uncooked app experience, untrained chat people, looks like
                  I'll have to uninstall the app very soon.</t>
  </si>
  <si>
    <t xml:space="preserve">Your Service is excellent but I get so many problems to use
                  money cart given in app. Me and my friends are facing problems
                  to use that money. Plese try to solve this problem.It shows us
                  that "Cash is unavailable".</t>
  </si>
  <si>
    <t xml:space="preserve">I received the items ordered in perfect condition, and that
                  too on time. Their delivery personnel was exceptionally good
                  mannered and seemed very experienced in locating address ðŸ‘ŒðŸ‘</t>
  </si>
  <si>
    <t xml:space="preserve">I don't even wanna give you a review, so the thing is I live
                  in bhopal and every location I choose for delivery says
                  location is not serviceable And just so you know I tried
                  ordering from ISBT Bhopal which is again a prime location if
                  you can't deliver there, why call yourself a delivery app?</t>
  </si>
  <si>
    <t xml:space="preserve">My experience is not good in this app . I order but recieved 2
                  time defective product. It's do return but don't refund
                  correct amount. And bad experience with zepto wallet not good
                  . I won't recommend any one this app</t>
  </si>
  <si>
    <t xml:space="preserve">Showing balance of 150rs and not able to use it showing
                  unavailable try again after sometime. If you people are not
                  allowing us to use it don't show in the app. Poor app</t>
  </si>
  <si>
    <t xml:space="preserve">There is no cancel option in this app, And they send fake
                  notification,, delivery charge is high, Coustomer support is
                  very bad, Mostly third class wasted app, And app rating is
                  also fake, There is nothing in this app to deserv 4.7 rating,,
                  Not recommended to any one,,</t>
  </si>
  <si>
    <t xml:space="preserve">Worst customer service and please do not order expensive
                  stuff. I ordered a toy gun which was damaged and they do not
                  even acknowledge it. Please order only fruits and vegetables
                  from them. I will be further escalating this issue.</t>
  </si>
  <si>
    <t xml:space="preserve">Payment for the order was successful, but not reflected in
                  zepto. No possible way of contacting the concern through the
                  app. Worst experience.</t>
  </si>
  <si>
    <t xml:space="preserve">there is a number of fraud app which brings payment in the
                  wallet or starts using it but every time it becomes
                  temporarily available, even if you update the app or uninstall
                  it and then install it, it is still not used</t>
  </si>
  <si>
    <t xml:space="preserve">I had very disappointed experience with this app because waste
                  of time zepto coins always appear unavailable and almost time
                  cash is not available due to heavy traffic should have shown
                  that zepto cash has arrived but it is not visible in shot
                  completely waste of time</t>
  </si>
  <si>
    <t xml:space="preserve">The worst app I have ever used. First they deliver garbage, if
                  you complain, they ask photo, if you share photo, then they
                  stop replying your message. Please go for blinkit or Swiggy
                  Instamart or any other app. Please save your time and money.</t>
  </si>
  <si>
    <t xml:space="preserve">they deliver damaged or expired items and there is no way to
                  return or get refund, no agent to talk to and nobody to even
                  respond to your messages. Uninstalling after using just 3
                  times. It is a scam</t>
  </si>
  <si>
    <t xml:space="preserve">Extremely bad customer service. My wife's order was missing
                  the bread . Upon reaching customer service the lady is saying
                  the bread was delivered and the package was sealed. There was
                  no seal on the package. She indirectly accused us of lying.
                  Now we are scared of ordering from Zepto. They are not willing
                  to accept that the issue was with the delivery hub. Zepto has
                  now lost 3 customers. We are uninstalling the app. Next I am
                  going to publish my experience on Twitter.</t>
  </si>
  <si>
    <t xml:space="preserve">Doesn't allow to place order. Between 9AM to 7PM it shows
                  traffic congestion and we can't place order. After 7 PM it
                  shows store is closed and we can't place order. In morning it
                  only allow to place order if the minimum cart items worth
                  1000.</t>
  </si>
  <si>
    <t xml:space="preserve">This is a great app for shopping anything ypy want, they
                  delivers in only just few minutes. Which was Impressing Their
                  quality of food and pakaging is also good. They gives a free
                  cash back of more than 100 rupess. Really that's a nice app</t>
  </si>
  <si>
    <t xml:space="preserve">I ordered the grocery at last Sunday, and i get 100 cash as
                  well as free dilivery it take 15 minutes to deliver the
                  product , after two days I get more 25 rupees in my wallet
                  cash and i ordered again, I am surprised when I get again 100
                  rupee wallet cash as well as the product is very awesome. It
                  is first app which give me a good experience</t>
  </si>
  <si>
    <t xml:space="preserve">It's worst app ever bcs after add amount in zepto wallet you
                  are unable to use it .zepto cash not unavailable so what's the
                  meaning of the use this app .and no any such customer support
                  team it has..I have already sent it to your customers
                  supporting mail ID but still no any response.</t>
  </si>
  <si>
    <t xml:space="preserve">Coupons and offers are scams. I ordered two units of chicken
                  without skin and received only one unit of chicken with skin.
                  And when I contacted the customer care about it, they couldn't
                  care less about making it right. I would much rather have
                  higher prices and fair and honest business practices.</t>
  </si>
  <si>
    <t xml:space="preserve">Zepto is a completely bad app. The item price in this app is
                  high and its wallet also does not work. You should not install
                  it at all. And Zepto wallet not working.</t>
  </si>
  <si>
    <t xml:space="preserve">First you guys didn't acknowledge my concern first and closed
                  my previous conversation saying that all item was delivered
                  which is a complete lie and later when delivery agent confirm
                  not bringing the item you accept and not bringing the product.
                  this show how fraud is the customer support and how good was
                  the delivery agent. mistake can happen anytime and from anyone
                  but acknowledge by delivery agent you is not so educated but
                  the customer support (who consider themselves educated) saying
                  lies</t>
  </si>
  <si>
    <t xml:space="preserve">This app provides a huge discount on all products and has the
                  fastest delivery time till date ... They give big discounts on
                  all things from veggies to stationery everything you will be
                  delivered before 10 mins Much satisfied with this app ðŸ˜ƒ</t>
  </si>
  <si>
    <t xml:space="preserve">Terrible support from zepto. In my order an item was missing.
                  I complained to the delivery guy who said he had missed it
                  &amp; said would deliver it in 10 min. But nothing came, in
                  app I am unable to call the delivery guy &amp; zepto customer
                  support is just some lobby music.</t>
  </si>
  <si>
    <t xml:space="preserve">First it was good to use but now totally disappointed by zepto
                  I have added 200 to my zepto wallet on 11th dec but till today
                  I couldn't acces that money it show zepto cash temporarily
                  unavailable all the time I know there plan is to have my till
                  they expire worst behaviour zepto I didn't expect this from
                  youu!! Atleast give coupon for my money shi....*</t>
  </si>
  <si>
    <t xml:space="preserve">It's been more than 2 weeks and they still have traffic
                  congestion due to which they are unserviceable like seriously?
                  What kind of traffic are you facing ? It's really pathetic!
                  Early I use to order from zepto everyday now zepto just lost
                  one of their regular customer! I don't know wrong but they
                  should have given a valid reason or should have charged surge
                  fee but no they gonna give you the silliest reason ðŸ¤·â€â™€ï¸</t>
  </si>
  <si>
    <t xml:space="preserve">This is a fraud application that if you make online payment,
                  money will be deducted but your goods will not reach you.
                  After that the company will not pick up the phone nor will
                  your delivery boy pick up the phone. This is such a bad app. I
                  myself have been trapped in this app.</t>
  </si>
  <si>
    <t xml:space="preserve">There is no customer support service available. It sends SMS
                  and whatsapp texts that 125 rupees in the wallet but there is
                  only 25 rupees in the wallet and that is also not available
                  for use. Have a customer support and improve your Application.</t>
  </si>
  <si>
    <t xml:space="preserve">All the accessories are quite expensive, compared to other
                  online shopping apps Fast delivery is a good thing, but it is
                  not right to charge for those things in another way</t>
  </si>
  <si>
    <t xml:space="preserve">I ordered for more than 1000rs on zepto super saver with a
                  gift bag worth 30rs and I received all the products without my
                  gift bag. I have paid for the gift bag along with my groceries
                  but I didn't receive it.</t>
  </si>
  <si>
    <t xml:space="preserve">Worst app. Service is also not good. Delivery time will be far
                  more than given on app.. Zepto cashback is also fraud. Order
                  will be places without cashback and customer will be forced to
                  pay full amount with 10 12 rs of delivery and packing charge</t>
  </si>
  <si>
    <t xml:space="preserve">Very worst application and services don't trust this fake app
                  very bad experience and they showing free cash but when you
                  need urgent it can't add with your bill third class
                  application ðŸ‘Ž</t>
  </si>
  <si>
    <t xml:space="preserve">Not even available yet in my area. Yet I'm being blasted with
                  their ads non stop. TF stop spamming me . P.S The other day I
                  saw zepto rider delivering in my society. And when I again
                  checked on zepto app it wasn't delivering to my area??????</t>
  </si>
  <si>
    <t xml:space="preserve">Worst experience ever...Not received the refund...Not the
                  delivery boy is continuously bluffing about the location...Not
                  received the products yet ..after continuously 3-4 times
                  explaning the location....no support received from customer
                  support team....today is Christmas...and had a such bad
                  experience</t>
  </si>
  <si>
    <t xml:space="preserve">App is not working after latest Android update, please check
                  &amp; clear the bug. App showing black after open. I also try
                  to reinstall but not working</t>
  </si>
  <si>
    <t xml:space="preserve">bought Bronson professional premium glass painless hair
                  removal from zepto worth 256 but instead I got affected from
                  that product and my hand got swollen do not use that product
                  it is not even working properly atleast it should be useful
                  for one time but didn't happen ðŸ˜• and waste of money not gonna
                  buy anything from zepto</t>
  </si>
  <si>
    <t xml:space="preserve">The Cheapest app and their support executives don't have
                  knowledge at all I have ordered a food the experience is
                  totally bad not even worth for one rupees cheapest food they
                  delivered that is exactly spoiled Chicken... Don't order from
                  this Cheapest app and their support executives and don't spoil
                  your health with app foods.</t>
  </si>
  <si>
    <t xml:space="preserve">I ordered a product and since it was not available the
                  delivery was cancelled and I have been waiting for more than
                  12 days and constantly contacting support to get the refund.
                  Still no success on this</t>
  </si>
  <si>
    <t xml:space="preserve">yes a good grocery app for all of us but a problem is that
                  something when we order something the rider didn't co-operate
                  with us and usually they didn't inform us that they arrived or
                  not riders should have a good behaviour as well.</t>
  </si>
  <si>
    <t xml:space="preserve">Never order reaches in the given time. When you try to contact
                  Support team no response from them. All fake marketing is been
                  done that it we'll get delivered in 10mins. Today it's more
                  than 1 hour it's has not been delivered and the quality of the
                  product is tooo cheap.</t>
  </si>
  <si>
    <t xml:space="preserve">Please don't go for zepto, firstly they should hire good coder
                  for representation of app. I ordered two time..no live
                  update.Worst experience go with blinkit (I am not advertising
                  but I am using it last two years).I just order from Zepto by
                  seeing fake advertisement.</t>
  </si>
  <si>
    <t xml:space="preserve">very good app and reasonable too and their delivery is also
                  fast with good behaviour of delivery boy . best and deserves 5
                  star and more ratings ðŸŒŸâ­ and also I have used Their zepto
                  cash multiple time and it works very good ðŸ˜ŠðŸ‘ I'm satisfied
                  with this app</t>
  </si>
  <si>
    <t xml:space="preserve">Selling products with wrong description. And not ready to take
                  it back. Customer care team is worst UPDATE: I have already
                  sent mail but yet to receive any response. Also no response on
                  X (twitter). Your team is not interested in resolving the
                  issue. Customer is on of the least priority for your customer
                  care team. No response on mail. It's been 5 days now</t>
  </si>
  <si>
    <t xml:space="preserve">Extremely worst quality sabjis sent. I odered okra half kg, it
                  was throw out quality.. I m not finding option to attach pic.
                  Even app doesn't take feedback..</t>
  </si>
  <si>
    <t xml:space="preserve">It's a useless app. After ordering the product, it gets
                  automatically cancelled and the price increases later. I will
                  give this product a rating of 1 out of 5 and suggest everyone
                  not to install it.</t>
  </si>
  <si>
    <t xml:space="preserve">App doesn't allow me to cancel.. also doesn't delivers on
                  time. If you can't deliver on time. Just cancel my order. No
                  options for cancelling.retarded app</t>
  </si>
  <si>
    <t xml:space="preserve">One of the worst app .Rates r high .They charge delivery fee ,
                  platform fee nd upon that surge in demand fee which is 30rs
                  .They don't have direct customer service .its been more than 3
                  days but Inspite of complaining no one is bothered to call or
                  mail .They on the answering machine which shows all executives
                  r busy .stop fooling customers .Guys think twice before
                  ordering from this app.Ridiculous</t>
  </si>
  <si>
    <t xml:space="preserve">Zepto Cafe has helped me a lot by providing a wide variety of
                  fresh and delicious snacks, really loved this service. People
                  should use this service very often. ALSO SPECIAL THANKS for
                  giving regular CASH BACK offers which does not burn holes in
                  my pocket. Super Fast and on time delivery. no one can compete
                  with Zepto in my area. 10 out of 10 and THANKS.</t>
  </si>
  <si>
    <t xml:space="preserve">Initially the app is good but then they are not worth to order
                  small order as increased to 199 that is ridiculous. It's
                  pushing customer to buy more and charge more</t>
  </si>
  <si>
    <t xml:space="preserve">I dont want to give any star to this app at the beginning it
                  was good but furing last 2 weeks it always show tha zepto cash
                  have 100 rs but I cant use it this zepto cash adds are all
                  fake If I can't use it so whats the need to download this and
                  always asks for subscription I have subscribed 3 time but
                  after that I got this.</t>
  </si>
  <si>
    <t xml:space="preserve">Terrible Experience. Showing Delivery Time of 16mins and even
                  after 1 hr 20mins the order still not delivered. Chat support
                  useless and only apologising instead of helping. I recommend
                  not to use the app but if you want to then don't complaint</t>
  </si>
  <si>
    <t xml:space="preserve">Totally Frustrated With This App, First They give you some
                  zepto cash but guess what you can't redeem it sometimes it
                  says zepto cash can't be used at this moment or sometimes the
                  option is not there at the checkout option, if you don't let
                  me use the cash then please don't give it but don't do like
                  this .</t>
  </si>
  <si>
    <t xml:space="preserve">I received groceries quickly. But, they were expired. Again,
                  no body came to receive it so far. Kindly ensure its return
                  and improve your grievance redressal mechanism of Zepto.
                  Thanks &amp; Regards, Dr. Avinash Pandey</t>
  </si>
  <si>
    <t xml:space="preserve">I have a worst experience from zepto.2 weeks before I ordered
                  a kettle from zepto.The order hasn't delivered but I jad shown
                  order delivered in my account.So I requested for a refund from
                  zepto, till now I haven't recieved the refund.Iam contacting
                  the customer care daily they don't even pick the call
                  always.Its been 2 weeks am waiting for my refund.</t>
  </si>
  <si>
    <t xml:space="preserve">One of the worst experience with online payment isn't working
                  because when pay through Amazon wallet cash. Just felt worst
                  because the cash back option removed when again trying to
                  place order.</t>
  </si>
  <si>
    <t xml:space="preserve">I ordered sweets. Payment also done. But the order is showing
                  in orders and my payment gone. No one called regarding the
                  order. No customer support for raising a complaint through
                  zepto app. I have not received my payment back.</t>
  </si>
  <si>
    <t xml:space="preserve">Waste app, just ordered my things day before yesterday it was
                  good and now it's not responding! ðŸ˜¡ðŸ˜¡ I want to buy my
                  grocery but app is not working when it is opening its sticking
                  a lot. Very bad experienceðŸ˜¤ðŸ˜¤</t>
  </si>
  <si>
    <t xml:space="preserve">Why offer Zepto Cash when it cannot be used in the same
                  location where groceries are ordered? Does it serve any real
                  purpose? If customers cannot utilize this cashback in their
                  area, it feels misleading. Either make it usable for the same
                  location or avoid creating a false sense of benefit. Please
                  prioritize transparency and fairness to maintain customer
                  trust.</t>
  </si>
  <si>
    <t xml:space="preserve">Good app for delivery but the amount shown while adding to
                  cart and bill amount will be different. If there is mismatch
                  in the bill why u guys mention as super saver</t>
  </si>
  <si>
    <t xml:space="preserve">No customer support option available in the app. My payment
                  was deducted after I completed the payment, the items are
                  still showing in my cart, and no order was placed. What should
                  i do now ??????</t>
  </si>
  <si>
    <t xml:space="preserve">Worst experience. Item values is increased when added to cart.
                  Money debited but order is not placed and showing processing
                  for too long</t>
  </si>
  <si>
    <t xml:space="preserve">App suddenly crashed while ordering critical items..... they
                  need to. improve there UI and app integrity to provide
                  seamless user experience</t>
  </si>
  <si>
    <t xml:space="preserve">i loveee this app morethan anything I swear to god this app
                  gives so much discount on products it's litreallyyyy so fun to
                  use it I ordered a Korean ramen it's originally worth for 150
                  but I got it just for 75 ruppes It was so overwhelming for me
                  I hope this app grows well in the future!!</t>
  </si>
  <si>
    <t xml:space="preserve">That's frustrating Delivery Time - Expected delivery time: 5
                  minutes - Actual delivery time: 25 minutes. This is happens on
                  every order with you - Rating: 1/5 (significant delay) Order
                  Accuracy - Was your order correct and one egg broken</t>
  </si>
  <si>
    <t xml:space="preserve">A week ago, I placed an order by paying via UPI, but it didn't
                  get placed, and I am still yet to receive the deducted amount.
                  Third class app with pathetic customer service. #NoToZepto</t>
  </si>
  <si>
    <t xml:space="preserve">I added my money to zepto wallet but now it's showing
                  temperorary unavailable since 2-3 weeks. Such a bad and thief
                  app and also the free wallet cash they gave me that is also
                  showing temperorary unavailable. Worst app don't use it.</t>
  </si>
  <si>
    <t xml:space="preserve">It's frode app. After adding amount, it will not allowed to
                  use that amount and block that amount as well. So please don't
                  use this app and also not add any of money to this app wallet.</t>
  </si>
  <si>
    <t xml:space="preserve">my experience was worst because this app is worst I have ever
                  seen like this app they do not take the customer's complaint
                  seriously and there is many more things which I have to say
                  the customer service is worst and disgusti I want to ask that
                  why Z2 does not answer any mail I have done so many times mail
                  that solve my problem but they are not replying me this is the
                  worst thing have ever seen in any app th at customer care is
                  not supporting and not solving the problem and taking it
                  lightly</t>
  </si>
  <si>
    <t xml:space="preserve">The worst app ever,very disappointed by the experience of
                  zepto.I am facing the one problem since I download the app;I
                  have zepti cash but it is showing unavailable all time.I am
                  suggesting all of the customers who have downloaded this app,
                  delete this app it is fake... ðŸ¤¥</t>
  </si>
  <si>
    <t xml:space="preserve">I'm using this app from a year but now My Zepto Account has
                  been kept on hold and I don't the reason that why my account
                  has been kept on hold.I just want to restore my zepto account
                  as I have â‚¹246/- in my Zepto Wallet. Solve my problem and
                  restore my account</t>
  </si>
  <si>
    <t xml:space="preserve">I am unable to use my zepto cash , even if i really want to
                  order a thing the zepto cash never works that's really
                  disapponting. And this issue is not even resolved for about a
                  month and no service provided. Really very disappointing.</t>
  </si>
  <si>
    <t xml:space="preserve">Worst app and service. There is no way to connect with
                  customer support. My amount is debited but from my bank zepto
                  has not initiated the order. Now my money struck in between.
                  If your server is not responding then stop taking the orders
                  for few minutes. This is what happens if 21 year old sits in
                  the CEO chair.</t>
  </si>
  <si>
    <t xml:space="preserve">About the app: Easy to use user-interface and navigation.
                  About post order experience: Excellent packaging and delivery
                  on or before time.</t>
  </si>
  <si>
    <t xml:space="preserve">Why Zepto fake about delivery time? When ordering, it will
                  show 5-7 minutes delivery time. In actual, delivery will take
                  15-20 minutes, average time. Sometime, it can go to 30 to 40
                  minutes. It's so irritating when you guys promise and don't
                  deliver on that</t>
  </si>
  <si>
    <t xml:space="preserve">They say order got delivered but i have not received my orders
                  multiple time and once it shows delivered the delivery partner
                  never attends calls If i try to connect to Customer support
                  still their is no help from their end. Worst service</t>
  </si>
  <si>
    <t xml:space="preserve">Didn't install this app. Fake and fraud people are working
                  here. Each and every time they delivered tempered product and
                  after complaint they didn't replace items and refund very less
                  amount. Actually Zepto was doing seam with customer.</t>
  </si>
  <si>
    <t xml:space="preserve">No customer support, application always show bugs. no refund
                  policy, will eat all your money. And I have already sent an
                  email, you team needs to revert on it... which they will never
                  do.</t>
  </si>
  <si>
    <t xml:space="preserve">Zepto wallet cash doesn't work. And zepto team doesn't work on
                  it and don't respond to the person facing problem. I must say
                  it's bad experience for customer! Please work on it! And
                  response towards customer ðŸ‘</t>
  </si>
  <si>
    <t xml:space="preserve">Hi Everyone, I am disappointed zepto app. I will give review
                  this app only zero star. Because I will order some items from
                  zepto, But I waited 2 hours for this order but order haven't
                  received Delivery partner told me, If you need this order, you
                  have to come my location, then He delivered my order another
                  location In my app showing order delivered Then I complain
                  against this but didn't receive any solution So I said to
                  everyone one if you any order with zepto only cash on delivery
                  not prepaid</t>
  </si>
  <si>
    <t xml:space="preserve">Using the Zepto app is very easy. Deliveries are on time, and
                  the product quality is good. However, products are sometimes
                  out of stock, which can be improved."</t>
  </si>
  <si>
    <t xml:space="preserve">Zepto didn't allow me to apply zepto cash for placing order .
                  I added a gift card but unable to apply it in shopping. My
                  account shows zepto cash balance but it didn't allow me to pay
                  through it at its Kurukshetra centre. This is cheating and
                  harrasment by zepto , Zepto don't answer my email also .</t>
  </si>
  <si>
    <t xml:space="preserve">Seems like a scam and false advertising most of the time
                  regarding the Zepto cash which is never made available for the
                  customer to use. I despise seeing my 125 coins stuck and put
                  to no use. Fix it soon guys.</t>
  </si>
  <si>
    <t xml:space="preserve">For me this app is the one of the best app I have ever used
                  and I got a number of a rewards and number of cash here and I
                  use that cash to purchase my products and this system is very
                  great. Also I check the review of the other people and their
                  facing a problem of to do not use their wallet balance if you
                  want to use your wallet balance so when you are placing your
                  order make sure there is no busy hours at that time.ðŸ˜ŠðŸ˜Š
                  Literally I love this app â¤ï¸ðŸŒŸðŸŒŸðŸŒŸðŸŒŸðŸŒŸ</t>
  </si>
  <si>
    <t xml:space="preserve">The service was quick and the deal was great too. But the only
                  disappointment was there was cash in my wallet yet I couldn't
                  use it cz it kept saying cash unavailable.</t>
  </si>
  <si>
    <t xml:space="preserve">Using this app has wasted my time , very unpleasant experience
                  and faced lot of lags while adding items to cart and
                  unavailability of wallet money at my location . And the wallet
                  money gets expired and I am unable to use it .</t>
  </si>
  <si>
    <t xml:space="preserve">Worst app please don't use this app if you add money in their
                  wallet they will block your money , you can't use your wallet
                  money for purchase in this app I also mailed to customer care
                  of this app but they don't solve problems</t>
  </si>
  <si>
    <t xml:space="preserve">ðŸ’¥ðŸ’¥Zepto is a fraud ðŸ’¥ðŸ’¥ Please don't do not use Zepto. I
                  placed my order but it was not delivered and it is showing in
                  the application that the order has been delivered. I tried
                  calling customer care but did not get any help.....</t>
  </si>
  <si>
    <t xml:space="preserve">The worst app i have ever used, they offer zepto free cash
                  once you use the zepto cash, delivery guy will ask you for
                  more money they will say zepto cash was not selected.... This
                  is the worst thing i have ever seen in any app, don't provide
                  offers of you can't fulfil</t>
  </si>
  <si>
    <t xml:space="preserve">Worst app....once u place order u cannot cancel the
                  order...there is no contact no. to lodge complaint..everytime
                  a glitch is in the app and is not working properly...the
                  delivery agents are rude and not co -operative.</t>
  </si>
  <si>
    <t xml:space="preserve">Zepto- no doubt really amazing. Hats off to all the people who
                  provide service to us and work hard, even on rainy days. Zepto
                  dilevery is on time. Low cost and convinient. Friendly deliver
                  partners Clean and hygienic! Good packaging and variety of
                  options available. Understanding and cooperative Zepto guys
                  deliver it in our comfort zone only, I respect all the people
                  for their hardwork and sevice. I appreciate everyone. Thank
                  you!</t>
  </si>
  <si>
    <t xml:space="preserve">Worst service in the terms of refund or solving the issue coz
                  I have received defective cable when I tried to reach out them
                  they said contact to the manufacturer when I tried to contact
                  them it's showing they are busy I have lost my money to this
                  fraud zepto delivery service</t>
  </si>
  <si>
    <t xml:space="preserve">Hi guys don't order food from this app. They served only
                  rotted food and didn't check properly food products properly
                  .you can use other food apps instead of this worst experience</t>
  </si>
  <si>
    <t xml:space="preserve">Worst app ever no proper live tracker in this app I placed an
                  order it's showed me 8 minutes to arrive but I waited 48
                  minutes on the road to pick an order bcz where I stayed is not
                  serviceble that's why I order on the main road for 48 minutes
                  after that this bloody rascals cancelled my order</t>
  </si>
  <si>
    <t xml:space="preserve">Even after being a member of zepto while making an order you
                  have to manually remove the delivery fees, trying to fool the
                  customer with this option. You must find better ways to extort
                  money from the customer.. extremely disappointed</t>
  </si>
  <si>
    <t xml:space="preserve">fast delivery, friendly nature app is easy to use and find
                  items.all necessary things are there in app and day by day
                  their s coming new items.</t>
  </si>
  <si>
    <t xml:space="preserve">Don't expect any resolution if less quantity is delivered.
                  They might give refund which takes 2-3 days to receive but
                  they will put your account on hold in 1 day. They are doing a
                  scam and nothing else. Blinkit or swiggy are far better.</t>
  </si>
  <si>
    <t xml:space="preserve">no order cancellation option and also customer service
                  support....and also provided free money in wallet and block
                  that money after few time it's expired...in my case 24 hour
                  block and now expired</t>
  </si>
  <si>
    <t xml:space="preserve">fraud company which provides rotten and old fruits and
                  vegetables which are not even edible. the customer care is not
                  assisting to provide refund for the product and just saying
                  that it is the policy and the correct product is provided.
                  would request everyone to please use better apps like blink it
                  and Bigbasket as Zepto is Fraud.</t>
  </si>
  <si>
    <t xml:space="preserve">I placed an order, amount got deducted but order not placed.
                  There was no live chat support or contact number whom I can
                  contact. Really upsetting to see these types of app who don't
                  support live chat support.</t>
  </si>
  <si>
    <t xml:space="preserve">Had a very bad experience soo disappointed with this app In
                  starting it was well and good later this app stopped giving
                  wallet or if wallet is available it's not applicable on orders
                  .... It's very disappointing</t>
  </si>
  <si>
    <t xml:space="preserve">My experience is worst with zepto, my order was cancelled
                  yesterday and I haven't get my refund yet, no customer support
                  number and even no responses on mail. finally resolved thank
                  you</t>
  </si>
  <si>
    <t xml:space="preserve">I had a weird experience. The 'Manage Referral' option is not
                  showing for me, even after placing many orders. Customer
                  support is also not providing satisfactory answers.</t>
  </si>
  <si>
    <t xml:space="preserve">Zepto has done a fraud with me of Rs. 335 by not refunding my
                  money. There customer support is very bad as compared to other
                  quick commerce plaftorms. So, I have decided to not use this
                  fraud app from now onwards.</t>
  </si>
  <si>
    <t xml:space="preserve">What a worst app, I have placed an order and also done the
                  payment online but now order is not visible in orders tab in
                  aap and also I didn't receive my order..if I didn't receive my
                  money back then I will do complain in consumer court</t>
  </si>
  <si>
    <t xml:space="preserve">They are not delivering on time, delivery partner not
                  answering Phone calls, in application showing "your order has
                  arrived in 7 mins" after that notification it took more the 15
                  mins to delivered. There's no response in App's help center.</t>
  </si>
  <si>
    <t xml:space="preserve">Completely worst experience, it doesn't provide any bags
                  either paper or reusable. The experience is super worst.</t>
  </si>
  <si>
    <t xml:space="preserve">Only making fool, on my first order they given me cash back
                  rs.125, but on next order you can't apply that cash back
                  amount. They show you message amount not applicable now try
                  again. And customer service poor and lazy response. Hated it</t>
  </si>
  <si>
    <t xml:space="preserve">What a nonsense app the move the page will direct for payment
                  all the product are out of stock and your cart gets empty...
                  Swiggi Instamart is always the best</t>
  </si>
  <si>
    <t xml:space="preserve">free and fast delivery. The option of no paper bag is the
                  best. vegetables and others have great discounts with best
                  quality.</t>
  </si>
  <si>
    <t xml:space="preserve">Totally fraud app, price is high compare to shop and no
                  cancellation or refund polocy ones u order. I ordered today i
                  received broken seal package and i complained but no response
                  from zepto. So i want to aware all people please dont use this
                  app and dont be fool. Today i uninstall it. Woest app and
                  making people fool.</t>
  </si>
  <si>
    <t xml:space="preserve">The apply is extremely nice for online shopping in all
                  product's. The app provides cashback offer. The app provides
                  less amounts of product. The app provides quick delivery.</t>
  </si>
  <si>
    <t xml:space="preserve">zepto app very useful for buying new product with discount and
                  so much offers applicable in zepto app ( i have seen that many
                  of customers are installing daily by daily formation to
                  purchase very less amount of the product .( I also have seen
                  that zepto app fastest delivery app in India .</t>
  </si>
  <si>
    <t xml:space="preserve">Zepto is very good app for grocery and i am satisfied with
                  delivery service and the cashback we got is incredible and I
                  don't see any other app to provide free cash in wallet so i am
                  going to rate this app. 5 star and that's good marketing by
                  zepto overall</t>
  </si>
  <si>
    <t xml:space="preserve">It's not accepting my location but therefore I couldn't use
                  this app..and also I checked my location is On..and I try to
                  go inside but it's stops in location and not abel to enter and
                  buy the things...I don't know why..</t>
  </si>
  <si>
    <t xml:space="preserve">Don't download this app. The store and delivery persons run
                  the scam. They don't deliver full items we ordered and even
                  don't refund the amount of not delivered item. This is scam is
                  run by company itself with store people</t>
  </si>
  <si>
    <t xml:space="preserve">Always take longer time to deliver. It never takes less than
                  30 mins to deliver. Always deliver in twice the time reflected
                  while ordered.</t>
  </si>
  <si>
    <t xml:space="preserve">This app is terrible ðŸ˜. debited my money without accepting my
                  order even I have waited for 20 mins straight opening the app
                  with no network issue ðŸ™‚...no response from the mail which I
                  have sent ðŸ˜  I want my money back</t>
  </si>
  <si>
    <t xml:space="preserve">this a very app I am using this app for 2-3years and I have
                  almost not a single complaint but some time they show we are
                  not accepting order yet and sometimes not accepting zepto cash
                  anyway it is a good platform for order groceries aur more I am
                  giving it 5 star â­</t>
  </si>
  <si>
    <t xml:space="preserve">7/10 times ordered delivered on time , Sometimes rider taken
                  the order from store but didn't delivered at destination.
                  overall experience was very good ðŸ˜Š</t>
  </si>
  <si>
    <t xml:space="preserve">I'm very much disappointed. Why do you give free money when
                  evertime you just need to show the road blocked! Stop this
                  marketing stunt. Blink, it is far better than yours.</t>
  </si>
  <si>
    <t xml:space="preserve">You try to order something via UPI and if your payment fails,
                  it automatically becomes COD and the order gets placed. They
                  then refuse to cancel your order. This is the worst kind of
                  trick to scam customers. Shame on you Zepto!!</t>
  </si>
  <si>
    <t xml:space="preserve">Everyone is having issue of not able to use wallet cash..And
                  it has been a week and you didn't able to solve it.. Even I
                  have mailed you multiple times.. Totally worse experience..</t>
  </si>
  <si>
    <t xml:space="preserve">Very pathetic service.. I ordered 8 items of 940 rs and get 5
                  items .. 3 items are missed and which values about 500 rs.. I
                  did call and msg again and again to helpline but not getting
                  satisfactory response just got robotic msg that we delivered
                  all ur order.. seriously we are dumb.. I will never ordered
                  from this app again..</t>
  </si>
  <si>
    <t xml:space="preserve">I can trust them blindly in terms of packaging, time constrain
                  and freshness of products with great offers :) Really
                  satisfied....</t>
  </si>
  <si>
    <t xml:space="preserve">Recommended. Better discount along with bank offers. Also
                  available Exchange &amp; returns for eligible Items. On time
                  delivery ðŸšš, very nice.</t>
  </si>
  <si>
    <t xml:space="preserve">Plese don't trust this app this app is totally scam , they
                  never refund you money and they send you expired product .
                  They had given me a old product then they took it back n its
                  been days they neither given it back nor refund my money.</t>
  </si>
  <si>
    <t xml:space="preserve">Very bad experience with zepto i didn't get my item which i
                  have orderd i have paid for that. Within 5min they give the
                  product but none of the item will be there in that. Worst i
                  have ever used</t>
  </si>
  <si>
    <t xml:space="preserve">Really poor service, especially customer resolution. Tried
                  following up thrice and Zepto staff was unprofessional. Stick
                  with Instamart/Blinkit.</t>
  </si>
  <si>
    <t xml:space="preserve">Worst app no price transparency as items price are shown
                  without GST and GST is added silently at checkout,also parcel
                  doesn't come in time. Better to use blinkit or swigg
                  instamart.</t>
  </si>
  <si>
    <t xml:space="preserve">Starting it was good but from few days it's not working
                  properly my amount is deducted but didn't receive any delivery
                  and no costomer care support and ur app doesn't show the
                  confirmed prepaid orders details like order status in ur app</t>
  </si>
  <si>
    <t xml:space="preserve">Had a very bad experience with this app, I have 150 in my
                  wallet and I have applied while placing order and again they
                  charged me including of 150 at the time of delivery. Just
                  making the customers fools for their business.</t>
  </si>
  <si>
    <t xml:space="preserve">I want to give five star but due to only one reason that is
                  zepto supersaver.. If you will order less amount of product
                  then you will get discount and cash but if will order amount
                  of 500 and above then you will get delivery free only when you
                  order 500 and above and no discount you will get...</t>
  </si>
  <si>
    <t xml:space="preserve">I love the clean interface and seamless experience provided by
                  Classic Rummy. Makes online gaming so much better...</t>
  </si>
  <si>
    <t xml:space="preserve">Too much bad experience I had tribal experience I had placed
                  order and select payment mode upi I made 2 time payment by
                  mistake but I didn't receive any refund or no any one help me
                  I was continue contact with delivery person or CX care no but
                  they also didn't receive call</t>
  </si>
  <si>
    <t xml:space="preserve">Not at all good experience very slow when you choose the
                  option for COD. UPDATE YOURSELF A LITTLE BIT IF YOU ARE REALLY
                  GIVING SERVICES.</t>
  </si>
  <si>
    <t xml:space="preserve">Just installed the app and tried ordering. The very first
                  order, money was deducted but order was cancelled and there is
                  no refund processed. Pathetic experience</t>
  </si>
  <si>
    <t xml:space="preserve">I have received 50rs from zepto in wallet i added 50rs more to
                  order somthing from my bank account but now I'm not even able
                  to use zepto money wallet 100rs total it's showing it but
                  error unavailable to use try after some time... I want my
                  money back..</t>
  </si>
  <si>
    <t xml:space="preserve">Not able to login to the app after most recent update. Edit: I
                  have already sent an email to support 3 days ago. No one has
                  bothered to respond yet.</t>
  </si>
  <si>
    <t xml:space="preserve">Worst of all grocery delivery apps. I never seen this much
                  slow app. The ordering and payment related things are taking
                  ages</t>
  </si>
  <si>
    <t xml:space="preserve">I ordered [food/groceries] from Zepto and here's my
                  experience: - Fast delivery - Easy to use app - Good quality
                  [food/groceries] - Affordable prices - I would recommend Zepto
                  to others for their fast delivery and convenient app.</t>
  </si>
  <si>
    <t xml:space="preserve">I have a bad experience with zepto.I didn't get my refund back
                  and showing that refund has been completed. Even i mailed to
                  the customer care service it is consuming much time of mine.</t>
  </si>
  <si>
    <t xml:space="preserve">In starting it is good but on my 4 order my money was deducted
                  but order not confirmed and cancelled still I didn't receive
                  my money ðŸ˜ž And in app there is no help or support fesclity
                  the who do I question for my money Hii I have added 50rs from
                  my account to my sister zepto wallet and when I am going to
                  order something it shows that zepto wallet is unavailable what
                  is this nonsense.its very bad experience 90493 01501</t>
  </si>
  <si>
    <t xml:space="preserve">Worst experience ever. Amount got debited from the account but
                  order isn't placed and customer representative also couldn't
                  resolve the issue apart from mentioning that he'll escalate
                  the issue.</t>
  </si>
  <si>
    <t xml:space="preserve">I have ordered rs 289 worth products using my 150rs free
                  wallet cash but at the time of delivery my free wallet cash is
                  removed without any acknowledgement I had to pay full amount
                  to delivery agent. This is very frustrating and disappointing
                  u don't even deserve 1star rating this is clearly a fraud
                  towards consumer</t>
  </si>
  <si>
    <t xml:space="preserve">Terrible experience. Noone picks the customer care call. Noone
                  cares to reply on the chat. Horrible experience. Delivery guy
                  took off and even he is not picking . Noone is there to
                  clarify on a item missing.</t>
  </si>
  <si>
    <t xml:space="preserve">perfect late night delivery . very convenient for a tourist.
                  If i miss something in my supermarket shopping i need not
                  worry. just order thru zepto and satisfy my wife's
                  requirements.</t>
  </si>
  <si>
    <t xml:space="preserve">all the products r costly and they r charging heavy fees in a
                  hidden way. check urself.. at the time of payment, calculate
                  the total cost of all the products and the charges u paying..
                  there is a huge gap</t>
  </si>
  <si>
    <t xml:space="preserve">It disappointed me a lot because sometimes it allows you to
                  use cash on delivery options and sometimes not, and sometimes
                  it allows me to use zepto cash and sometimes not blinkit app
                  is far more better than zepto</t>
  </si>
  <si>
    <t xml:space="preserve">Horrible customer service!! I am a VNA trainer and your guys
                  need to work on all parameters especially, active reading and
                  understanding. They are like dummies who can only share canned
                  responses and then disconnect chats or transfer it if they
                  find the query to be too difficult. Retrain your staff
                  probably sack these guys and get new ones</t>
  </si>
  <si>
    <t xml:space="preserve">Worst experience ever. I have money in my wallet but its is
                  showing currently unavailable and i can't use it for my
                  orderðŸ˜¡ðŸ˜¡... Will change my rating after i can be able to use
                  it again</t>
  </si>
  <si>
    <t xml:space="preserve">When I ordered the product or applied 100rs zepto cash to my
                  order then the courier partner called me or told me that my
                  order has been canceled, why did I ask why it did not tell me
                  my experience was very bad with the app.</t>
  </si>
  <si>
    <t xml:space="preserve">this app was awesome because of this app my life must easy and
                  there delivery was so fast and they on time only in starting
                  they give zepto wallet also for free shopping but
                  unfortunately i am not able to used zepto wallet but my honest
                  review is this was awesome must have to try</t>
  </si>
  <si>
    <t xml:space="preserve">Best App for the current fastest world. we can sit in home and
                  get what we want on time resulting time saving and majorly
                  pollution and traffic reduces if we personally do the same
                  ourselves.</t>
  </si>
  <si>
    <t xml:space="preserve">Rotten products delivered, no product support, app support
                  chat hangs. Delivery delays no update where the delivery
                  person is stuck . Overall a bad experience</t>
  </si>
  <si>
    <t xml:space="preserve">Not really good third class service The delivery boy always
                  denied to deliver or always deliver less items delivered does
                  not even get the money quickly. I have to escalate complaints
                  for again and again.</t>
  </si>
  <si>
    <t xml:space="preserve">Very bad experience.... I have send them almost 30 mails about
                  my refund and they still haven't done any progress. Nothing</t>
  </si>
  <si>
    <t xml:space="preserve">I used zepto for a last few months in initial days it's gives
                  some cash even I ordered minimum of things like 50Rs,
                  75Rs...but then they don't give any cash in my wallet even I
                  ordered for more than 500Rs and they don't have any customer
                  support too worst!</t>
  </si>
  <si>
    <t xml:space="preserve">I did have a problem in zepto cash I had a sum of money in my
                  account and the problem is that when purchasing the items in
                  my cart I couldn't use my zepto cash it shows me unavailable
                  despite being in mumbai please solve this issue as soon as
                  possible</t>
  </si>
  <si>
    <t xml:space="preserve">Eggs are widely considered a highly nutritious food, offering
                  a great source of protein, essential vitamins like Vitamin A,
                  B12, and D, as well as minerals like selenium I've been a Van
                  Sant fan since " Drugstore Cowboy" and " My Own Private
                  Idaho". He is fearless in tackling some of the most
                  controversial and difficult subject matter. The entire
                  production is outstanding. The soundtrack is terrific. The
                  casting is excellent. Penn delivers the finest portrayal of
                  his stellar car</t>
  </si>
  <si>
    <t xml:space="preserve">Everything else Is good but please remove red color from
                  prices ...I mean red colored box in which price is written
                  that feels uncomfortable and triggering...remove it..find
                  other way to highlight the discount but please remove that big
                  red box</t>
  </si>
  <si>
    <t xml:space="preserve">Worst "help" service... Not even allowing me to give delivery
                  related experience and no info on riders contact info. I do
                  not recommend this app if you want a good customer service.</t>
  </si>
  <si>
    <t xml:space="preserve">23 rupees in item handling fee!? You are handling grocery
                  items, not fragile valuables. And this fee is cunningly hidden
                  behind the Item Total. There is an insane amount of dark
                  patterns within this app.</t>
  </si>
  <si>
    <t xml:space="preserve">Guys Executive is not excepting their mistakes, so before
                  purchasing any products be ready for legal process also. Third
                  class service of Zepto, Cheating in products quality and
                  sending different products, there is no support option in the
                  application. Stop purchasing from Zepto#</t>
  </si>
  <si>
    <t xml:space="preserve">Extremely disappointing app . Orders get placed automatically
                  without confirmation on COD . Also , they gave some free cash
                  which they now say that it is disabled in your account .
                  Pathetic services</t>
  </si>
  <si>
    <t xml:space="preserve">This app does not allow the users to return or exchange the
                  order which is mistakenly ordered. What if the customer
                  ordered wrongly? If the app doesn't allow the customer to
                  exchange, the product delivered is waste.</t>
  </si>
  <si>
    <t xml:space="preserve">Actually it's a good app for delivering early.But when I place
                  my first order I was just checking whether we can pay it by
                  upi or not the. Order was placed nd within 5-10 mins he was on
                  my door stepðŸ˜­</t>
  </si>
  <si>
    <t xml:space="preserve">Hi I am very bad experience with customer service today, I
                  raised complaints regarding some items not delivered. After
                  waiting for 2 hours, they reported no intimation. They even
                  not checked with their delivery man who said that to wait for
                  15 mins as another delivery person will come with delivery,
                  and if not come please raise request for refund. I request
                  them but they not refunded yet. Pathetic service</t>
  </si>
  <si>
    <t xml:space="preserve">Zepto is an amazing app i have ever used, wonderful experience
                  Groceries is delivering within 10 minutes that's amazing.</t>
  </si>
  <si>
    <t xml:space="preserve">Delivery process is very nice product also good but after 2,3
                  delivery prices of product is much much high so go on shop is
                  best than order from zepto. For example I have ordered kinley
                  soda bottle price is 20rs delivery and low cost cart fees I
                  got this bottle rs Rs.106</t>
  </si>
  <si>
    <t xml:space="preserve">It is Really not user friendly app. I have ordered by mistake
                  but their is no any order cancellation option.worst services I
                  have ever experienced ðŸ˜žðŸ˜ž</t>
  </si>
  <si>
    <t xml:space="preserve">It does have service on kanyakumari (Tamil Nadu) . Even it's
                  does not have service on few places in Chennai. I think it's
                  better if service is available on kanyakumari.</t>
  </si>
  <si>
    <t xml:space="preserve">zepto is a cheating company..it's shows a offer and will not
                  apply at the check out..if we try to use same cashback to
                  another order it shows coupon expired ðŸ˜•...worst customer
                  service..openly cheating customers with fake promotions</t>
  </si>
  <si>
    <t xml:space="preserve">Worst app, ordered for very first time on 16.12.24 and order
                  was not placed and money got deducted from account,and didn't
                  got the refund yet. Zepto refund my money Asap. Already mailed
                  you on your email address still got no reply from y'all.</t>
  </si>
  <si>
    <t xml:space="preserve">When I am trying to use free cash it says "amount temporarily
                  unavailable.Please try again later." This message is showing
                  up from past 3 days. First you pretend to give free cash, then
                  don't allow to use. Stop fooling people.</t>
  </si>
  <si>
    <t xml:space="preserve">I deposited money to zepto wallet for create an order and now
                  they don't allow me to use wallet cash for order. They told me
                  that create order with other payment method. So what is the
                  meaning of cash deposit in zepto wallet I tried to contact
                  them many times in live chat and email but they did fraud.</t>
  </si>
  <si>
    <t xml:space="preserve">Their customer service is so poor . The rider didn't even
                  delivered the order and marked it delivered. Even the customer
                  service is unresponsive. Worst experience.</t>
  </si>
  <si>
    <t xml:space="preserve">Zepto has advertised free xmas gift for all orders. Believing
                  this i ordered from zepto but they are not sending any gift.
                  Customer care is not able to resolve. Is it not cheating
                  customer by false advertisement</t>
  </si>
  <si>
    <t xml:space="preserve">very good app , better than other delivery apps ,they even
                  give you some amount of seito cash which you can use in your
                  order to reduce the cost of your order must try this app over
                  other delivery apps</t>
  </si>
  <si>
    <t xml:space="preserve">1st time i install this app and set my location but it's
                  showing location is not serviceable. And without set your
                  location it's not working ahed.</t>
  </si>
  <si>
    <t xml:space="preserve">Zepto Delivery Experience is almost 100%-110% Extreme Very
                  Good including Products Quality and delivery partner
                  behaviour.Itâ€™s now available 24 Hours, when i need something
                  Zepto always with me,itâ€™s Super Love it! by the way, Zepto
                  sometime provide Free cash itâ€™s also Friendly with everyone. i
                  want say __ Keep move on Dude!â˜…â˜…â˜…â˜…â˜…</t>
  </si>
  <si>
    <t xml:space="preserve">Please dont use this app they provide worst service . They
                  have not delivered the product .rhey didn't return the money.
                  You cant even reach customer care .numbers doesn't get
                  connected waste . Compare to other apps zepto is expensive</t>
  </si>
  <si>
    <t xml:space="preserve">Worst experience with customer service. They always come up
                  with some excuses to avoid there mistakes. Am not using this
                  anymore and uninstalled it Swiggy is much better that this</t>
  </si>
  <si>
    <t xml:space="preserve">Fraud company, Firstly it give you a free volte money. And
                  says, you must a order than you can use your volte money. When
                  you ordered items, then the bolate money will be deleted
                  automatically. This is new style of fraud.</t>
  </si>
  <si>
    <t xml:space="preserve">Fraud company where price of products changes on different
                  phones and delivery time is never correct. And most of the
                  times cart is unservicable.</t>
  </si>
  <si>
    <t xml:space="preserve">very bad apples, less quantity, and different lower variety.
                  But delivery time is good. Shared details about concern but
                  even after 5 days no response. So much of an arrrogance!</t>
  </si>
  <si>
    <t xml:space="preserve">My experience is very bad with this app. No proper response
                  from customer support regarding refunds. Not a customer
                  friendly app. I'll never recommend this app to anyone</t>
  </si>
  <si>
    <t xml:space="preserve">I'm amazed to see the product got with in a mentioned time,
                  less than a 10 min. Delivery is superfast.</t>
  </si>
  <si>
    <t xml:space="preserve">If you want to disappoint yourself then download this app. I
                  am trying for hours to give my location but the app for a
                  showing that your location is not available just
                  disappointment ðŸ¤¬ðŸ¤¬ðŸ¤¬</t>
  </si>
  <si>
    <t xml:space="preserve">Very bad experience nd fraud app.....I have 100 rupees in my
                  wallet and as I my order is placed these rupees will go
                  out......nd they are showing that one fresh surprise is coming
                  with my order but there is nothing surprise with my order.</t>
  </si>
  <si>
    <t xml:space="preserve">Zepto was good overall but.. it showed free potatoes and
                  tomatoes for Rs. 1 will be added automatically in our cart.
                  But it did not. Only once onion came for Rs. 1 and no more.
                  Fix this.</t>
  </si>
  <si>
    <t xml:space="preserve">I usually use super saver option and it's not showing after
                  recent update. I have raised issue with customer care as well</t>
  </si>
  <si>
    <t xml:space="preserve">Great app &amp; great service but please check expiry of
                  products before using it may be anything.I got a rotten
                  buttermilk which is expired already 3 days ago and still been
                  sold at discount which is blended with good buttermilk which
                  has validity</t>
  </si>
  <si>
    <t xml:space="preserve">There is a bug in the app, as I open the app it asks my number
                  and sends OTP bit after putting OTP it diverts me back to
                  previous screen for number and the app in not opening Do
                  something</t>
  </si>
  <si>
    <t xml:space="preserve">Extremely I didn't expect that, from Zepto. Because they are
                  not able use Zepto cash frustrated. Since 2 days Always
                  showing High demand your cash is on hold .Please fix your
                  problem of Zepto cash.</t>
  </si>
  <si>
    <t xml:space="preserve">The app is good but there is one problem the zepto cash is no
                  eligible to our address and that is absolutely wrong there
                  should be no partiality done becoz when our order comes late
                  when the company has their hurry up we don't give bad reviews</t>
  </si>
  <si>
    <t xml:space="preserve">Very bad experience , when I had missing items I couldnt get
                  the help , just texting n all but no help .... very very bad
                  experience</t>
  </si>
  <si>
    <t xml:space="preserve">Paid for the order twice and the money deducted twice despite
                  order being not processed. Fraud app. No customer care service
                  is there. They are bunch of thugs looting the money.</t>
  </si>
  <si>
    <t xml:space="preserve">The worst possible customer service Even after trying to reach
                  the customer service for help they tend to avoid you and give
                  you very childish answer and the customer support people will
                  make their own policies that they have not mentioned in their
                  own policies and If they don't have answer to your problem
                  they will end the chat from their side</t>
  </si>
  <si>
    <t xml:space="preserve">This app is quite good but they stop giving cashback after few
                  orders. I would like to request the team to look into this
                  problem and please solve it as quickly as possible.</t>
  </si>
  <si>
    <t xml:space="preserve">Almost every order gets cancelled either due to payment
                  failure or delivery partner unreachable. Plus the refund takes
                  forever.</t>
  </si>
  <si>
    <t xml:space="preserve">Very, very rude person on the phone. My biggest mistake trying
                  to order from Zepto. I would recommend Blinkit and Swiggy
                  insta mart inatead of Zepto DON'T ORDER FROM ZEPTO</t>
  </si>
  <si>
    <t xml:space="preserve">Good for delivery it's give first to 3rd orders given best
                  discount other orders increase the delivery amount and price
                  and take delivery charges I'm not recommended this app if you
                  have any emergency you can use this app</t>
  </si>
  <si>
    <t xml:space="preserve">Worst app ..i had got 200 in my wallet but now its showing
                  unavailable ....i just want to use it for ordering some snacks
                  , waste of time of this zepto app ,they even provide a
                  customer care number</t>
  </si>
  <si>
    <t xml:space="preserve">I ordered some items for myself and my amount got deducted but
                  now my order isnt showing. Refund me right now . So useless
                  app. And i will tell my friends and family not to download
                  zepto. The customer care is talking in such a manner that you
                  dont want to imagine. I want my refund</t>
  </si>
  <si>
    <t xml:space="preserve">This app is good and promise fastest delivery but daily given
                  the free cash use payment show for me 125 /50 but I am not use
                  because show the temporary unavailable show payment method
                  very bad and not given me updated app notification</t>
  </si>
  <si>
    <t xml:space="preserve">Honest review - price and delivery and even exchange is ok.
                  But No point calling or chatting with customer service as they
                  don't respond at all. If you are lucky they may respond after
                  an hour or so or randomly and then close the chat. You expect
                  more when you are giving them buisness on a daily basis.</t>
  </si>
  <si>
    <t xml:space="preserve">Worst experience of delivery. Mant time they late the order
                  more than a hour and today they they deliver only 1 unit of
                  ordered 2 unit for which I paid already and no support from
                  them. UNINSTALL TODAY.</t>
  </si>
  <si>
    <t xml:space="preserve">Worst app, i signed up and they gave me 100 rupees zepto cash
                  but it always says unavailable and on top they expire zepto
                  cash whenever they like , when the time still says it'll last
                  for an year. Pls avoid this scam. Don't use</t>
  </si>
  <si>
    <t xml:space="preserve">This app is amazing. I really liked it a lot. it has the best
                  pricing of products and really gives good
                  rewards/cashback.highly recommeneded</t>
  </si>
  <si>
    <t xml:space="preserve">I installed but my location is not serviceable, if my area is
                  not serviceable then why show a Ads, don't waste money, show
                  your adds as per deliverables address and city.</t>
  </si>
  <si>
    <t xml:space="preserve">Zepto is making me fool since a month, my cash in wallet appx
                  Rs. 300/- i am unable to use, he added me around 175/- that
                  also unable to use because when I check out with wallet
                  payment option it says zepto cash is temporarily unavailable
                  try after some time. Also it says amount loaded NOT
                  APPLICABLE. Strange</t>
  </si>
  <si>
    <t xml:space="preserve">My order with order is not delivered but is marked as
                  delivered and I tried reaching customer care as well as
                  delivery boy but no response given. Very disappointed with
                  delivery experience and also will complain about this scenario
                  in consumer court.</t>
  </si>
  <si>
    <t xml:space="preserve">My money was debited from my account but the order is not
                  placed. I want the money back. I have wrote the feedback to
                  your support team. No response from them.</t>
  </si>
  <si>
    <t xml:space="preserve">Worst app my order got canceled and didn't receive my amount
                  deducted from the account. No customer care option shown for
                  complaint and also dropped mail regarding the same but didn't
                  get resolution till now pathetic service ðŸ™„</t>
  </si>
  <si>
    <t xml:space="preserve">The worst app ever I use in my life, me add some biskit and
                  namkeen in cart when I pay then unexpected they change my cart
                  and order 3 packet Milk on the same price of biskit and
                  namkeen And then when I try to return my order they don't give
                  the return option ðŸ˜”</t>
  </si>
  <si>
    <t xml:space="preserve">Totally a fraud application, they take the money from you but
                  don't deliver your orders even their customer service team
                  doesn't respond. Totally a fake and fraud platform.</t>
  </si>
  <si>
    <t xml:space="preserve">Everything is good but the customer care service is worst. I
                  tried to replace my order due to some missing things...but the
                  chat support was taking so long to reply...I'm very
                  disappointed</t>
  </si>
  <si>
    <t xml:space="preserve">Zepto is not a good app, it's always gives the bad experience
                  to the users, they actually scamming in free wallet Cash
                  whenever I try to order by using cash wallet then the free
                  wallet Cash will not display during that timeðŸ¥µðŸ˜ ðŸ˜®â€ðŸ’¨</t>
  </si>
  <si>
    <t xml:space="preserve">I have been using it from Mumbai and it has started taking
                  more than half an hour for orders whereas it shows me 5-10
                  mins to arrive. Even Customer Support isn't helping much.</t>
  </si>
  <si>
    <t xml:space="preserve">i started to hating this app the variety is less price are
                  more they give us wallet money but make it unavilable and its
                  not just with me but also with my lots of family memeber of
                  different location and when i mail them they never replied its
                  been 2 weeks i try not order from this app atleast until they
                  resolve thier problems i suggest you to order from blinkit
                  until they will improvise themselves and i'll upgrade my
                  review if situation will get better</t>
  </si>
  <si>
    <t xml:space="preserve">This app is bad because the wallet money is not being used, it
                  is showing unavailable and the services are also not available
                  in many areas Please solve this problem of unavailable cash
                  wallet</t>
  </si>
  <si>
    <t xml:space="preserve">ðŸ˜¡ðŸ˜¡This is so bad app I have so bad experience by this
                  app...ðŸ¤¬ I order glossary from this app... But I don't get my
                  order but it show delivered and the customer care also don't
                  support to you and don't refund the money this app is totally
                  fraud and acquired your money t this app is totally fraud
                  don't trust on this app I request to all the people who are
                  reading this... There customer care also involve in this they
                  don't support you they take your money prepared don't
                  delivered your order ðŸ¤¬</t>
  </si>
  <si>
    <t xml:space="preserve">re editting my 5 star review, hope it reaches zepto, you need
                  to stop advertising products which you dont even have. it is
                  frustrating to see the ad and then cant even find its
                  existence in the app.</t>
  </si>
  <si>
    <t xml:space="preserve">Missing customer support... They miss orders and then you need
                  to bear the cost.. delivery person says not my responsibility,
                  no way to contact store.. chat people don't respond.. customer
                  care never connects.. order at your own risk..</t>
  </si>
  <si>
    <t xml:space="preserve">I buy a hot water bottle but bad quality of this product and
                  rider again and again damage product delivered,leakage issue
                  The company only puts up an OK testing sticker.But it does not
                  test properly.</t>
  </si>
  <si>
    <t xml:space="preserve">Zepto is the biggest fraud, we have lost a lot and called
                  customer care from there we were cheated, share screen, doctor
                  checked my entire bank, then asked us to pay by entering my
                  UPI ID, but till now we have been contacted. That's what we
                  are asking please no one is shopping in off line shop.. use
                  very bad app Zepto ðŸ˜¡ðŸ˜¡ðŸ˜¡ðŸ˜¡ðŸ˜¡ðŸ˜¡ðŸ˜¡ðŸ˜¡</t>
  </si>
  <si>
    <t xml:space="preserve">Worst appðŸ¤¬ I ordered something from this app but the delivery
                  boy just cancelled my order without informing, and I didn't
                  credited refund in my account since 4 days, but still in this
                  app it's showing that amt is credited ðŸ¤¬such a fraud app don't
                  use it</t>
  </si>
  <si>
    <t xml:space="preserve">An item was missing on my order and I was not issued the
                  refund.... This app is a scam. Try blinkit or Swiggy. Much
                  much better.</t>
  </si>
  <si>
    <t xml:space="preserve">Shows balance of rs 75.same has been selected for reward but
                  it is not deducted from order... We have to pay full amount...
                  Time for delivery shows 10 mins and it took 39 mins.... Worst
                  app</t>
  </si>
  <si>
    <t xml:space="preserve">One of the worst experience, every time it shows excuses like
                  temporary unavailable, store is closed or wallet is not
                  available etc.</t>
  </si>
  <si>
    <t xml:space="preserve">My payment got deducted thrice for the same order and their is
                  no means to raise a ticket for the same or get a refund worst
                  experience ever also the order came thrice I want refund.</t>
  </si>
  <si>
    <t xml:space="preserve">Zepto discriminates among their customers, they use to give
                  free gifts to the customers who hardly ordered but they never
                  gave free gifts to the customers who ordered almost daily. I
                  never received any gift from Zepto. This is ridiculous, I will
                  never use Zepto again.</t>
  </si>
  <si>
    <t xml:space="preserve">Had a really Very bad experience on zepto recently. They even
                  refused to return the money i added to wallet. Scam alert for
                  new users. Worst delivery app ever seen</t>
  </si>
  <si>
    <t xml:space="preserve">They show fake time of delivery my order has come in 11 min at
                  night and the cannot give traffic issue it's night first of
                  all and it more than 15 min from delivery time Improve First
                  of all then write lighting delivery and do not pick up phone
                  also ðŸ˜¡ðŸ˜¡ They should give according to orders Just Showing
                  4mins for 20 minutes</t>
  </si>
  <si>
    <t xml:space="preserve">Kindly don't buy from zepto, they sent me rotten items and
                  when i reported they told images are not clear, i don't
                  understand how they can identify rotten smell through images.
                  They are selling bad quality items at lowest price. Please use
                  swiggy instamart they sell better quality and their customer
                  support does help really when required.</t>
  </si>
  <si>
    <t xml:space="preserve">I'm receiving 75rs zepto cash message daily , but when i open
                  app there's no such ammount in my wallet , why do they share
                  this message twice a day when they don't want to give me zepto
                  cash. Really bad experience , 8 was using zepto from last 5 6
                  months frequently and i was ordering 5 time a week but now
                  this is not going to happen anymore. Bad experience .</t>
  </si>
  <si>
    <t xml:space="preserve">Not Bad, but also not good. First time use Kiya lekin deliver
                  bi nhi hua, exact location fetch hi nhi hotii, Delivery Bro
                  was such a nice person( Vikash). Unhone baad me current
                  location ki help se 10km distance pr jakey mujey order deliver
                  Kiya.. Not good experience. Thanku you</t>
  </si>
  <si>
    <t xml:space="preserve">The world's worst shopping app. Rude and ignorant customer
                  service people. I got the wrong item. They are neither
                  exchanging nor refunding. My request to anyone who uses this
                  app is to go with Big Basket.</t>
  </si>
  <si>
    <t xml:space="preserve">Very bad service, delivery partner is cheated he didn't
                  deliver the product but app is showing it's delivered, I
                  called customer care but no one is pick up the call. ðŸ˜¡ðŸ˜¡</t>
  </si>
  <si>
    <t xml:space="preserve">I have been losing patience with this app for quite a while
                  now, they take the money but no guarantee for on time
                  delivery, it's 10 min delivery not 1 hour delivery.</t>
  </si>
  <si>
    <t xml:space="preserve">Disgusting app. No proper delivery updates. Infected food
                  items. Payments processing issues. Hours in delivery Riders
                  not at all apologetic rather argue. Better stick with Blinkit.</t>
  </si>
  <si>
    <t xml:space="preserve">1. Your deliveries are always late. 2. Your customer service
                  rep is never available or my case is important that they need
                  to transfer me to a supervisor who never comes online.
                  Pathetic experience. I have received damag item and now am
                  stuck coz there is no one to assist me</t>
  </si>
  <si>
    <t xml:space="preserve">Very poor experience. Almost 1.5hr waited for my order, still
                  the rider has not delivered and customer care is not at all
                  bothered. Atleast they can have not cancelled or refund the
                  money back.</t>
  </si>
  <si>
    <t xml:space="preserve">Pathetic experience 1st I got 125 cash, then it's
                  automatically converts into 100 and now it's showing 0. Can't
                  compare with swiggy app. Worst app.</t>
  </si>
  <si>
    <t xml:space="preserve">I m not able to use my cash in the wallet for almost 1 month i
                  waited but its continuously showing 'temporarily unavailable '
                  i even complaint about this via email but no one responded and
                  till now i m not able to use the amount loaded in wallet</t>
  </si>
  <si>
    <t xml:space="preserve">Zepto is one of the best app for grocery but don't know what
                  is wrong with this app since lst 3mnth half of the time it
                  shows traffic congestion.For the past 3 days I am trying to
                  order bt since 3 days it's showing traffic congestion.</t>
  </si>
  <si>
    <t xml:space="preserve">I have loaded the zepto wallet with 100 rupees. But I couldn't
                  order any thing from zepto with the loaded cash. All time
                  wallet unavailable.No mail response. Very poor service.still
                  No response ver very poor service.</t>
  </si>
  <si>
    <t xml:space="preserve">Very bad customer service experience, and Coupon provided by
                  them is all the time unavailable and they take it back very
                  bad experience</t>
  </si>
  <si>
    <t xml:space="preserve">I usually prefer not to write any reviews, but the experience
                  with Zepto was overwhelming. The free gifts, no exaggerated
                  prices, the timely and efficient delivery. It is just a wow
                  experience.</t>
  </si>
  <si>
    <t xml:space="preserve">It was my first order and i got unsealed everest turmeric
                  powder, strange this was done by purpose as the sticker was
                  applied on the torn area, I want my refund, also will give 2nd
                  thought on giving next order.</t>
  </si>
  <si>
    <t xml:space="preserve">I subscribed to zepto pass for free delivery above 99, but i
                  cannot order items with this amount,and there is a lot of
                  scam, never got true offers properly</t>
  </si>
  <si>
    <t xml:space="preserve">Just had the most refreshing mango ice cream from Zepto -
                  perfectly creamy, great flavor, and delivered in minutes!
                  Perfect for a quick treat on a hot day. Highly recommend.
                  wonderful app</t>
  </si>
  <si>
    <t xml:space="preserve">I don't know about the customer care service, what they are
                  doing. I have raised an issue and I haven't received proper
                  solution from them. and I have shared my details day before
                  yesterday itseems.</t>
  </si>
  <si>
    <t xml:space="preserve">Very high rates of daily essentials &amp; vegetables. Free
                  cash also not redeemable. Blinkit is very better.</t>
  </si>
  <si>
    <t xml:space="preserve">This app in only for selected locations only 99/100 it will be
                  shown that they can't delivered on your location .... Then
                  what is the meaning of this app ?</t>
  </si>
  <si>
    <t xml:space="preserve">There is no customer care services, then how we can trust and
                  order. You can send number of mail to support team, automation
                  reply only received and no one will call and resolve your
                  issue. You also can not call, since there is no number
                  provided. Wallet balance will disappear automatically and you
                  can not utilize. No 1 worst service. My wallet balance 125
                  rupees given expiry date of Dec 10 2025, but Dec 6th 2024
                  itself disappeared.</t>
  </si>
  <si>
    <t xml:space="preserve">Really amazing zepto app very usefull app and fast delivery
                  shocking in 10-15 min great and very good. Packing .thank to
                  zepto and delivery boys also good behave .. All over superb
                  app pls download fast And Start using cashbacks also top good
                  thanks</t>
  </si>
  <si>
    <t xml:space="preserve">This is the worst e-commerce app i have ever seen, wherever I
                  open the app interface goes blank I can't even see a single
                  product... This is ðŸ¤®ðŸ¤®</t>
  </si>
  <si>
    <t xml:space="preserve">This app is very disappointing,in this app if we cancelled the
                  order once the app don't allow me to order anything again.very
                  ,very disappointed â˜¹ï¸ and the offers don't work after a while</t>
  </si>
  <si>
    <t xml:space="preserve">I have purchased tawa from zepto l. After 3 usage the center
                  area got bulged. When I tried to cook omelet it's flowing all
                  over the tawa. I request exchange of the product but zepto
                  refused. And the app also scam. The app not accepting the
                  image in which the product is damaged. So this is kind of
                  scam. Anyways zepto lose a customer. Bad product support and
                  customer support. Customer resolving skill is poor.</t>
  </si>
  <si>
    <t xml:space="preserve">I've noticed a discrepancy in the milk products I order
                  through Zepto compared to those I purchase directly from the
                  milk booth. The products received through Zepto appear to be
                  of a lower grade or altered in some way. I'd appreciate it if
                  you could look into this matter and ensure that the products
                  sold through your platform match the quality and standards of
                  those available at the milk booth.</t>
  </si>
  <si>
    <t xml:space="preserve">Order stuff from zepto....Payed in advance...and it showed
                  delivered on the app....but order was not received....also...
                  customer care was unable to resolve the issue and were
                  arrogant</t>
  </si>
  <si>
    <t xml:space="preserve">Worst app ever, added money from my account into Zepto cash
                  but not be able to use money at all, and also I have email to
                  customer support it's more than 15 days no reply from there
                  side</t>
  </si>
  <si>
    <t xml:space="preserve">Zepto does 10 minute delivery in an hour. Im still waiting for
                  my order. Tried zepto for first time and had a very bad
                  experience. Will be uninstalling it after this delivery</t>
  </si>
  <si>
    <t xml:space="preserve">Zepro is the best shopping app. And it gives very fast
                  delivery. It also gives a lot of offers. I am very satisfied
                  with Zepto</t>
  </si>
  <si>
    <t xml:space="preserve">Very dissatisfied ðŸ˜­ðŸ˜­ this app I have showing 100rs zepto
                  wallet cash but didn't use showing unavailable I have already
                  mail in zepto support team this issue but didn't respond very
                  bad experience in this app ðŸ˜• very disappointed ðŸ˜”</t>
  </si>
  <si>
    <t xml:space="preserve">It's my first time using this app and they arent taking my
                  orders showing traffic congestion. Whatever the purpose of
                  using this app when o can't place my orders.</t>
  </si>
  <si>
    <t xml:space="preserve">No option of return. The products I add in my cart and
                  products delivered have weight difference (always less).</t>
  </si>
  <si>
    <t xml:space="preserve">Guys literally i say use any other delivery app than zepto ,
                  bought a t shirt from zepto the worst quality i could see.
                  Even footpath quality was way good than this quality and worst
                  customer support and policies i say it's better to uninstall
                  and not to waste ur hard earned money and precious time ,don't
                  waste even to try once also it's my serious suggestion Google
                  should allow us to put negative rating as well</t>
  </si>
  <si>
    <t xml:space="preserve">This is a great app for groceries and one more thing delivery
                  is very perfect and quick delivery .</t>
  </si>
  <si>
    <t xml:space="preserve">I have ordered a product with gift packaging but they not
                  delivered with gift packaging and also they charge me extra
                  Rs. for packaging. This is my first order and very
                  disappointing.</t>
  </si>
  <si>
    <t xml:space="preserve">Today I ordered from zepto and my money was deducted but in
                  the history there is no order placed and I'm trying to get in
                  touch with them but no response. Blinkit &amp; swiggy are far
                  more better</t>
  </si>
  <si>
    <t xml:space="preserve">One of worst app store maneger app, if we order corrionder,
                  they deliver other item, they don't minimum common sence, i
                  think th e maneger also one of the worst person, that's why he
                  didn't taken any action.... ðŸ˜¡</t>
  </si>
  <si>
    <t xml:space="preserve">I have cash back of 125 rs in my wallet but when I trying to
                  place an order more than 500 also full amt is getting
                  debited....app is not working properly now a days and price is
                  also more compare to other platforms</t>
  </si>
  <si>
    <t xml:space="preserve">I have cash in wallet, and I am unable to use it. Sent emails
                  to resolve the issue.no response from them. It is better to
                  un-instal this app.</t>
  </si>
  <si>
    <t xml:space="preserve">App is always resting. Uninstall immediately after
                  installation. Total waste of time. I think this is not
                  functional.</t>
  </si>
  <si>
    <t xml:space="preserve">this is my first order on this zepto platform and I am totally
                  Happy for your good service ðŸ’˜ i received my all orders but
                  some items qualitys i check and find out that is just little
                  bad quality otherwise everything is fine and Faster delevery
                  thanks ðŸ‘ðŸ»</t>
  </si>
  <si>
    <t xml:space="preserve">This app is pathetic on time bound , delivery shows order
                  arriving in 5 min from 27 mins its showing same , i understand
                  agents potential ,speed of vehicle etc but show the correct
                  timing yar why to show 5mins i dont like this thing.</t>
  </si>
  <si>
    <t xml:space="preserve">Super saver option is not visible/accessible. Delivery is
                  super fast.</t>
  </si>
  <si>
    <t xml:space="preserve">Most horrific experience ever. Money gets deducted, order
                  doesn't get placed. Customer service is so poor, no call backs
                  or anything!!!</t>
  </si>
  <si>
    <t xml:space="preserve">Waste app...don't go with it has a very bad customer
                  support..they gave an expired product with dates of
                  manufacturing and expiry erased and on asking one of their
                  executive claimed it has enough shelf life and will not be
                  refunded or exchanged..I had to spend whole day after them to
                  ask for atleast an exchange...</t>
  </si>
  <si>
    <t xml:space="preserve">My experience with zepto has been very poor as zepto did not
                  help me with my return or exchange, services and policies are
                  very bad ,If an order is placed by mistake, then there should
                  be an exchange and return policy. Neither your policy has any
                  strength nor your IT n customer support, very cheap.The
                  customer support executive ended the chat without completing
                  my point., I will never order from zepto after today. This was
                  my last order.</t>
  </si>
  <si>
    <t xml:space="preserve">Worst app and pathetic customer service,on first place wrong
                  item delivered after returning item the app is showing return
                  failed and item has already been returned My money is not
                  refunded yet Customer support is like transfer the chat one
                  person to another</t>
  </si>
  <si>
    <t xml:space="preserve">Worst Experience with a quick Commerce Application.Never got a
                  single delivery in time and also support staff and customer
                  service team is also Poor.Better choose Swiggy Instamart or
                  Blinkit</t>
  </si>
  <si>
    <t xml:space="preserve">Horrible app,, useless.. have zepto cash but unable to use it.
                  It also includes the money added by me. It showing not
                  available for use. What a trash app</t>
  </si>
  <si>
    <t xml:space="preserve">Worst experience because I ordered red boll and the forgot to
                  pack and the cancelled my order and my free delivery offer
                  also gone 99 free delivery offer gone, so never recommend this
                  app ever</t>
  </si>
  <si>
    <t xml:space="preserve">I don't find cash on delivery option in it ðŸ˜¡ðŸ˜¡ðŸ˜¡.I always
                  used to pay after the items delivered to me...but now I can't
                  find cash on delivery option.</t>
  </si>
  <si>
    <t xml:space="preserve">They are just scamming the people by givingg fake zepto cash,
                  which you can not use at any time for anything. These are just
                  to do fake marketing. Worst app. I would suggest you by from
                  Flipkart grocery instead of zepto.</t>
  </si>
  <si>
    <t xml:space="preserve">Money has been deducted from my account but the order is still
                  not processed. App is showing that service is unavailable. I
                  need refund ASAP.</t>
  </si>
  <si>
    <t xml:space="preserve">A complete fraudulent setup. The company marks the order
                  delivered for all the prepaid orders. They don't provide COD
                  and scams their customers. I lost 350 in their scam. Save
                  yourself or else goi too will loose it. Go for trusted app
                  like blinkit or Instamart instead of these cheaters. Also.
                  Sent multiple mails to get the issue addressed but obviously
                  scammers don't reply. Mail sent again with all the proof and
                  details. They never even look at the mails sent.</t>
  </si>
  <si>
    <t xml:space="preserve">Can't talk to customer care of anything emergency..... Contact
                  to customer care would be helpful if added. Worst customer
                  care .... After contacting and even after the connection with
                  customer representative they don't respond evenafter 20 min
                  .... Worst worst worst.....</t>
  </si>
  <si>
    <t xml:space="preserve">Their price and service is good but cancel option should be
                  there . That option is missing from this app and no proper
                  customer care to assist you. This should be improved.</t>
  </si>
  <si>
    <t xml:space="preserve">Worst update. After this latest update it takes too- too long
                  for items to be seen on screen or for going to any next
                  screen. Pls improve performance.</t>
  </si>
  <si>
    <t xml:space="preserve">Manipulative SCHEME, i have ordered the item worth Rs 75/-
                  &amp; i have promo cash balance is rs. 50/-. it means i have
                  to pay the rest amount Rs 25/-. but after the item dispatched
                  my total bill amount payable is 98/-. So why should I pay Rs.
                  98/- instead of 25/- for the product with MRP. Rs. 75/-</t>
  </si>
  <si>
    <t xml:space="preserve">Had a very disappointed experience with this app.My zepto
                  wallet 75rs I wanted to use it but option is not available
                  shown so I m not satisfy this problem.I m very disappointed
                  this app and services.I have already mail but not any support
                  for your hand</t>
  </si>
  <si>
    <t xml:space="preserve">I didn't like this app because it's not available in my area
                  and in other areas too I have put two locations but its not
                  available in both the areas so don't use it</t>
  </si>
  <si>
    <t xml:space="preserve">never ordering. they will send you rotten products and will
                  not refund or replace. I'd rather order from kissan connect or
                  Flipkart. ps. I did email them, but to no avail.</t>
  </si>
  <si>
    <t xml:space="preserve">Have ordered food a couple of times and food which are near to
                  expiry date are been delivered. They need to mention the
                  expiry date on each product so the customer can make informed
                  decisions to order.</t>
  </si>
  <si>
    <t xml:space="preserve">Money got deducted and order didn't placed also didn't got the
                  refund. I would tell don't use this app blinkit and others are
                  much better than Zepto. I really unhappy with this app.</t>
  </si>
  <si>
    <t xml:space="preserve">All time trafic congestion what is this ...can any one will
                  not buy any item anytime if not available then all right but
                  things have but not deliverable for traffic congestion what is
                  this ,is this any fun?</t>
  </si>
  <si>
    <t xml:space="preserve">Worst app ever. If u order by mistake u don't have option to
                  cancel the order. They don't even have customer support. Now
                  stopped using zepto...worst support ever.</t>
  </si>
  <si>
    <t xml:space="preserve">Do not order from here, money get debited from my account
                  &amp; then order gets cancelled because location is
                  unserviceable. The app is a joke if this is the case.</t>
  </si>
  <si>
    <t xml:space="preserve">Always late. Fake ETA. It always takes 3-4 times more time
                  than ETA on each delivery. Dilivery boy shows a time which is
                  also again more than the ETA.</t>
  </si>
  <si>
    <t xml:space="preserve">Your support team is useless. You charged my card but the
                  order didn't get placed. I've been kept on hold for about 15
                  mins. No support.</t>
  </si>
  <si>
    <t xml:space="preserve">I have added funds into zepto. ash, but unable to use it since
                  so many days, it's not good, and also there is customer
                  support is not available.</t>
  </si>
  <si>
    <t xml:space="preserve">Worst customer care service...u don't receive the calls...I
                  haven't got my refund yet and in app it's showing as credited
                  to your account... can't trust this app</t>
  </si>
  <si>
    <t xml:space="preserve">ðŸ˜¡I am not able to use zepto cash from the wallet and when i
                  asked coustomer support they say please update your
                  application to the latest version and then i updated it again
                  i am not able to use the zepto cash. Worst experience
                  everðŸ˜¡ðŸ˜¡ðŸ˜¡</t>
  </si>
  <si>
    <t xml:space="preserve">Use other similar apps.. They have worst policy. If you want
                  to exchange wrong/ defective product.... They will never
                  assist you... Worst company bottom to top..... Only the
                  delivery partner are good..</t>
  </si>
  <si>
    <t xml:space="preserve">Now is disappointing because I have some amount in my zepto
                  wallet. I can't use that because it's showing my area is
                  unserviceable steal from 15 days.. I talked to customer care
                  service but they can't help in this case.</t>
  </si>
  <si>
    <t xml:space="preserve">I received an open packet. The condition of the ordered item
                  is also very bad. This was my first order. My first experience
                  was very bad.</t>
  </si>
  <si>
    <t xml:space="preserve">Good for buying daily grocery but don't buy any electronics or
                  any other costlier thing, it hard to get replaced. Very bad
                  return policies. Once bought it's done.</t>
  </si>
  <si>
    <t xml:space="preserve">I ordered two items. But received one. One items missing. And
                  i pay packing fee. But items received without packing. Useless
                  app ðŸ‘ŽðŸ‘ŽðŸ‘ŽðŸ‘ŽðŸ‘Ž</t>
  </si>
  <si>
    <t xml:space="preserve">It's written that on orders above 499, I'll receive a
                  Christmas gift box but even after adding items above 499, gift
                  box is not getting added to my cart. Please see to it as soon
                  as possible.</t>
  </si>
  <si>
    <t xml:space="preserve">Amount deducted from bank account but order is not placed.
                  There is no dedicated call centre number to reach out. What a
                  ridiculous service. I need a call back asap to solve this
                  issue.</t>
  </si>
  <si>
    <t xml:space="preserve">very easy to use and order and quick and fast in delivery.
                  Best for local purchase.</t>
  </si>
  <si>
    <t xml:space="preserve">It says "free cash temporarily unavailable. Please try again
                  later". I tried 2-3 times, but I am unable to use the cash. Do
                  not pretend to give free cash and fool people.</t>
  </si>
  <si>
    <t xml:space="preserve">Very impressive interface but main thing is packing n quality.
                  Which is not good at all. I won't recommend. There were muddy
                  packs for all items I purchased. I have video too for dust.
                  PKG Date also not visible on one dry fruit pack. They will
                  auto reply ...we will rectify at earliest to all ðŸ˜but they
                  won't !</t>
  </si>
  <si>
    <t xml:space="preserve">Defective products are intentionally sent to customers and
                  then there is no provision of return, refund or exchange. If
                  you wish to raise a complaint then the customer support is not
                  helpful at all. Very bad experience!!!!</t>
  </si>
  <si>
    <t xml:space="preserve">It's been years. The delivery option is still not available at
                  400095. Then why the hell you gave us coupon and advertisement
                  on social platforms.</t>
  </si>
  <si>
    <t xml:space="preserve">Thw service is not available in my area or minimum distance to
                  i wlhave been trying from last 20 min to set a location but it
                  says serivce is not available how can it is possible to not
                  even have serivce from distance of 4 km to. I have set my own
                  location to but it is not taking</t>
  </si>
  <si>
    <t xml:space="preserve">Zepto is a revolutionary grocery delivery app, offering *Key
                  Strengths:* 1. Lightning-fast 10-20 minute delivery 2. Wide
                  selection of fresh produce and essentials 3. Convenient
                  real-time order tracking 4. Seamless and secure payment
                  options 5. User-friendly interface *Benefits:* 1. Saves time
                  and effort 2. Ensures freshness and quality 3. Competitive
                  pricing 4. 24/7 availability 5. Exceptional customer service
                  *What sets Zepto apart</t>
  </si>
  <si>
    <t xml:space="preserve">Due to Unble to location... more trying to location but not
                  connecting any show the pop-up trying to fetching.. first time
                  I'm extremely disappointed and uninstall the app...ðŸ˜žðŸ˜žðŸ˜¡ðŸ˜¡</t>
  </si>
  <si>
    <t xml:space="preserve">Fraud application, they send notification of Rupees this and
                  that credited to your account but when I check there no money
                  in wallet and even though when there is money in wallet it
                  doesn't show any option to use wallet cash !! And experience
                  wrong deliveries many time</t>
  </si>
  <si>
    <t xml:space="preserve">Very bad experience as the rider delivered the ice cream box
                  it's all covered with frost ice so &amp; after 5-10 minutes
                  when the frost ice melts from the box I can see the box is
                  damaged &amp; spillage from the box to &amp; it has a very
                  stale taste. When I issue a complaint at night no support was
                  give to me. In the morning I have asked for the replacement of
                  the product. But the product is damaged &amp; it's taste very
                  bad I have thrown that product away. It's not a cheap product
                  it's 300 hundred rupees ice</t>
  </si>
  <si>
    <t xml:space="preserve">Before ordering it shows to deliver within 10 minutes. But
                  always deliver in more than double the time. Don't expect
                  10mins delivery in any app. They just boast off false claims
                  of delivery in 10mins.</t>
  </si>
  <si>
    <t xml:space="preserve">They cancel order without informing. And expect customer to
                  wait for 3-5 days for refund. Very unreliable. Can't place an
                  order and be sure it is delivered after payment is done. Zepto
                  is NO longer an option.</t>
  </si>
  <si>
    <t xml:space="preserve">One of the worst service. Do not buy any products with them.
                  Received worst chicken, when complaint, asked to eat same
                  since it is within expiry. Have never seen such service in my
                  lifetime. Note: I have already had 10 calls with the zepto</t>
  </si>
  <si>
    <t xml:space="preserve">A worst experience who will told to give 10 min delivery
                  better pls close this app we have so Much apps is there to
                  order if we order th items means no cancellation option and
                  replace option very discusting and worst ever app better
                  swiggy instamart and big basket</t>
  </si>
  <si>
    <t xml:space="preserve">Biggest flaw is the lack of tracking, it doesn't show the
                  location of delivery guy. Also it just says "arriving in
                  10mins", it's very inconvenient since I usually go down in
                  society to take my orders. No clue where my order is
                  whatsoever.</t>
  </si>
  <si>
    <t xml:space="preserve">Every thing is good but my 2 order is cancelled in row and i
                  already pay with my UPI, and the refund amount is showing in
                  refund section but do not get any refund either in my zepto
                  wallet or in my account and they have no customer care in
                  which I can call They bot customer care chat option only which
                  do not resolve my issue</t>
  </si>
  <si>
    <t xml:space="preserve">"I am very impressed with Zepto's grocery service. The prices
                  are great these days, offering excellent value for money. The
                  delivery service is incredibly fast and reliable. Overall, I
                  am really satisfied and would recommend it to others. Keep up
                  the good work!"</t>
  </si>
  <si>
    <t xml:space="preserve">Zepto a very good service for us IT does work easy to buy need
                  gocsare items easy thank you for such kind of appreciation for
                  24/7 it' work easy and quick method and discount for each item
                  so that we can save your money also happy with Zepto We tell
                  my family and friends to buy need gocsare items easy to on
                  this app</t>
  </si>
  <si>
    <t xml:space="preserve">Great Experience :) Lots Of offers &amp; deals . Really a
                  happy customer :) And the Zepto cash are crazy ; A big time
                  saving for multiple times. Absolutely love this app &amp;
                  recommend to my family &amp; friends as all. Thank you Zepto.</t>
  </si>
  <si>
    <t xml:space="preserve">For like 3-4 months I have ordered 5 or 6 times various food
                  item from Zeptocafe. Everytime zepto has delivered me chilled
                  stale food instead of hot, and I have warned them every time.
                  But now I'm posting this, so that people should be aware of
                  this. Because they are not doing any solution. I would request
                  to all, not to take risk with your health. Because zepto
                  doesn't care about anything.</t>
  </si>
  <si>
    <t xml:space="preserve">The app is just installed but it keeps crashing. I have to
                  reopen every time to check a new product. Hopeless.. Edit. Wow
                  though i mentioned in the review the reply back from zepto is
                  sooo lame</t>
  </si>
  <si>
    <t xml:space="preserve">Better than blinkit. Blinkit used to crash sometimes, but this
                  is really good. But it would be nice if they added a book
                  store too</t>
  </si>
  <si>
    <t xml:space="preserve">Cheep service and ceep trick played they added 150 rs zepto
                  cash but they imposed restriction on that And their customer
                  support team also give wrong information regarding the cash.
                  he said if i place few orders that restriction automatically
                  removed i trusted him and placed one order after placing new
                  order that cash was expired it has validity december 2025 i
                  contact them regarding same but they said zepto has right to
                  remove the validity its proving that they are very cheeo
                  fellows</t>
  </si>
  <si>
    <t xml:space="preserve">It is nice app but few days I am going through some problems
                  it does not showing me the case on delivery and zepto wallet
                  case option I request the zepto team to plz look it plz.. Very
                  disgusting app soory but I can't it anymore....</t>
  </si>
  <si>
    <t xml:space="preserve">Waste app. I have 125 in my wallet but when I put order zepto
                  cash I unavailable. Waste of time in this app very
                  frustrateing ðŸ¥² and one thing in this if we pay online they
                  won't come that's why very waste app literally time waste ðŸ«µ</t>
  </si>
  <si>
    <t xml:space="preserve">Very worst services.. amt debited but no Gracery send on
                  time... Saying u order is cancelled wait 3to 5 days to refund
                  the amt... And Saturday and Sunday not consider for refund..
                  if any emergency also people will wait for refund..these apps
                  are not for middle class people.. because after paying amt
                  order cancel means where we can order again without any amt in
                  account..ðŸ˜¡ðŸ˜¡ðŸ˜¡</t>
  </si>
  <si>
    <t xml:space="preserve">best instant delivery app till now.. I like the wallet
                  cashback system. prices are much cheaper than any other
                  platform. and customer support resolutions are quick.</t>
  </si>
  <si>
    <t xml:space="preserve">Good pricing, but horrible availabity of items. Inconsistent
                  delivery of services, whimsical business model. Stops
                  delivering for reasons of their own. 4.7 rating by google
                  seems botched up.</t>
  </si>
  <si>
    <t xml:space="preserve">Don't install guys such big scam I added money in my zepto
                  wallet and I'm not able to use it when I'm trying use it .it's
                  showing unavailable such worst app . Blinketi is best Never do
                  this these type things .</t>
  </si>
  <si>
    <t xml:space="preserve">I usually donâ€™t leave reviews, but for Zepto, itâ€™s absolutely
                  necessary. They offer free Zepto cash in your wallet, a
                  mind-blowing feature that feels like social service
                  (samaj-seva). In todayâ€™s competitive market, Zepto stands out
                  as a blessing. As a consumer, I wouldnâ€™t mind paying a bit
                  extra for the amazing benefits they provide. In fact, Iâ€™d even
                  consider investing in their stocks in the future. And to
                  clarify, I donâ€™t work for Zeptoâ€”this is an honest customer
                  review!</t>
  </si>
  <si>
    <t xml:space="preserve">Never ever order anything from Zepto. I stopped ordering from
                  this app long ago because they never delivered on time in Hosa
                  Road, Bangalore. Recently they launched Zepto Cafe and I
                  wanted to try it. ETA is shown as 6 mins and for 25 mins order
                  is getting packed. No support. No cancellation option. This
                  app is literally a joke. Its ETA can never be believed. Order
                  id 3512BBODG58288</t>
  </si>
  <si>
    <t xml:space="preserve">I don't know what's the problem with the location it says me
                  choose another location still after choosing another location
                  it is not opening, just showing try change location again and
                  again ðŸ˜”</t>
  </si>
  <si>
    <t xml:space="preserve">Worst experience, weird behaviour. No options for refer . UI /
                  UX different in all mobiles. Already have higher price from
                  local market then giving discounts. Disappointed</t>
  </si>
  <si>
    <t xml:space="preserve">Everything is good in terms of service and but the only thing
                  is that, I'm unable to use my wallet balance even I had added
                  gift card in balance. Still I'm unable to use my wallet
                  balance. Resolve this issue on priority basis.</t>
  </si>
  <si>
    <t xml:space="preserve">It's very disappointing to say that zepto is partial towards
                  customers. I ordered many things through zepto and it always
                  fulfill it once I ordered milk and it came curdled. I put a
                  complain. And everything was fine. But suddenly I started
                  getting no free cash. Every one else around me is getting
                  those free cash and since I put a complain there's no cash
                  back for me. Why so zepto? Why is Zepto being partial.</t>
  </si>
  <si>
    <t xml:space="preserve">Bought a prestige pressure cooker. But one item (weight valve)
                  was not in the packing box. There was no customer service no
                  in zepto app. I gave one star for that. And requesting to
                  provide customer service no on zepto app, so that can be
                  contacted as needed.</t>
  </si>
  <si>
    <t xml:space="preserve">Had a very bad experience using it. The transactions were
                  completed but neither the orders were placed nor the refunds
                  were made. Will be deleting it now.</t>
  </si>
  <si>
    <t xml:space="preserve">It's a best grocery app I have ever used....it's fast
                  delivery(sometimes delay)....and the best thing is they give
                  100rs for first users in zepto wallet...and then ..in monthly
                  monthly also they'll give â‚¹50 to â‚¹40 r even sometimes
                  â‚¹100...and the products are very nice... better then
                  blinkit....so just go for it....and there will be breakfast
                  item also available...if ur someone who loves to buy online
                  grocery shoppingðŸ›ï¸...just give a tryâ¤ï¸ edit:yesterday I even
                  got 150rs... sometimes â‚¹75alsoget</t>
  </si>
  <si>
    <t xml:space="preserve">The service is very bad, the money in the wallet of the
                  application cannot be used and no matter how many times I
                  email the customer service, they return the same email again
                  and again, they do not provide any solution, poor application.</t>
  </si>
  <si>
    <t xml:space="preserve">They are fouling us they give free wallet money when we go to
                  order something it show's unable temporarily. I don't
                  recommend this application to download and more over they are
                  not giving you wallet money for free only for marking purpose
                  they are doing this</t>
  </si>
  <si>
    <t xml:space="preserve">This app doesn't even deserve 1 star. DISGUSTING !! The area
                  where I live, is enough popular and serviceable. But this app
                  continuously shows that "Location is not serviceable " Please
                  try to improve your service immediately !!</t>
  </si>
  <si>
    <t xml:space="preserve">Pay cash / upi button is wrong place, I don't want to pay cash
                  option but by mistake touch on button and order is placed
                  instantly and no option to cancel the order . sometimes very
                  difficult to arrange cash in home. Change this button
                  position.</t>
  </si>
  <si>
    <t xml:space="preserve">I have purchased their monthly pass but no use. This app has
                  become trash, always too many orders, order after sometime and
                  blah blah blah. Too many ads of Zepto and services are ZERO.</t>
  </si>
  <si>
    <t xml:space="preserve">Horrible experience . I ordered some vegetable and got dried
                  leaves. When I tried to talk to them and provided images and
                  requested to replace if possible. They keep asking provide
                  more images and so many questions. Later I fed up and said I
                  don't want any resolution and had to u install app. I lost my
                  900 in exotic vegetable which were dried and rotten. Also in
                  other order got bad smell in milk. Yaaak</t>
  </si>
  <si>
    <t xml:space="preserve">Very bad experience. Delivery partner don't pick up call and
                  if I try to contact support they didn't reply me either. It
                  was my first time using zepto and really bad experience. I'm
                  deleting this app and also not gonna recommend to anyone</t>
  </si>
  <si>
    <t xml:space="preserve">Zepto is a fraud app, I ordered air purifier and payment was
                  successful, the order got cancelled by zepto giving the reason
                  that product was not in condition to deliver, ok, and now it
                  has been more than 17 days and they are giving the refund.
                  Uninstalling this app.</t>
  </si>
  <si>
    <t xml:space="preserve">Stop giving false promises of 10 minute delivery. My first and
                  last order with Zepto.. still waiting for the past 55 minutes
                  to receive my order. Worst experience!!! Back to the best
                  app-Blinkit.</t>
  </si>
  <si>
    <t xml:space="preserve">Waited 30 mins to cancel the order, chat support is useless
                  and unresponsive. They keep transferring cat from one end to
                  an other . Go for blinkit or instanart</t>
  </si>
  <si>
    <t xml:space="preserve">Edit: (Issue solved very quicky, giving 5 stars) Technical
                  issues need to be fixed. I am NOT able to use Zepto Cash. And
                  I am not even able to find any customer support. Technical
                  issues are fine, it happens but having not proper customer
                  support? That's a big NO for me.</t>
  </si>
  <si>
    <t xml:space="preserve">Zepto is an impressive platform! They deliver goods in just 10
                  minutes, providing a fast and convenient experience for busy
                  days. Their app is user-friendly, and the attractive offers
                  make shopping more enjoyable and affordable. Highly
                  recommended for quick and efficient service</t>
  </si>
  <si>
    <t xml:space="preserve">I am frequent buyer from zepto but their support service is
                  pathetic. Yesterday I ordered some gift and paid extra money
                  for packing but there wo no packing and the gift came in torn
                  box when I chat with them they said we will add 35rs in zepto
                  wallet that is so bad. After trying they transferred call to
                  supervisor issues resolved. Today I also ordered some product
                  and they have retrun option so I asked them that I want to
                  return that as not upto my expectations so they denied to
                  return it.</t>
  </si>
  <si>
    <t xml:space="preserve">Very poor service of items and everytime i ordered anything
                  from them the paper bags weren't in good condition also the
                  items got dirty coz they threw items on the road. So
                  disappointed. Not gonna order ever and tell my family and
                  friends also not to order anything.</t>
  </si>
  <si>
    <t xml:space="preserve">The products are of below average quality... It happened 2
                  times One fruity pack came so dirty that I might took from
                  garbage bin and in very next order kg onions were 90 rupees
                  and all the onions are smelly and wet. It's my mistake to
                  order 2nd time with having bad experience in 1st order
                  itself..</t>
  </si>
  <si>
    <t xml:space="preserve">For the last 20 days I am facing a problem with the app.
                  Whenever I am trying to shop it is showing CART IS
                  UNSERVICEABLE. I emailed quiet a few times with no result and
                  the customer care number is invalid. Please help me with a
                  solution.</t>
  </si>
  <si>
    <t xml:space="preserve">Zepto is a kind of a grocery delivery app that contains too
                  many grocery items The quality is too good and your delivery
                  man behaved well with us. They deliver all items in 5-7
                  minutes. So I rate your app 5 stars. ðŸ˜Š</t>
  </si>
  <si>
    <t xml:space="preserve">If you have asked me to pay the money but its pass is not
                  showing, then after deleting it, I have downloaded it again.
                  Same problem is there in case of using it, the pass is not
                  showing despite having paid.</t>
  </si>
  <si>
    <t xml:space="preserve">above 99rs order free delivery mentioned on the bottom line
                  But I am order my first 399rs above 13 rs added to order
                  amount as handling charges then how it is free delivery? &amp;
                  Add costomer care no , cancle option &amp; also wishlist
                  option for easy order because it is save our time also every
                  time</t>
  </si>
  <si>
    <t xml:space="preserve">Fraud application, Just like click bait , it showed 75 cash in
                  wallet. When i tried using it , it said that will be
                  applicable on next order When I went for next order , the cash
                  was gone . After talking to customer support they said that
                  order again and you will see that cash back again</t>
  </si>
  <si>
    <t xml:space="preserve">This app is a very bad app.Do not order anything from here as
                  cancellation is not possible through the app. And saying Now
                  you will have to take it from now on.Please do not use this
                  app.When you download the app, it will show on the screen that
                  you will get a discount of â‚¹50 on your first order. There is
                  nothing like that ðŸ‘ŽðŸ»</t>
  </si>
  <si>
    <t xml:space="preserve">Though it delivers groceries on time, but regarding electronic
                  products Zepto is a bit less trust worthty. There comes
                  missing or partially damaged products inside. Please check the
                  seal of packet befor taking it from delivery partner otherwise
                  they donot help in case of any damage.</t>
  </si>
  <si>
    <t xml:space="preserve">Worst experience I have ever seen, from last 10 days they
                  showing unserviceable . When it'll fix? When ever I want to
                  order vegetables iit was showing unserviceable Even my friends
                  are getting there orders in the same area but when i want to
                  order the same thing they don't take my order. Disgusting.</t>
  </si>
  <si>
    <t xml:space="preserve">WORRSSSSTTTTT!!!! I had ordered some stuffs That time they
                  didn't deliver one of the Product Even delivery person checked
                  on it and asked me to raise a query Tried contacting their
                  support Call not picked Chat with no replies It was my first
                  order and I've faced this issue.</t>
  </si>
  <si>
    <t xml:space="preserve">Zepto customer service very poor. They have only one chat
                  window for all orders. Representatives are confused about
                  which Order to respond, if there are problems with multiple
                  orders. They don't refund money and put fake RRN (Refund
                  Reference Number). You have to struggle to get refund.</t>
  </si>
  <si>
    <t xml:space="preserve">Extremely poor service. While ordering the app will show 5-10
                  mins but delivery is never (100% of the time) never in the
                  shown delivery time. It takes usual time like anyother app
                  15-20mins but shows incorrect data, have complainedany times
                  to their service,but I guess this is the strategy to make us
                  fool.</t>
  </si>
  <si>
    <t xml:space="preserve">I had a very disappointing experience. My friend referred me,
                  and I was supposed to receive â‚¹125 in free cash, but for some
                  reason, I am unable to use it. When I reached out for support,
                  their response was unsatisfactory. I do not recommend using
                  this app.</t>
  </si>
  <si>
    <t xml:space="preserve">Kindly avoid paper bag which almost thrown away because of its
                  capacity and many trees were cut out there. Take a initiative
                  like blinkit in starting deliver yellow bag which we use it
                  again and again</t>
  </si>
  <si>
    <t xml:space="preserve">Accepts late night deliveries even when riders are not
                  available and the time of arrival does not get updated..if
                  there are no riders do not accept orders or atleast show the
                  correct delivery time..the chat option is absolutely useless
                  as there is no human contact just pre determined msgs..on the
                  chat I get the msg that will be delivered at 2.06 and no
                  option to msg or continue the chat and the time right now is
                  2.09 where the status is order is getting packed..absolutely
                  useless</t>
  </si>
  <si>
    <t xml:space="preserve">Apps has less variety in options need to be updated I want to
                  leave Blinkit , So I thought switch to other app but found
                  less variety. like you looking for Ashok Masala you must have
                  catch,mdh, Everest etc hope you'll fulfill that soon.</t>
  </si>
  <si>
    <t xml:space="preserve">What the hell is wrong with the marketing team of zepto. After
                  every reel/video I am getting zepto cafe add. It is so
                  annoying. Never gonna install zepto cafe app and uninstalling
                  zepto app. Looks like buch of fool sitting in marketing team</t>
  </si>
  <si>
    <t xml:space="preserve">I have been using zepto since months but now I feel that they
                  are selling fake products specially ice creams as I have
                  experienced it several times.Recently I ordered 2 cornetto
                  from zepto.When I received it, I could easily recognise that
                  it was a fake one and not from the original brand of which I
                  ordered and with a fake packaging of the company. The taste
                  was worst and definitely not like the original one which I
                  usually get from local shops.I really request zepto to do
                  something about it.</t>
  </si>
  <si>
    <t xml:space="preserve">I have zepto pass, I was supposed to get a 20% discount on my
                  order. I did not get that, when I reached out to the customer
                  care. They said they only take feedback, but cannot process
                  the discount. They were very reluctant to process it</t>
  </si>
  <si>
    <t xml:space="preserve">Hi please don't order anyone in this app worst experience
                  cheating app sent me missing item I have complaint them but no
                  response from them no properly customer service to contact I
                  have sent multiple mails they are sending automatic text to
                  worst worst worst experience third class app ðŸ‘ŽðŸ‘ŽðŸ‘ŽðŸ‘ŽðŸ‘ŽðŸ‘Ž</t>
  </si>
  <si>
    <t xml:space="preserve">Useless, if you order electronic products and it is not
                  working state or some issues, they don't accept return and do
                  nothing Please never ever order electronic items or products
                  that are expensive in this They will totally screw you guys
                  Suitable only for Grocery delivery.</t>
  </si>
  <si>
    <t xml:space="preserve">Worst app because it's says they can deliver in 10 mins but
                  they take more than 1 hour and say there was a technical issue
                  and also the extra charges they keep telling as taxes nd
                  delivery charges...</t>
  </si>
  <si>
    <t xml:space="preserve">This app is very fraud because initially they give you free
                  cash 99 rs free delivery after 5 order it is not showing above
                  99 ra free delivery they are taking fees. Also free cash are
                  not available showing if you mail regarding this concern next
                  day they expires your free cash they are very chalak they know
                  you are going to order using free cash also some products I
                  have added for order in cart after 10 mins that items rate
                  gain by 5-10 rs. Really what is this zepto what you think we
                  are fool.</t>
  </si>
  <si>
    <t xml:space="preserve">Ordered icecream twice from this app.. mango popsicle once and
                  feast in the second order.. both the time the icecream was
                  completely melted and and broken.. the customer care is also
                  not willing to help when escalated the issue.. pathetice
                  experience shopping from zepto and disappointing experience
                  with query handling team.</t>
  </si>
  <si>
    <t xml:space="preserve">Worst app i had the worst experience with this app first I
                  placed the order and they have given me 75 rs as free cash but
                  when I want to use it there is no wallet option then when I
                  contacted customer support they told me to place 2 new orders
                  when those two orders marked as delivered I will get payment
                  option but still not got wallet option then I contacted them
                  and they said kindly reinstall the app I tried that too but
                  then they expired the cash however expiry will on 2025 worst
                  app worst exp</t>
  </si>
  <si>
    <t xml:space="preserve">Poor customer service!! Ordered for the first time item from
                  the app a neckpillow worth 800+, didn't receive the item or a
                  refund even after lodging a complaint within 24hrs. Customer
                  service said they shared the details to check on priority and
                  then left the chat without a resolution or follow up.</t>
  </si>
  <si>
    <t xml:space="preserve">The absolute best app for product delivery it beats all it's
                  competitions with ease. I would recommend this with all my
                  heart. I would rate it more than 5 stars if it was possible</t>
  </si>
  <si>
    <t xml:space="preserve">Hi I am from Pune ( City ) Maharashtra giving 0 Star for non
                  serviceable area I can't place any order on your app because
                  it's showing non serviceable area which is ridiculous I am
                  staying in Pune City not in Village still your app showing non
                  serviceable area ?? But anyways that's your policy I am
                  deleting your app forever and never try to place order on your
                  app again in future</t>
  </si>
  <si>
    <t xml:space="preserve">Good App and service. Yet for some places ythe ordered items
                  could not be delivered during emergency situations. Also some
                  products which are wrongly ordered can't be returned.</t>
  </si>
  <si>
    <t xml:space="preserve">In Zepto's app, when you tick the same to order the goods and
                  go to the waller option to make payment, it says 'cart is
                  unserviceable'. It is just a stupid app, there is no customer
                  care service number in it.</t>
  </si>
  <si>
    <t xml:space="preserve">I gave 5 â­ before because of the decent pricing and offers,
                  nowdays it's too much, the time manipulation is not very
                  ethical, it's okay if the delivery takes 45mins or whatever,
                  but it starts with 6mins then after 15mins it goes to 5mins
                  and so on, its like unsuccessfully fooling your customer, even
                  worse now hardly any discount, offers or any benefit for a
                  consumer. It's better to run for a supermarket if I have to
                  spend on a bulk just to have free delivery that hardly with
                  any discount on MRP.</t>
  </si>
  <si>
    <t xml:space="preserve">App is good and fast, easy to choose desired products, giving
                  coupons encouraging customers to use the app, very fast
                  delivery. Hope they continue their service with the new
                  interesting offers which makes them leading app in the market.</t>
  </si>
  <si>
    <t xml:space="preserve">Uninstalling their useless app. They give you open seal
                  products and then don't admit their mistake. Their is no use
                  of fast delivery if you are serving used and opened products.
                  I can't believe how useless their customer service is. Don't
                  use this app ever.</t>
  </si>
  <si>
    <t xml:space="preserve">Fake application. They are scamming customers by showing
                  virtual zepto cash. I got 200/- but not able to use it. They
                  are just saying do orders I did multiple orders still they are
                  not addressing the issue. Do unistanll this fake app.</t>
  </si>
  <si>
    <t xml:space="preserve">Waste app.. Whenever I am trying to order it shows traffic
                  congestion problem.. &amp; this problem continues from last
                  one week.. hell of a delivery app.. totally waste.. going to
                  uninstall</t>
  </si>
  <si>
    <t xml:space="preserve">Very very very bad experience, not returning ny money and
                  order both I order cake of rs 350,but I didn't get my order it
                  automatically cancelled, and they even didn't refund my money,
                  shame on you</t>
  </si>
  <si>
    <t xml:space="preserve">Worsr App ! I can't use my zepto cash it's been weeks since i
                  recieved some free cash and then i add some amount from my own
                  but still i can'tuse. It's always unavailable</t>
  </si>
  <si>
    <t xml:space="preserve">I had 50 ,100 and 150 rupees in my wallet and I couldn't even
                  use a single time . They shower with messages to buy things
                  and to use the money in the wallet but when we try it shows it
                  is unavailable. Is this a joke I really didn't like the way u
                  are attracting customers</t>
  </si>
  <si>
    <t xml:space="preserve">Perfect app to get needed essential items immediately at any
                  time , amazing delivery and good delivery service and a
                  wonderful experience ðŸ˜„ðŸ˜„. I loved ðŸ˜ the app it is amazing, I
                  ordered a headphones at 1:30am early morning and received my
                  order in just 5 mins.</t>
  </si>
  <si>
    <t xml:space="preserve">Zepto give cash to use but it shows u r unable to use and when
                  you order the zepto cash shows with deducting from the order.
                  It is fraud they do just to bring the customer. It is better
                  to use blinket.</t>
  </si>
  <si>
    <t xml:space="preserve">Customer service so bad. I had recently order Maggie packet ,
                  but didn't receive. And delivery agent said I had been
                  delivered yours. And his behaviour also very rude and
                  arrogant. I tried many times to connect with customer service,
                  I was found call us waiting more than 15 minutes. I could not
                  any response from customer service. I will not recommend
                  anyone.</t>
  </si>
  <si>
    <t xml:space="preserve">The best app ever that I have used ..... delivery is so fast
                  and quick and great discounts on every product ...I will refer
                  to all my friends ðŸ‘ðŸ»</t>
  </si>
  <si>
    <t xml:space="preserve">Order never gets delivered on time. Delivery partners do not
                  bother to pick the call. Chat associated hang up. And no
                  action is taken against them. Ordering with you guys was good
                  but now it is very very tiring. Rude delivery guys. No
                  resolution from customer services. Team disconnecting chats. I
                  wish I could place screenshot here how the customer service
                  team avoids my complaint ðŸ˜„ Super unprofessional staff</t>
  </si>
  <si>
    <t xml:space="preserve">They have started cheating with the customer... they are
                  removing the expiry date of product and creating a New print
                  by their own.. I could have uploaded pictures but there is no
                  option ..</t>
  </si>
  <si>
    <t xml:space="preserve">"Zepto offers are misleading and disappointing. My wallet
                  showed â‚¹100, which disappeared right after placing an order.
                  When I contacted customer support, they simply said there was
                  nothing they could doâ€”very unhelpful! Poor customer service
                  and unreliable practices. Be cautious with their offers."
                  Raally such a bloody nonsense company and thief management.</t>
  </si>
  <si>
    <t xml:space="preserve">This app never allows to use zepto cash it only shows a
                  specific amount but when you check out they don't give the
                  option use zepto wallet so there no money saving just giving
                  false hopes and it's not like I didn't try they say in peak
                  hours they won't avail zepto wallet but they never allow
                  anyways not happy</t>
  </si>
  <si>
    <t xml:space="preserve">the offers here are amazing and the delivery timing is fast I
                  feel it's a very convenient app. the grocery and everything
                  are also very fresh and at reasonable price even their is not
                  high tax reduction accure .this is the one of the best grocery
                  app even the fast food items also available it's like one app
                  for everything everything in your mind comes you can get from
                  hereðŸ˜ from biscuits to cake, pizza to burger, sugar to pulses
                  and importantly you can get them with some discount ðŸ’•ðŸ˜is
                  amazin</t>
  </si>
  <si>
    <t xml:space="preserve">Not at all trustable aap, fails to deliver on time charges
                  extra for delivery. Useless app . Again the same thing 2min to
                  deliver , fraud , 30 min gone now they called me and said
                  product is damaged. No way to a refund also . Pathetic</t>
  </si>
  <si>
    <t xml:space="preserve">One of the worst grocery delivery application in play store...
                  I order some grocery but they are not delivery on proper
                  time.. zepto promise with in 10 minutes delivered all grocery
                  but no delivered... comparatively other delivery apps zepto is
                  very worst... 1st impressions is the worst(zepto)
                  impression...</t>
  </si>
  <si>
    <t xml:space="preserve">awesome app, fantastic service, wide range of products at a
                  discounted price. they deliver till late night. once we forgot
                  to bring milk for my toddler and at 12 searched everywhere but
                  all shops and dairy were closed and at 12.30 I ordered Amul
                  milk from Zepto and it was delivered to my doorstep in 5
                  minutes. it is like having a gennie without rubbing the lamp.
                  big thanks.</t>
  </si>
  <si>
    <t xml:space="preserve">I've stopped using Blinkit now and started ordering with
                  Zepto. Blinkit paper bags used to get torn &amp; groceries
                  used to get spilled by Riders all over and often damaged.
                  Complained but no one resolved it. Blinkit app also auto
                  deletes items like after paying for 2 Litre milk, app reduces
                  it to 1 Litre without even intimating customer! Plus Blinkit
                  customer service process really sucks - no direct number,
                  inexperienced rude service staff</t>
  </si>
  <si>
    <t xml:space="preserve">Worst grocery delivery app ever..delivery time showed by it
                  was 26 minutes I waited for 1 hour still the order was
                  canceled by them. I recommend everyone to go for instamart or
                  blinkit instead of this irresponsible app.</t>
  </si>
  <si>
    <t xml:space="preserve">This app is fraud. I ordered grocery from this app and my
                  order was prepaid but the order was not dilevered. Now my
                  money is gone and my order is also not received. This has
                  happened two times and they don't even give any costumer care
                  number.</t>
  </si>
  <si>
    <t xml:space="preserve">I have ordered from it, amount it deducted from my account amd
                  it's not showing in my app and top of that it doesn't have any
                  customer support number.</t>
  </si>
  <si>
    <t xml:space="preserve">FRAUDS....I created account and they gave me 150/- in wallet(
                  valid for 1 year) to be used for next order...so I placed my
                  first order without using zepto cash...as soon as order
                  delivered my zepto cash expired...and when I asked customer
                  care they said promotion finished....they are cheaters...be
                  aware while placing order</t>
  </si>
  <si>
    <t xml:space="preserve">Worst ðŸ‘Ž app i ever seen like these, they are debited the
                  amount when I ordered products they are not initiated payment
                  till now they are showing unknown pictures of refund status,
                  please kindly avoid these app, there is blinkit and swiggy
                  instamart, they even not response .. Worst experience</t>
  </si>
  <si>
    <t xml:space="preserve">First I had great experience with zepto . It was nice to get
                  some discount and free delivery etc. But then I cannot use
                  zepto cash at all it just comes and gets expired. I still have
                  50 zepto cash and I still can't use it .</t>
  </si>
  <si>
    <t xml:space="preserve">It's a useless app i had ever seen. Because now I am in
                  sangareddy and it can't even deliver here and not deliverable
                  to here, the should improve it and should deliver everywhere
                  and every time. It's all fake about to deliver in 10 mins. It
                  is a fake app dont belive it.</t>
  </si>
  <si>
    <t xml:space="preserve">It's showing the high cost to place the order 499 rupees. If I
                  order any one item isn't placing the order. It shows please
                  order remaining amount in 499 Finally if order in zepto 499
                  rupees above cost item placing the order then that it isn't
                  Taking order.</t>
  </si>
  <si>
    <t xml:space="preserve">I ordered things worth 300rs and I was waiting for an awful 30
                  mins during which it said the ordering is arriving at all
                  times but then after 30 mins the order gets cancelled and now
                  I'm left with refund hanging, folks honestly swiggy instamart
                  is better</t>
  </si>
  <si>
    <t xml:space="preserve">Worst app ever Don't use it. It doesn't have cancel and return
                  option You will get bad products. Worest experience 2 times.
                  You should provide cancel or return or cancel at doorstep
                  right?</t>
  </si>
  <si>
    <t xml:space="preserve">I ordered icecream but it was completely damaged and stale.
                  Never ever order any milk product or instant snack from zepto
                  . total money waste because you will not get any help from
                  customer service ....hahaha i received my order in just
                  3minutes but was the use....zepto should improve their
                  customer service . giving 1 star is also useless</t>
  </si>
  <si>
    <t xml:space="preserve">Zepto fools the customers by showing freebies to atrract then
                  from other better doing delivery apps and tell it was not
                  there in the order history when a complaint is raised. I have
                  faced this issues couple of times with this app but ignored
                  it. But Zepto is doing it very frequently. And when asked for
                  help they tell you on customer care they cannot do anything
                  about it as its not in your order history. Such startup apps
                  should be reported in consumer forum &amp; banned. Not at all
                  trustworthy app.</t>
  </si>
  <si>
    <t xml:space="preserve">1st delivery was very good, after additional zepto wallet
                  money, there was no option of zepto wallet cash. App was
                  making me to pay the real money. I had tried by changing my
                  location but still it doest fix. I am not able to use my zepto
                  wallet money!!</t>
  </si>
  <si>
    <t xml:space="preserve">Everything is good but i got zepto free cash and whenever i
                  try to use it always showes that zepto cash is temporaily
                  unavailable please try it in sometime and either after
                  sometime or 1 or 2 days still shows that zepto cash is
                  unavailable</t>
  </si>
  <si>
    <t xml:space="preserve">This app is not available in my area still I am seeing it's
                  advertisement. I am tired of watching adds. Either launch this
                  service in my area or disable the adds in the area. By the way
                  area is laxmi nagar, Delhi</t>
  </si>
  <si>
    <t xml:space="preserve">Zepto is amazing for quick grocery deliveries! The app is easy
                  to use, has great prices, and the deliveries are always super
                  fast. Itâ€™s now my go-to for fresh produce and daily
                  essentials. Highly recommend</t>
  </si>
  <si>
    <t xml:space="preserve">Very bad experience they are froud I ordered a oil and have my
                  wallet 125 and remaining amount I paid from upi but delevery
                  exicutive not connect to me and showing status as a deleverd
                  how they are deal with the customer ðŸ˜¡also not response to
                  mail and callsðŸ¤¬</t>
  </si>
  <si>
    <t xml:space="preserve">Very bad experience. You can't cancel your order once you
                  placed, they will tell you your ordered has already been
                  packed. And 10 min is totally scam, please go for other app or
                  walk by yourself. This app will frustrate you</t>
  </si>
  <si>
    <t xml:space="preserve">Such a worst service and delayed delivery. No proper support
                  mechanism to handle issues. They have deployed bot with no
                  option to connect with agent.. I will not suggest anyone to
                  use this app.</t>
  </si>
  <si>
    <t xml:space="preserve">Not at all professional. Order is always late..say 6 minutes..
                  but will deliver in 45 minutes and cancel as well. Worst
                  delivery partner ever</t>
  </si>
  <si>
    <t xml:space="preserve">Some of the items like cherry tomatoes, Chikkoo, banana are
                  not good ones. The Electric Diwali decorative white lights are
                  not working at all. The delivery is very fast and amazing!
                  Some of the items like milk products, Dairy is very good.</t>
  </si>
  <si>
    <t xml:space="preserve">Most of the time the interface is extremely slow in the
                  mobile. It takes a good amount of time for pages to load, even
                  when I use this from high speed broadband connection *****
                  These are my thoughts after using the app several times - The
                  mobile app is extremely slow, its been so slow that I don't
                  feel to order through it anymore. Delivery timlines are
                  impressive though , they stick to the ETA. but, to be honest
                  what good is your 10 minutes delivery if it takes 20 minutes
                  to book through app</t>
  </si>
  <si>
    <t xml:space="preserve">I always have the worst experience, now when they give more
                  discounts they automatically cancel the orders, I have faced
                  this issue 6-7 times now I don't order anything from this app.</t>
  </si>
  <si>
    <t xml:space="preserve">App is slow and glitchy. Most of the time it shows
                  unserviceable.</t>
  </si>
  <si>
    <t xml:space="preserve">Loving this app so much. It literally delivers so Fast. I got
                  introduced to Zepto and its so crazy to me that they have a
                  cafe which is phenomenal with those rates (living in mumbai).
                  The new app update and interface is also so good! It's so easy
                  to navigate in zepto.</t>
  </si>
  <si>
    <t xml:space="preserve">I ordered pluckk fruit chaat. the package received open and it
                  fells down. i informed the delivery patner. He offer to bring
                  new pack but he brought the same, arranged in the fresh
                  manner. Item given without carry bag which means the item is
                  not fresh. No customer support for delivery and after
                  delivery. Deleting app from my mobile. So pathatic.</t>
  </si>
  <si>
    <t xml:space="preserve">Hello I'm facing an issue, I'm not able to use zepto Wallet
                  cash while ordering groceries and because of this problem my
                  zepto cash wallet expired 2 times, the first one was 125
                  rupees and second was 75 please fix this problem as soon as
                  possible. Thankyou</t>
  </si>
  <si>
    <t xml:space="preserve">Wrost App Ever.. If they can't deliver item's in 10 minutes
                  why are you fooling people's. Blink it is good app they just
                  deliver item's faster than zepto... There is no good customer
                  support in this app...</t>
  </si>
  <si>
    <t xml:space="preserve">Most of the items are out of stock. And not getting
                  notifications for availability. Realy suffering issues.</t>
  </si>
  <si>
    <t xml:space="preserve">I have added money to wallet but not able to use money from
                  wallet now they block my wallet it's not fair if you block
                  wallet what is use of wallet it's blocking my money i think
                  they don't believe on their customer worst app to use wallet I
                  have mail in support they also not responding their mail from
                  more then 24 hours they says that we are sharing tikit to this
                  and this ... but not answering my question and provide
                  solution they playing with me</t>
  </si>
  <si>
    <t xml:space="preserve">In my cart all item are food item, but at the time of payment
                  said that worth rs 274 are not food item. how I identify which
                  is not food item. This is technical error which I facing. I
                  connected to support but they don't help me about that.</t>
  </si>
  <si>
    <t xml:space="preserve">Verst app after placing the order they will show 5 min
                  delivery it takes around 25 to 30 min for delivering the
                  products and while delivering the products delivery person
                  will say sir your 1 product is out of stock in the hub we will
                  refund the amount for the product and he will take some
                  pictures of the product and go back after that no refund
                  nothing and invoice the will bill for all the product . This
                  is the verst app don't install</t>
  </si>
  <si>
    <t xml:space="preserve">App sucks. It show unnecessary high demand in your area and
                  blocks the wallet balance for no reason. There is no surge in
                  demand when you pay without using the wallet balance. Nice way
                  to fool customers.</t>
  </si>
  <si>
    <t xml:space="preserve">Very bad experice ...ordered food from zepto cafe and it came
                  in 31 minutes and was showing to be reach in 6 minutes totally
                  waste of money and time ...don't recommend to download this
                  app</t>
  </si>
  <si>
    <t xml:space="preserve">I did online transaction through zepto, money got deducted
                  from the bank but zepto showed processing but item not
                  delivered and the money got deducted and I did not get my
                  money back. I want a refund.</t>
  </si>
  <si>
    <t xml:space="preserve">Laying Aap. It doesn't give you complete clarification of your
                  refund. If you are returning any item, you will get the refund
                  amount deducted on the coupon amount. Zepto did not tell me
                  this. Due to which the other item become costlier for me.</t>
  </si>
  <si>
    <t xml:space="preserve">The worst app ever.... there's no proper customer
                  service.....no one responds properly if any item of the order
                  is not delivered....they won't provide refund also....my
                  experience is the worst with this app...I recommend everyone
                  to never install this useless app</t>
  </si>
  <si>
    <t xml:space="preserve">Very much disappointed. So poor behavior of the delivery
                  partner, addedly they did not refund my money. Very Very bad
                  app. Don't use it</t>
  </si>
  <si>
    <t xml:space="preserve">It's very disappointing that whenever I open the aap it shows
                  that i had got 100,150 zepto wallet but when i check it was
                  not there it happened 4-5 times please check have a look at
                  this problem.</t>
  </si>
  <si>
    <t xml:space="preserve">Could you please restock the Zebronics Phero Wired Gaming
                  Mouse? This product is highly sought after, and many users,
                  including me, are eagerly waiting for it to be available
                  again. I would greatly appreciate it if you could prioritize
                  this request and forward it to the Zepto app team for
                  consideration. Thank you for your support!</t>
  </si>
  <si>
    <t xml:space="preserve">Poor customer service. Super saver orders will be cancelled
                  once placed. Refund takes much time. I have been using
                  bigbasket since 2 years and never faced these kind of issues.
                  A big thumsup for Bigbasket on this.</t>
  </si>
  <si>
    <t xml:space="preserve">They give fake ETAs , they show a dilivery is arriving in 3
                  mins but it takes more than 20-25 mins for it to come . They
                  don't have a transparent system to track the order. The
                  support staff are also not at all helpful and also rude .</t>
  </si>
  <si>
    <t xml:space="preserve">Very bad service, I would request new people please don't use
                  this, customer relationship is very bad in case of your
                  payment stuck. No body will response from other side.</t>
  </si>
  <si>
    <t xml:space="preserve">Completely fraudulent. Why are you offering us Zepto cash
                  while you are not enabling us to use it? If I order without
                  using Zepto cash, the order gets placed.</t>
  </si>
  <si>
    <t xml:space="preserve">One of the irritating app always I'm trying to order it shows
                  try again after 15 minutes. I am very frustrated and the
                  wallet cash is not even showing during order please upgrade
                  your service</t>
  </si>
  <si>
    <t xml:space="preserve">I have received zepto cash but when go for ordering some stuff
                  it shows unavailable ðŸ˜• I am facing this issue since long
                  Please resolve it asap I have very bad experience I have been
                  contacting the team but there is no reply</t>
  </si>
  <si>
    <t xml:space="preserve">I have deposited â‚¹1300 to my zepto wallet to order a watch and
                  after depositing the money to the wallet the option has been
                  disabled and I have tried plenty of times but its not visible.
                  Worst thing of my shopping experience.</t>
  </si>
  <si>
    <t xml:space="preserve">Prices r competitive for certain items. Not for all. Packing
                  is good. Delivery is super fast. To me Zepto is useful for
                  getting certain items.</t>
  </si>
  <si>
    <t xml:space="preserve">Worst delivery ever. They delivered a broken product. Then i
                  sent this photos customer care. They said they won't give
                  refund for that. So lost money. If it is bad condition also
                  they won't give any refund. Don't order from this. It's a
                  scam.</t>
  </si>
  <si>
    <t xml:space="preserve">I had a great experience with zepto, the quality and the level
                  of faster delivery is great. It has also started saving me a
                  ton compared to big supermarket after using Zepto Saver. I
                  want this company to thrive and success. Best of Luck !</t>
  </si>
  <si>
    <t xml:space="preserve">The worst possible delivery app ever, will not let cancel my
                  order, throws around random amounts and jargon to confuse the
                  customer and then has really high delivery charges. Would give
                  this a negative rating if i could</t>
  </si>
  <si>
    <t xml:space="preserve">Platform performance summary</t>
  </si>
  <si>
    <t xml:space="preserve">Platform</t>
  </si>
  <si>
    <t xml:space="preserve">Review count</t>
  </si>
  <si>
    <t xml:space="preserve">Avg rating</t>
  </si>
  <si>
    <t xml:space="preserve">% positive sentiment</t>
  </si>
  <si>
    <t xml:space="preserve">% negative sentiment</t>
  </si>
  <si>
    <t xml:space="preserve">% neutral sentiment</t>
  </si>
  <si>
    <t xml:space="preserve">Blinkit</t>
  </si>
  <si>
    <t xml:space="preserve">Zepto</t>
  </si>
  <si>
    <t xml:space="preserve">Jiomart</t>
  </si>
  <si>
    <t xml:space="preserve">Grand total</t>
  </si>
  <si>
    <t xml:space="preserve">Rating distribution (all platforms)</t>
  </si>
  <si>
    <t xml:space="preserve">Monthly review trend (all platforms)</t>
  </si>
  <si>
    <t xml:space="preserve">Rating</t>
  </si>
  <si>
    <t xml:space="preserve">Count</t>
  </si>
  <si>
    <t xml:space="preserve">Month</t>
  </si>
  <si>
    <t xml:space="preserve">Aug-2024</t>
  </si>
  <si>
    <t xml:space="preserve">Sep-2024</t>
  </si>
  <si>
    <t xml:space="preserve">Oct-2024</t>
  </si>
  <si>
    <t xml:space="preserve">Nov-2024</t>
  </si>
  <si>
    <t xml:space="preserve">Dec-2024</t>
  </si>
  <si>
    <t xml:space="preserve">Total</t>
  </si>
  <si>
    <t xml:space="preserve">Sentiment counts by platform</t>
  </si>
  <si>
    <t xml:space="preserve">Methodology &amp; Notes</t>
  </si>
  <si>
    <t xml:space="preserve">Data source</t>
  </si>
  <si>
    <t xml:space="preserve">Customer reviews for three Indian quick-commerce apps — Blinkit, Zepto, and JioMart.</t>
  </si>
  <si>
    <t xml:space="preserve">Scope</t>
  </si>
  <si>
    <t xml:space="preserve">4,620 individual customer reviews, each with a 1-5 star rating, review date, review text, and platform.</t>
  </si>
  <si>
    <t xml:space="preserve">Date range</t>
  </si>
  <si>
    <t xml:space="preserve">August 2024 - December 2024 (data is sparse in Aug/Sep; the bulk of reviews fall in Oct-Dec 2024).</t>
  </si>
  <si>
    <t xml:space="preserve">Columns (raw data tab)</t>
  </si>
  <si>
    <t xml:space="preserve">rating (1-5) | date | review (free text) | platform | sentiment (added) | month (added, calculated)</t>
  </si>
  <si>
    <t xml:space="preserve">Sentiment methodology</t>
  </si>
  <si>
    <t xml:space="preserve">Each review's text was scored independently of its star rating using VADER (Valence Aware Dictionary and sEntiment Reasoner), a lexicon-based sentiment analysis model. Compound score &gt;= 0.05 = Positive, &lt;= -0.05 = Negative, else Neutral.</t>
  </si>
  <si>
    <t xml:space="preserve">Known data caveat</t>
  </si>
  <si>
    <t xml:space="preserve">The dataset is heavily skewed toward 1-star reviews (71.5%), which is typical of review platforms scraped from app-store or complaint-heavy sources. Roughly 23% of 1-star reviews scored text-positive under sentiment analysis, showing that star rating alone is an imperfect proxy for how a customer actually felt.</t>
  </si>
  <si>
    <t xml:space="preserve">Tools used</t>
  </si>
  <si>
    <t xml:space="preserve">Microsoft Excel (pivot-free formula model: COUNTIFS/AVERAGEIFS/COUNTIF, Excel Table objects, native charts) + Python (pandas, VADER) for the sentiment scoring layer.</t>
  </si>
  <si>
    <t xml:space="preserve">Sheet guide</t>
  </si>
  <si>
    <t xml:space="preserve">E-commerce Analytics = raw data (Excel Table). Summary Data = formula-driven aggregation tables feeding the charts. Dashboard = one-page summary view. Methodology = this sheet.</t>
  </si>
  <si>
    <t xml:space="preserve">Author</t>
  </si>
  <si>
    <t xml:space="preserve">[Your name] — [date]</t>
  </si>
</sst>
</file>

<file path=xl/styles.xml><?xml version="1.0" encoding="utf-8"?>
<styleSheet xmlns="http://schemas.openxmlformats.org/spreadsheetml/2006/main">
  <numFmts count="7">
    <numFmt numFmtId="164" formatCode="General"/>
    <numFmt numFmtId="165" formatCode="0"/>
    <numFmt numFmtId="166" formatCode="0.00"/>
    <numFmt numFmtId="167" formatCode="@"/>
    <numFmt numFmtId="168" formatCode="0.00\%"/>
    <numFmt numFmtId="169" formatCode="d\-mmm\-yy"/>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F4E78"/>
      <name val="Cambria"/>
      <family val="0"/>
      <charset val="1"/>
    </font>
    <font>
      <b val="true"/>
      <sz val="11"/>
      <color rgb="FFFFFFFF"/>
      <name val="Cambria"/>
      <family val="0"/>
      <charset val="1"/>
    </font>
    <font>
      <b val="true"/>
      <sz val="13"/>
      <name val="Cambria"/>
      <family val="0"/>
      <charset val="1"/>
    </font>
    <font>
      <i val="true"/>
      <sz val="9"/>
      <color rgb="FF666666"/>
      <name val="Cambria"/>
      <family val="0"/>
      <charset val="1"/>
    </font>
    <font>
      <b val="true"/>
      <sz val="18"/>
      <color rgb="FF000000"/>
      <name val="Calibri"/>
      <family val="2"/>
    </font>
    <font>
      <sz val="10"/>
      <color rgb="FF000000"/>
      <name val="Calibri"/>
      <family val="2"/>
    </font>
    <font>
      <b val="true"/>
      <sz val="11"/>
      <color rgb="FFFFFFFF"/>
      <name val="Calibri"/>
      <family val="0"/>
      <charset val="1"/>
    </font>
    <font>
      <b val="true"/>
      <sz val="12"/>
      <name val="Cambria"/>
      <family val="0"/>
      <charset val="1"/>
    </font>
    <font>
      <b val="true"/>
      <sz val="11"/>
      <name val="Cambria"/>
      <family val="0"/>
      <charset val="1"/>
    </font>
    <font>
      <b val="true"/>
      <sz val="12"/>
      <color rgb="FF1F4E78"/>
      <name val="Cambria"/>
      <family val="0"/>
      <charset val="1"/>
    </font>
    <font>
      <sz val="11"/>
      <name val="Cambria"/>
      <family val="0"/>
      <charset val="1"/>
    </font>
  </fonts>
  <fills count="3">
    <fill>
      <patternFill patternType="none"/>
    </fill>
    <fill>
      <patternFill patternType="gray125"/>
    </fill>
    <fill>
      <patternFill patternType="solid">
        <fgColor rgb="FF1F4E78"/>
        <bgColor rgb="FF003366"/>
      </patternFill>
    </fill>
  </fills>
  <borders count="3">
    <border diagonalUp="false" diagonalDown="false">
      <left/>
      <right/>
      <top/>
      <bottom/>
      <diagonal/>
    </border>
    <border diagonalUp="false" diagonalDown="false">
      <left style="thin"/>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5" fontId="6" fillId="0" borderId="2" xfId="0" applyFont="true" applyBorder="true" applyAlignment="true" applyProtection="false">
      <alignment horizontal="center" vertical="bottom" textRotation="0" wrapText="false" indent="0" shrinkToFit="false"/>
      <protection locked="true" hidden="false"/>
    </xf>
    <xf numFmtId="166" fontId="6" fillId="0" borderId="2" xfId="0" applyFont="true" applyBorder="true" applyAlignment="true" applyProtection="false">
      <alignment horizontal="center" vertical="bottom" textRotation="0" wrapText="false" indent="0" shrinkToFit="false"/>
      <protection locked="true" hidden="false"/>
    </xf>
    <xf numFmtId="167" fontId="6" fillId="0" borderId="2" xfId="0" applyFont="true" applyBorder="true" applyAlignment="true" applyProtection="false">
      <alignment horizontal="center" vertical="bottom" textRotation="0" wrapText="false" indent="0" shrinkToFit="false"/>
      <protection locked="true" hidden="false"/>
    </xf>
    <xf numFmtId="168" fontId="6" fillId="0" borderId="2"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6" fontId="0" fillId="0" borderId="2" xfId="0" applyFont="false" applyBorder="true" applyAlignment="true" applyProtection="false">
      <alignment horizontal="general" vertical="bottom" textRotation="0" wrapText="false" indent="0" shrinkToFit="false"/>
      <protection locked="true" hidden="false"/>
    </xf>
    <xf numFmtId="170" fontId="0" fillId="0" borderId="2" xfId="0" applyFont="false" applyBorder="tru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false" indent="0" shrinkToFit="false"/>
      <protection locked="true" hidden="false"/>
    </xf>
    <xf numFmtId="166" fontId="12" fillId="0" borderId="2" xfId="0" applyFont="true" applyBorder="true" applyAlignment="true" applyProtection="false">
      <alignment horizontal="general" vertical="bottom" textRotation="0" wrapText="false" indent="0" shrinkToFit="false"/>
      <protection locked="true" hidden="false"/>
    </xf>
    <xf numFmtId="170" fontId="12" fillId="0" borderId="2"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3B3B3"/>
      <rgbColor rgb="FFFF99CC"/>
      <rgbColor rgb="FFCC99FF"/>
      <rgbColor rgb="FFFFCC99"/>
      <rgbColor rgb="FF4472C4"/>
      <rgbColor rgb="FF33CCCC"/>
      <rgbColor rgb="FF99CC00"/>
      <rgbColor rgb="FFFFCC00"/>
      <rgbColor rgb="FFFF9900"/>
      <rgbColor rgb="FFED7D31"/>
      <rgbColor rgb="FF666666"/>
      <rgbColor rgb="FFA5A5A5"/>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Review count by platform</a:t>
            </a:r>
          </a:p>
        </c:rich>
      </c:tx>
      <c:overlay val="0"/>
      <c:spPr>
        <a:noFill/>
        <a:ln w="0">
          <a:noFill/>
        </a:ln>
      </c:spPr>
    </c:title>
    <c:autoTitleDeleted val="0"/>
    <c:plotArea>
      <c:barChart>
        <c:barDir val="col"/>
        <c:grouping val="clustered"/>
        <c:varyColors val="0"/>
        <c:ser>
          <c:idx val="0"/>
          <c:order val="0"/>
          <c:tx>
            <c:strRef>
              <c:f>'Summary Data'!B2</c:f>
              <c:strCache>
                <c:ptCount val="1"/>
                <c:pt idx="0">
                  <c:v>Review count</c:v>
                </c:pt>
              </c:strCache>
            </c:strRef>
          </c:tx>
          <c:spPr>
            <a:solidFill>
              <a:srgbClr val="4472c4"/>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Data'!$A$3:$A$5</c:f>
              <c:strCache>
                <c:ptCount val="3"/>
                <c:pt idx="0">
                  <c:v>Blinkit</c:v>
                </c:pt>
                <c:pt idx="1">
                  <c:v>Zepto</c:v>
                </c:pt>
                <c:pt idx="2">
                  <c:v>Jiomart</c:v>
                </c:pt>
              </c:strCache>
            </c:strRef>
          </c:cat>
          <c:val>
            <c:numRef>
              <c:f>'Summary Data'!$B$3:$B$5</c:f>
              <c:numCache>
                <c:formatCode>General</c:formatCode>
                <c:ptCount val="3"/>
                <c:pt idx="0">
                  <c:v>1380</c:v>
                </c:pt>
                <c:pt idx="1">
                  <c:v>1740</c:v>
                </c:pt>
                <c:pt idx="2">
                  <c:v>1500</c:v>
                </c:pt>
              </c:numCache>
            </c:numRef>
          </c:val>
        </c:ser>
        <c:gapWidth val="150"/>
        <c:overlap val="0"/>
        <c:axId val="76982866"/>
        <c:axId val="93622102"/>
      </c:barChart>
      <c:catAx>
        <c:axId val="7698286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3622102"/>
        <c:crosses val="autoZero"/>
        <c:auto val="1"/>
        <c:lblAlgn val="ctr"/>
        <c:lblOffset val="100"/>
        <c:noMultiLvlLbl val="0"/>
      </c:catAx>
      <c:valAx>
        <c:axId val="93622102"/>
        <c:scaling>
          <c:orientation val="minMax"/>
        </c:scaling>
        <c:delete val="0"/>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69828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rating by platform</a:t>
            </a:r>
          </a:p>
        </c:rich>
      </c:tx>
      <c:overlay val="0"/>
      <c:spPr>
        <a:noFill/>
        <a:ln w="0">
          <a:noFill/>
        </a:ln>
      </c:spPr>
    </c:title>
    <c:autoTitleDeleted val="0"/>
    <c:plotArea>
      <c:barChart>
        <c:barDir val="col"/>
        <c:grouping val="clustered"/>
        <c:varyColors val="0"/>
        <c:ser>
          <c:idx val="0"/>
          <c:order val="0"/>
          <c:tx>
            <c:strRef>
              <c:f>'Summary Data'!C2</c:f>
              <c:strCache>
                <c:ptCount val="1"/>
                <c:pt idx="0">
                  <c:v>Avg rating</c:v>
                </c:pt>
              </c:strCache>
            </c:strRef>
          </c:tx>
          <c:spPr>
            <a:solidFill>
              <a:srgbClr val="4472c4"/>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Data'!$A$3:$A$5</c:f>
              <c:strCache>
                <c:ptCount val="3"/>
                <c:pt idx="0">
                  <c:v>Blinkit</c:v>
                </c:pt>
                <c:pt idx="1">
                  <c:v>Zepto</c:v>
                </c:pt>
                <c:pt idx="2">
                  <c:v>Jiomart</c:v>
                </c:pt>
              </c:strCache>
            </c:strRef>
          </c:cat>
          <c:val>
            <c:numRef>
              <c:f>'Summary Data'!$C$3:$C$5</c:f>
              <c:numCache>
                <c:formatCode>0.00</c:formatCode>
                <c:ptCount val="3"/>
                <c:pt idx="0">
                  <c:v>2.55289855072464</c:v>
                </c:pt>
                <c:pt idx="1">
                  <c:v>1.53218390804598</c:v>
                </c:pt>
                <c:pt idx="2">
                  <c:v>1.502</c:v>
                </c:pt>
              </c:numCache>
            </c:numRef>
          </c:val>
        </c:ser>
        <c:gapWidth val="150"/>
        <c:overlap val="0"/>
        <c:axId val="75241998"/>
        <c:axId val="75128694"/>
      </c:barChart>
      <c:catAx>
        <c:axId val="7524199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5128694"/>
        <c:crosses val="autoZero"/>
        <c:auto val="1"/>
        <c:lblAlgn val="ctr"/>
        <c:lblOffset val="100"/>
        <c:noMultiLvlLbl val="0"/>
      </c:catAx>
      <c:valAx>
        <c:axId val="75128694"/>
        <c:scaling>
          <c:orientation val="minMax"/>
        </c:scaling>
        <c:delete val="0"/>
        <c:axPos val="l"/>
        <c:numFmt formatCode="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524199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Sentiment mix by platform</a:t>
            </a:r>
          </a:p>
        </c:rich>
      </c:tx>
      <c:overlay val="0"/>
      <c:spPr>
        <a:noFill/>
        <a:ln w="0">
          <a:noFill/>
        </a:ln>
      </c:spPr>
    </c:title>
    <c:autoTitleDeleted val="0"/>
    <c:plotArea>
      <c:barChart>
        <c:barDir val="col"/>
        <c:grouping val="percentStacked"/>
        <c:varyColors val="0"/>
        <c:ser>
          <c:idx val="0"/>
          <c:order val="0"/>
          <c:tx>
            <c:strRef>
              <c:f>'Summary Data'!B20</c:f>
              <c:strCache>
                <c:ptCount val="1"/>
                <c:pt idx="0">
                  <c:v>Positive</c:v>
                </c:pt>
              </c:strCache>
            </c:strRef>
          </c:tx>
          <c:spPr>
            <a:solidFill>
              <a:srgbClr val="4472c4"/>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Data'!$A$21:$A$23</c:f>
              <c:strCache>
                <c:ptCount val="3"/>
                <c:pt idx="0">
                  <c:v>Blinkit</c:v>
                </c:pt>
                <c:pt idx="1">
                  <c:v>Zepto</c:v>
                </c:pt>
                <c:pt idx="2">
                  <c:v>Jiomart</c:v>
                </c:pt>
              </c:strCache>
            </c:strRef>
          </c:cat>
          <c:val>
            <c:numRef>
              <c:f>'Summary Data'!$B$21:$B$23</c:f>
              <c:numCache>
                <c:formatCode>General</c:formatCode>
                <c:ptCount val="3"/>
                <c:pt idx="0">
                  <c:v>700</c:v>
                </c:pt>
                <c:pt idx="1">
                  <c:v>616</c:v>
                </c:pt>
                <c:pt idx="2">
                  <c:v>393</c:v>
                </c:pt>
              </c:numCache>
            </c:numRef>
          </c:val>
        </c:ser>
        <c:ser>
          <c:idx val="1"/>
          <c:order val="1"/>
          <c:tx>
            <c:strRef>
              <c:f>'Summary Data'!C20</c:f>
              <c:strCache>
                <c:ptCount val="1"/>
                <c:pt idx="0">
                  <c:v>Neutral</c:v>
                </c:pt>
              </c:strCache>
            </c:strRef>
          </c:tx>
          <c:spPr>
            <a:solidFill>
              <a:srgbClr val="ed7d31"/>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Data'!$A$21:$A$23</c:f>
              <c:strCache>
                <c:ptCount val="3"/>
                <c:pt idx="0">
                  <c:v>Blinkit</c:v>
                </c:pt>
                <c:pt idx="1">
                  <c:v>Zepto</c:v>
                </c:pt>
                <c:pt idx="2">
                  <c:v>Jiomart</c:v>
                </c:pt>
              </c:strCache>
            </c:strRef>
          </c:cat>
          <c:val>
            <c:numRef>
              <c:f>'Summary Data'!$C$21:$C$23</c:f>
              <c:numCache>
                <c:formatCode>General</c:formatCode>
                <c:ptCount val="3"/>
                <c:pt idx="0">
                  <c:v>39</c:v>
                </c:pt>
                <c:pt idx="1">
                  <c:v>54</c:v>
                </c:pt>
                <c:pt idx="2">
                  <c:v>69</c:v>
                </c:pt>
              </c:numCache>
            </c:numRef>
          </c:val>
        </c:ser>
        <c:ser>
          <c:idx val="2"/>
          <c:order val="2"/>
          <c:tx>
            <c:strRef>
              <c:f>'Summary Data'!D20</c:f>
              <c:strCache>
                <c:ptCount val="1"/>
                <c:pt idx="0">
                  <c:v>Negative</c:v>
                </c:pt>
              </c:strCache>
            </c:strRef>
          </c:tx>
          <c:spPr>
            <a:solidFill>
              <a:srgbClr val="a5a5a5"/>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Data'!$A$21:$A$23</c:f>
              <c:strCache>
                <c:ptCount val="3"/>
                <c:pt idx="0">
                  <c:v>Blinkit</c:v>
                </c:pt>
                <c:pt idx="1">
                  <c:v>Zepto</c:v>
                </c:pt>
                <c:pt idx="2">
                  <c:v>Jiomart</c:v>
                </c:pt>
              </c:strCache>
            </c:strRef>
          </c:cat>
          <c:val>
            <c:numRef>
              <c:f>'Summary Data'!$D$21:$D$23</c:f>
              <c:numCache>
                <c:formatCode>General</c:formatCode>
                <c:ptCount val="3"/>
                <c:pt idx="0">
                  <c:v>641</c:v>
                </c:pt>
                <c:pt idx="1">
                  <c:v>1070</c:v>
                </c:pt>
                <c:pt idx="2">
                  <c:v>1038</c:v>
                </c:pt>
              </c:numCache>
            </c:numRef>
          </c:val>
        </c:ser>
        <c:gapWidth val="150"/>
        <c:overlap val="100"/>
        <c:axId val="27357458"/>
        <c:axId val="26522433"/>
      </c:barChart>
      <c:catAx>
        <c:axId val="2735745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522433"/>
        <c:crosses val="autoZero"/>
        <c:auto val="1"/>
        <c:lblAlgn val="ctr"/>
        <c:lblOffset val="100"/>
        <c:noMultiLvlLbl val="0"/>
      </c:catAx>
      <c:valAx>
        <c:axId val="26522433"/>
        <c:scaling>
          <c:orientation val="minMax"/>
        </c:scaling>
        <c:delete val="0"/>
        <c:axPos val="l"/>
        <c:numFmt formatCode="[$-409]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73574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Rating distribution (1-5 stars)</a:t>
            </a:r>
          </a:p>
        </c:rich>
      </c:tx>
      <c:overlay val="0"/>
      <c:spPr>
        <a:noFill/>
        <a:ln w="0">
          <a:noFill/>
        </a:ln>
      </c:spPr>
    </c:title>
    <c:autoTitleDeleted val="0"/>
    <c:plotArea>
      <c:barChart>
        <c:barDir val="col"/>
        <c:grouping val="clustered"/>
        <c:varyColors val="0"/>
        <c:ser>
          <c:idx val="0"/>
          <c:order val="0"/>
          <c:tx>
            <c:strRef>
              <c:f>'Summary Data'!B10</c:f>
              <c:strCache>
                <c:ptCount val="1"/>
                <c:pt idx="0">
                  <c:v>Count</c:v>
                </c:pt>
              </c:strCache>
            </c:strRef>
          </c:tx>
          <c:spPr>
            <a:solidFill>
              <a:srgbClr val="4472c4"/>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Data'!$A$11:$A$15</c:f>
              <c:strCache>
                <c:ptCount val="5"/>
                <c:pt idx="0">
                  <c:v>1</c:v>
                </c:pt>
                <c:pt idx="1">
                  <c:v>2</c:v>
                </c:pt>
                <c:pt idx="2">
                  <c:v>3</c:v>
                </c:pt>
                <c:pt idx="3">
                  <c:v>4</c:v>
                </c:pt>
                <c:pt idx="4">
                  <c:v>5</c:v>
                </c:pt>
              </c:strCache>
            </c:strRef>
          </c:cat>
          <c:val>
            <c:numRef>
              <c:f>'Summary Data'!$B$11:$B$15</c:f>
              <c:numCache>
                <c:formatCode>General</c:formatCode>
                <c:ptCount val="5"/>
                <c:pt idx="0">
                  <c:v>3305</c:v>
                </c:pt>
                <c:pt idx="1">
                  <c:v>279</c:v>
                </c:pt>
                <c:pt idx="2">
                  <c:v>188</c:v>
                </c:pt>
                <c:pt idx="3">
                  <c:v>225</c:v>
                </c:pt>
                <c:pt idx="4">
                  <c:v>623</c:v>
                </c:pt>
              </c:numCache>
            </c:numRef>
          </c:val>
        </c:ser>
        <c:gapWidth val="150"/>
        <c:overlap val="0"/>
        <c:axId val="18624890"/>
        <c:axId val="6279103"/>
      </c:barChart>
      <c:catAx>
        <c:axId val="1862489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79103"/>
        <c:crosses val="autoZero"/>
        <c:auto val="1"/>
        <c:lblAlgn val="ctr"/>
        <c:lblOffset val="100"/>
        <c:noMultiLvlLbl val="0"/>
      </c:catAx>
      <c:valAx>
        <c:axId val="6279103"/>
        <c:scaling>
          <c:orientation val="minMax"/>
        </c:scaling>
        <c:delete val="0"/>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86248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Reviews posted per month</a:t>
            </a:r>
          </a:p>
        </c:rich>
      </c:tx>
      <c:overlay val="0"/>
      <c:spPr>
        <a:noFill/>
        <a:ln w="0">
          <a:noFill/>
        </a:ln>
      </c:spPr>
    </c:title>
    <c:autoTitleDeleted val="0"/>
    <c:plotArea>
      <c:lineChart>
        <c:grouping val="standard"/>
        <c:varyColors val="0"/>
        <c:ser>
          <c:idx val="0"/>
          <c:order val="0"/>
          <c:tx>
            <c:strRef>
              <c:f>'Summary Data'!E10</c:f>
              <c:strCache>
                <c:ptCount val="1"/>
                <c:pt idx="0">
                  <c:v>Review count</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Data'!$D$11:$D$15</c:f>
              <c:strCache>
                <c:ptCount val="5"/>
                <c:pt idx="0">
                  <c:v>Aug-2024</c:v>
                </c:pt>
                <c:pt idx="1">
                  <c:v>Sep-2024</c:v>
                </c:pt>
                <c:pt idx="2">
                  <c:v>Oct-2024</c:v>
                </c:pt>
                <c:pt idx="3">
                  <c:v>Nov-2024</c:v>
                </c:pt>
                <c:pt idx="4">
                  <c:v>Dec-2024</c:v>
                </c:pt>
              </c:strCache>
            </c:strRef>
          </c:cat>
          <c:val>
            <c:numRef>
              <c:f>'Summary Data'!$E$11:$E$15</c:f>
              <c:numCache>
                <c:formatCode>General</c:formatCode>
                <c:ptCount val="5"/>
                <c:pt idx="0">
                  <c:v>181</c:v>
                </c:pt>
                <c:pt idx="1">
                  <c:v>157</c:v>
                </c:pt>
                <c:pt idx="2">
                  <c:v>822</c:v>
                </c:pt>
                <c:pt idx="3">
                  <c:v>1000</c:v>
                </c:pt>
                <c:pt idx="4">
                  <c:v>2212</c:v>
                </c:pt>
              </c:numCache>
            </c:numRef>
          </c:val>
          <c:smooth val="1"/>
        </c:ser>
        <c:hiLowLines>
          <c:spPr>
            <a:ln w="0">
              <a:noFill/>
            </a:ln>
          </c:spPr>
        </c:hiLowLines>
        <c:marker val="0"/>
        <c:axId val="62106541"/>
        <c:axId val="91605918"/>
      </c:lineChart>
      <c:catAx>
        <c:axId val="6210654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1605918"/>
        <c:crosses val="autoZero"/>
        <c:auto val="1"/>
        <c:lblAlgn val="ctr"/>
        <c:lblOffset val="100"/>
        <c:noMultiLvlLbl val="0"/>
      </c:catAx>
      <c:valAx>
        <c:axId val="91605918"/>
        <c:scaling>
          <c:orientation val="minMax"/>
        </c:scaling>
        <c:delete val="0"/>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1065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rating over time</a:t>
            </a:r>
          </a:p>
        </c:rich>
      </c:tx>
      <c:overlay val="0"/>
      <c:spPr>
        <a:noFill/>
        <a:ln w="0">
          <a:noFill/>
        </a:ln>
      </c:spPr>
    </c:title>
    <c:autoTitleDeleted val="0"/>
    <c:plotArea>
      <c:lineChart>
        <c:grouping val="standard"/>
        <c:varyColors val="0"/>
        <c:ser>
          <c:idx val="0"/>
          <c:order val="0"/>
          <c:tx>
            <c:strRef>
              <c:f>'Summary Data'!F10</c:f>
              <c:strCache>
                <c:ptCount val="1"/>
                <c:pt idx="0">
                  <c:v>Avg rating</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Data'!$D$11:$D$15</c:f>
              <c:strCache>
                <c:ptCount val="5"/>
                <c:pt idx="0">
                  <c:v>Aug-2024</c:v>
                </c:pt>
                <c:pt idx="1">
                  <c:v>Sep-2024</c:v>
                </c:pt>
                <c:pt idx="2">
                  <c:v>Oct-2024</c:v>
                </c:pt>
                <c:pt idx="3">
                  <c:v>Nov-2024</c:v>
                </c:pt>
                <c:pt idx="4">
                  <c:v>Dec-2024</c:v>
                </c:pt>
              </c:strCache>
            </c:strRef>
          </c:cat>
          <c:val>
            <c:numRef>
              <c:f>'Summary Data'!$F$11:$F$15</c:f>
              <c:numCache>
                <c:formatCode>0.00</c:formatCode>
                <c:ptCount val="5"/>
                <c:pt idx="0">
                  <c:v>1.35911602209945</c:v>
                </c:pt>
                <c:pt idx="1">
                  <c:v>1.35031847133758</c:v>
                </c:pt>
                <c:pt idx="2">
                  <c:v>1.92579075425791</c:v>
                </c:pt>
                <c:pt idx="3">
                  <c:v>1.857</c:v>
                </c:pt>
                <c:pt idx="4">
                  <c:v>1.91048824593128</c:v>
                </c:pt>
              </c:numCache>
            </c:numRef>
          </c:val>
          <c:smooth val="1"/>
        </c:ser>
        <c:hiLowLines>
          <c:spPr>
            <a:ln w="0">
              <a:noFill/>
            </a:ln>
          </c:spPr>
        </c:hiLowLines>
        <c:marker val="0"/>
        <c:axId val="37987616"/>
        <c:axId val="85256916"/>
      </c:lineChart>
      <c:catAx>
        <c:axId val="3798761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5256916"/>
        <c:crosses val="autoZero"/>
        <c:auto val="1"/>
        <c:lblAlgn val="ctr"/>
        <c:lblOffset val="100"/>
        <c:noMultiLvlLbl val="0"/>
      </c:catAx>
      <c:valAx>
        <c:axId val="85256916"/>
        <c:scaling>
          <c:orientation val="minMax"/>
        </c:scaling>
        <c:delete val="0"/>
        <c:axPos val="l"/>
        <c:numFmt formatCode="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798761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xdr:row>
      <xdr:rowOff>0</xdr:rowOff>
    </xdr:from>
    <xdr:to>
      <xdr:col>4</xdr:col>
      <xdr:colOff>576360</xdr:colOff>
      <xdr:row>19</xdr:row>
      <xdr:rowOff>165960</xdr:rowOff>
    </xdr:to>
    <xdr:graphicFrame>
      <xdr:nvGraphicFramePr>
        <xdr:cNvPr id="0" name="Chart 1"/>
        <xdr:cNvGraphicFramePr/>
      </xdr:nvGraphicFramePr>
      <xdr:xfrm>
        <a:off x="0" y="1390680"/>
        <a:ext cx="39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5</xdr:row>
      <xdr:rowOff>0</xdr:rowOff>
    </xdr:from>
    <xdr:to>
      <xdr:col>11</xdr:col>
      <xdr:colOff>576360</xdr:colOff>
      <xdr:row>19</xdr:row>
      <xdr:rowOff>165960</xdr:rowOff>
    </xdr:to>
    <xdr:graphicFrame>
      <xdr:nvGraphicFramePr>
        <xdr:cNvPr id="1" name="Chart 2"/>
        <xdr:cNvGraphicFramePr/>
      </xdr:nvGraphicFramePr>
      <xdr:xfrm>
        <a:off x="5920920" y="1390680"/>
        <a:ext cx="39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5</xdr:row>
      <xdr:rowOff>0</xdr:rowOff>
    </xdr:from>
    <xdr:to>
      <xdr:col>18</xdr:col>
      <xdr:colOff>576360</xdr:colOff>
      <xdr:row>19</xdr:row>
      <xdr:rowOff>165960</xdr:rowOff>
    </xdr:to>
    <xdr:graphicFrame>
      <xdr:nvGraphicFramePr>
        <xdr:cNvPr id="2" name="Chart 3"/>
        <xdr:cNvGraphicFramePr/>
      </xdr:nvGraphicFramePr>
      <xdr:xfrm>
        <a:off x="11841480" y="1390680"/>
        <a:ext cx="39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23</xdr:row>
      <xdr:rowOff>0</xdr:rowOff>
    </xdr:from>
    <xdr:to>
      <xdr:col>4</xdr:col>
      <xdr:colOff>576360</xdr:colOff>
      <xdr:row>37</xdr:row>
      <xdr:rowOff>165960</xdr:rowOff>
    </xdr:to>
    <xdr:graphicFrame>
      <xdr:nvGraphicFramePr>
        <xdr:cNvPr id="3" name="Chart 4"/>
        <xdr:cNvGraphicFramePr/>
      </xdr:nvGraphicFramePr>
      <xdr:xfrm>
        <a:off x="0" y="4648320"/>
        <a:ext cx="39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23</xdr:row>
      <xdr:rowOff>0</xdr:rowOff>
    </xdr:from>
    <xdr:to>
      <xdr:col>11</xdr:col>
      <xdr:colOff>576360</xdr:colOff>
      <xdr:row>37</xdr:row>
      <xdr:rowOff>165960</xdr:rowOff>
    </xdr:to>
    <xdr:graphicFrame>
      <xdr:nvGraphicFramePr>
        <xdr:cNvPr id="4" name="Chart 5"/>
        <xdr:cNvGraphicFramePr/>
      </xdr:nvGraphicFramePr>
      <xdr:xfrm>
        <a:off x="5920920" y="4648320"/>
        <a:ext cx="3959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23</xdr:row>
      <xdr:rowOff>0</xdr:rowOff>
    </xdr:from>
    <xdr:to>
      <xdr:col>18</xdr:col>
      <xdr:colOff>576360</xdr:colOff>
      <xdr:row>37</xdr:row>
      <xdr:rowOff>165960</xdr:rowOff>
    </xdr:to>
    <xdr:graphicFrame>
      <xdr:nvGraphicFramePr>
        <xdr:cNvPr id="5" name="Chart 6"/>
        <xdr:cNvGraphicFramePr/>
      </xdr:nvGraphicFramePr>
      <xdr:xfrm>
        <a:off x="11841480" y="4648320"/>
        <a:ext cx="3959640" cy="26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Table1" displayName="Table1" ref="A1:F4622" headerRowCount="1" totalsRowCount="1" totalsRowShown="1">
  <autoFilter ref="A1:F4622"/>
  <tableColumns count="6">
    <tableColumn id="1" name="rating" totalsRowFunction="custom"/>
    <tableColumn id="2" name="date"/>
    <tableColumn id="3" name="review"/>
    <tableColumn id="4" name="platform"/>
    <tableColumn id="5" name="sentiment"/>
    <tableColumn id="6" name="month"/>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
  <sheetViews>
    <sheetView showFormulas="false" showGridLines="false" showRowColHeaders="true" showZeros="true" rightToLeft="false" tabSelected="true" showOutlineSymbols="true" defaultGridColor="true" view="normal" topLeftCell="A2" colorId="64" zoomScale="54" zoomScaleNormal="54" zoomScalePageLayoutView="100" workbookViewId="0">
      <selection pane="topLeft" activeCell="G27" activeCellId="0" sqref="G27"/>
    </sheetView>
  </sheetViews>
  <sheetFormatPr defaultColWidth="8.6796875" defaultRowHeight="14.25" zeroHeight="false" outlineLevelRow="0" outlineLevelCol="0"/>
  <cols>
    <col collapsed="false" customWidth="true" hidden="false" outlineLevel="0" max="7" min="1" style="1" width="12"/>
    <col collapsed="false" customWidth="true" hidden="false" outlineLevel="0" max="19" min="8" style="0" width="12"/>
  </cols>
  <sheetData>
    <row r="1" customFormat="false" ht="14.25" hidden="false" customHeight="true" outlineLevel="0" collapsed="false">
      <c r="A1" s="2" t="s">
        <v>0</v>
      </c>
      <c r="B1" s="2"/>
      <c r="C1" s="2"/>
      <c r="D1" s="2"/>
      <c r="E1" s="2"/>
      <c r="F1" s="2"/>
      <c r="G1" s="2"/>
      <c r="H1" s="2"/>
      <c r="I1" s="2"/>
    </row>
    <row r="2" customFormat="false" ht="31.5" hidden="false" customHeight="true" outlineLevel="0" collapsed="false">
      <c r="A2" s="3" t="s">
        <v>1</v>
      </c>
      <c r="B2" s="3" t="s">
        <v>2</v>
      </c>
      <c r="C2" s="3" t="s">
        <v>3</v>
      </c>
      <c r="D2" s="3" t="s">
        <v>4</v>
      </c>
      <c r="E2" s="3" t="s">
        <v>5</v>
      </c>
      <c r="F2" s="3" t="s">
        <v>6</v>
      </c>
      <c r="G2" s="3" t="s">
        <v>7</v>
      </c>
    </row>
    <row r="3" customFormat="false" ht="19.5" hidden="false" customHeight="true" outlineLevel="0" collapsed="false">
      <c r="A3" s="4" t="n">
        <v>4620</v>
      </c>
      <c r="B3" s="5" t="n">
        <f aca="false">AVERAGE(Table1[rating])</f>
        <v>1.82727272727273</v>
      </c>
      <c r="C3" s="6" t="s">
        <v>8</v>
      </c>
      <c r="D3" s="6" t="s">
        <v>9</v>
      </c>
      <c r="E3" s="4" t="n">
        <v>3</v>
      </c>
      <c r="F3" s="7" t="n">
        <v>22.43</v>
      </c>
      <c r="G3" s="7" t="n">
        <v>77.58</v>
      </c>
    </row>
    <row r="4" customFormat="false" ht="30" hidden="false" customHeight="true" outlineLevel="0" collapsed="false">
      <c r="A4" s="8" t="s">
        <v>10</v>
      </c>
      <c r="B4" s="8"/>
      <c r="C4" s="8"/>
      <c r="D4" s="8"/>
      <c r="E4" s="8"/>
      <c r="F4" s="8"/>
      <c r="G4" s="8"/>
      <c r="H4" s="8"/>
      <c r="I4" s="8"/>
      <c r="J4" s="8"/>
      <c r="K4" s="8"/>
      <c r="L4" s="8"/>
      <c r="M4" s="8"/>
      <c r="N4" s="8"/>
    </row>
  </sheetData>
  <mergeCells count="2">
    <mergeCell ref="A1:I1"/>
    <mergeCell ref="A4:N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22"/>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pane xSplit="0" ySplit="1" topLeftCell="A2" activePane="bottomLeft" state="frozen"/>
      <selection pane="topLeft" activeCell="A3" activeCellId="0" sqref="A3"/>
      <selection pane="bottomLeft" activeCell="C4625" activeCellId="0" sqref="C4625"/>
    </sheetView>
  </sheetViews>
  <sheetFormatPr defaultColWidth="8.6796875" defaultRowHeight="14.25" zeroHeight="false" outlineLevelRow="0" outlineLevelCol="0"/>
  <cols>
    <col collapsed="false" customWidth="true" hidden="false" outlineLevel="0" max="1" min="1" style="1" width="7.73"/>
    <col collapsed="false" customWidth="true" hidden="false" outlineLevel="0" max="2" min="2" style="1" width="9.73"/>
    <col collapsed="false" customWidth="true" hidden="false" outlineLevel="0" max="3" min="3" style="1" width="64.09"/>
    <col collapsed="false" customWidth="true" hidden="false" outlineLevel="0" max="4" min="4" style="1" width="10.18"/>
    <col collapsed="false" customWidth="true" hidden="false" outlineLevel="0" max="5" min="5" style="1" width="14"/>
    <col collapsed="false" customWidth="true" hidden="false" outlineLevel="0" max="6" min="6" style="1" width="12"/>
  </cols>
  <sheetData>
    <row r="1" customFormat="false" ht="19.5" hidden="false" customHeight="true" outlineLevel="0" collapsed="false">
      <c r="A1" s="9" t="s">
        <v>11</v>
      </c>
      <c r="B1" s="9" t="s">
        <v>12</v>
      </c>
      <c r="C1" s="9" t="s">
        <v>13</v>
      </c>
      <c r="D1" s="9" t="s">
        <v>14</v>
      </c>
      <c r="E1" s="9" t="s">
        <v>15</v>
      </c>
      <c r="F1" s="9" t="s">
        <v>16</v>
      </c>
    </row>
    <row r="2" customFormat="false" ht="144.75" hidden="false" customHeight="true" outlineLevel="0" collapsed="false">
      <c r="A2" s="1" t="n">
        <v>2</v>
      </c>
      <c r="B2" s="10" t="n">
        <v>45656</v>
      </c>
      <c r="C2" s="11" t="s">
        <v>17</v>
      </c>
      <c r="D2" s="1" t="s">
        <v>8</v>
      </c>
      <c r="E2" s="1" t="s">
        <v>18</v>
      </c>
      <c r="F2" s="1" t="str">
        <f aca="false">TEXT(B2,"mmm-yyyy")</f>
        <v>Dec-2024</v>
      </c>
    </row>
    <row r="3" customFormat="false" ht="174" hidden="false" customHeight="true" outlineLevel="0" collapsed="false">
      <c r="A3" s="1" t="n">
        <v>1</v>
      </c>
      <c r="B3" s="10" t="n">
        <v>45600</v>
      </c>
      <c r="C3" s="11" t="s">
        <v>19</v>
      </c>
      <c r="D3" s="1" t="s">
        <v>8</v>
      </c>
      <c r="E3" s="1" t="s">
        <v>20</v>
      </c>
      <c r="F3" s="1" t="str">
        <f aca="false">TEXT(B3,"mmm-yyyy")</f>
        <v>Nov-2024</v>
      </c>
    </row>
    <row r="4" customFormat="false" ht="115.5" hidden="false" customHeight="true" outlineLevel="0" collapsed="false">
      <c r="A4" s="1" t="n">
        <v>1</v>
      </c>
      <c r="B4" s="10" t="n">
        <v>45596</v>
      </c>
      <c r="C4" s="11" t="s">
        <v>21</v>
      </c>
      <c r="D4" s="1" t="s">
        <v>8</v>
      </c>
      <c r="E4" s="1" t="s">
        <v>18</v>
      </c>
      <c r="F4" s="1" t="str">
        <f aca="false">TEXT(B4,"mmm-yyyy")</f>
        <v>Oct-2024</v>
      </c>
    </row>
    <row r="5" customFormat="false" ht="130.5" hidden="false" customHeight="true" outlineLevel="0" collapsed="false">
      <c r="A5" s="1" t="n">
        <v>5</v>
      </c>
      <c r="B5" s="10" t="n">
        <v>45533</v>
      </c>
      <c r="C5" s="11" t="s">
        <v>22</v>
      </c>
      <c r="D5" s="1" t="s">
        <v>8</v>
      </c>
      <c r="E5" s="1" t="s">
        <v>18</v>
      </c>
      <c r="F5" s="1" t="str">
        <f aca="false">TEXT(B5,"mmm-yyyy")</f>
        <v>Aug-2024</v>
      </c>
    </row>
    <row r="6" customFormat="false" ht="115.5" hidden="false" customHeight="true" outlineLevel="0" collapsed="false">
      <c r="A6" s="1" t="n">
        <v>2</v>
      </c>
      <c r="B6" s="10" t="n">
        <v>45657</v>
      </c>
      <c r="C6" s="11" t="s">
        <v>23</v>
      </c>
      <c r="D6" s="1" t="s">
        <v>8</v>
      </c>
      <c r="E6" s="1" t="s">
        <v>20</v>
      </c>
      <c r="F6" s="1" t="str">
        <f aca="false">TEXT(B6,"mmm-yyyy")</f>
        <v>Dec-2024</v>
      </c>
    </row>
    <row r="7" customFormat="false" ht="101.25" hidden="false" customHeight="true" outlineLevel="0" collapsed="false">
      <c r="A7" s="1" t="n">
        <v>5</v>
      </c>
      <c r="B7" s="10" t="n">
        <v>45657</v>
      </c>
      <c r="C7" s="11" t="s">
        <v>24</v>
      </c>
      <c r="D7" s="1" t="s">
        <v>8</v>
      </c>
      <c r="E7" s="1" t="s">
        <v>18</v>
      </c>
      <c r="F7" s="1" t="str">
        <f aca="false">TEXT(B7,"mmm-yyyy")</f>
        <v>Dec-2024</v>
      </c>
    </row>
    <row r="8" customFormat="false" ht="130.5" hidden="false" customHeight="true" outlineLevel="0" collapsed="false">
      <c r="A8" s="1" t="n">
        <v>1</v>
      </c>
      <c r="B8" s="10" t="n">
        <v>45654</v>
      </c>
      <c r="C8" s="11" t="s">
        <v>25</v>
      </c>
      <c r="D8" s="1" t="s">
        <v>8</v>
      </c>
      <c r="E8" s="1" t="s">
        <v>20</v>
      </c>
      <c r="F8" s="1" t="str">
        <f aca="false">TEXT(B8,"mmm-yyyy")</f>
        <v>Dec-2024</v>
      </c>
    </row>
    <row r="9" customFormat="false" ht="87" hidden="false" customHeight="true" outlineLevel="0" collapsed="false">
      <c r="A9" s="1" t="n">
        <v>1</v>
      </c>
      <c r="B9" s="10" t="n">
        <v>45655</v>
      </c>
      <c r="C9" s="11" t="s">
        <v>26</v>
      </c>
      <c r="D9" s="1" t="s">
        <v>8</v>
      </c>
      <c r="E9" s="1" t="s">
        <v>20</v>
      </c>
      <c r="F9" s="1" t="str">
        <f aca="false">TEXT(B9,"mmm-yyyy")</f>
        <v>Dec-2024</v>
      </c>
    </row>
    <row r="10" customFormat="false" ht="87" hidden="false" customHeight="true" outlineLevel="0" collapsed="false">
      <c r="A10" s="1" t="n">
        <v>1</v>
      </c>
      <c r="B10" s="10" t="n">
        <v>45654</v>
      </c>
      <c r="C10" s="11" t="s">
        <v>27</v>
      </c>
      <c r="D10" s="1" t="s">
        <v>8</v>
      </c>
      <c r="E10" s="1" t="s">
        <v>18</v>
      </c>
      <c r="F10" s="1" t="str">
        <f aca="false">TEXT(B10,"mmm-yyyy")</f>
        <v>Dec-2024</v>
      </c>
    </row>
    <row r="11" customFormat="false" ht="72" hidden="false" customHeight="true" outlineLevel="0" collapsed="false">
      <c r="A11" s="1" t="n">
        <v>1</v>
      </c>
      <c r="B11" s="10" t="n">
        <v>45657</v>
      </c>
      <c r="C11" s="11" t="s">
        <v>28</v>
      </c>
      <c r="D11" s="1" t="s">
        <v>8</v>
      </c>
      <c r="E11" s="1" t="s">
        <v>18</v>
      </c>
      <c r="F11" s="1" t="str">
        <f aca="false">TEXT(B11,"mmm-yyyy")</f>
        <v>Dec-2024</v>
      </c>
    </row>
    <row r="12" customFormat="false" ht="72" hidden="false" customHeight="true" outlineLevel="0" collapsed="false">
      <c r="A12" s="1" t="n">
        <v>5</v>
      </c>
      <c r="B12" s="10" t="n">
        <v>45656</v>
      </c>
      <c r="C12" s="11" t="s">
        <v>29</v>
      </c>
      <c r="D12" s="1" t="s">
        <v>8</v>
      </c>
      <c r="E12" s="1" t="s">
        <v>18</v>
      </c>
      <c r="F12" s="1" t="str">
        <f aca="false">TEXT(B12,"mmm-yyyy")</f>
        <v>Dec-2024</v>
      </c>
    </row>
    <row r="13" customFormat="false" ht="144.75" hidden="false" customHeight="true" outlineLevel="0" collapsed="false">
      <c r="A13" s="1" t="n">
        <v>1</v>
      </c>
      <c r="B13" s="10" t="n">
        <v>45656</v>
      </c>
      <c r="C13" s="11" t="s">
        <v>30</v>
      </c>
      <c r="D13" s="1" t="s">
        <v>8</v>
      </c>
      <c r="E13" s="1" t="s">
        <v>20</v>
      </c>
      <c r="F13" s="1" t="str">
        <f aca="false">TEXT(B13,"mmm-yyyy")</f>
        <v>Dec-2024</v>
      </c>
    </row>
    <row r="14" customFormat="false" ht="57.75" hidden="false" customHeight="true" outlineLevel="0" collapsed="false">
      <c r="A14" s="1" t="n">
        <v>3</v>
      </c>
      <c r="B14" s="10" t="n">
        <v>45657</v>
      </c>
      <c r="C14" s="11" t="s">
        <v>31</v>
      </c>
      <c r="D14" s="1" t="s">
        <v>8</v>
      </c>
      <c r="E14" s="1" t="s">
        <v>32</v>
      </c>
      <c r="F14" s="1" t="str">
        <f aca="false">TEXT(B14,"mmm-yyyy")</f>
        <v>Dec-2024</v>
      </c>
    </row>
    <row r="15" customFormat="false" ht="87" hidden="false" customHeight="true" outlineLevel="0" collapsed="false">
      <c r="A15" s="1" t="n">
        <v>1</v>
      </c>
      <c r="B15" s="10" t="n">
        <v>45655</v>
      </c>
      <c r="C15" s="11" t="s">
        <v>33</v>
      </c>
      <c r="D15" s="1" t="s">
        <v>8</v>
      </c>
      <c r="E15" s="1" t="s">
        <v>20</v>
      </c>
      <c r="F15" s="1" t="str">
        <f aca="false">TEXT(B15,"mmm-yyyy")</f>
        <v>Dec-2024</v>
      </c>
    </row>
    <row r="16" customFormat="false" ht="101.25" hidden="false" customHeight="true" outlineLevel="0" collapsed="false">
      <c r="A16" s="1" t="n">
        <v>5</v>
      </c>
      <c r="B16" s="10" t="n">
        <v>45656</v>
      </c>
      <c r="C16" s="11" t="s">
        <v>34</v>
      </c>
      <c r="D16" s="1" t="s">
        <v>8</v>
      </c>
      <c r="E16" s="1" t="s">
        <v>18</v>
      </c>
      <c r="F16" s="1" t="str">
        <f aca="false">TEXT(B16,"mmm-yyyy")</f>
        <v>Dec-2024</v>
      </c>
    </row>
    <row r="17" customFormat="false" ht="87" hidden="false" customHeight="true" outlineLevel="0" collapsed="false">
      <c r="A17" s="1" t="n">
        <v>1</v>
      </c>
      <c r="B17" s="10" t="n">
        <v>45655</v>
      </c>
      <c r="C17" s="11" t="s">
        <v>35</v>
      </c>
      <c r="D17" s="1" t="s">
        <v>8</v>
      </c>
      <c r="E17" s="1" t="s">
        <v>20</v>
      </c>
      <c r="F17" s="1" t="str">
        <f aca="false">TEXT(B17,"mmm-yyyy")</f>
        <v>Dec-2024</v>
      </c>
    </row>
    <row r="18" customFormat="false" ht="72" hidden="false" customHeight="true" outlineLevel="0" collapsed="false">
      <c r="A18" s="1" t="n">
        <v>1</v>
      </c>
      <c r="B18" s="10" t="n">
        <v>45657</v>
      </c>
      <c r="C18" s="11" t="s">
        <v>36</v>
      </c>
      <c r="D18" s="1" t="s">
        <v>8</v>
      </c>
      <c r="E18" s="1" t="s">
        <v>20</v>
      </c>
      <c r="F18" s="1" t="str">
        <f aca="false">TEXT(B18,"mmm-yyyy")</f>
        <v>Dec-2024</v>
      </c>
    </row>
    <row r="19" customFormat="false" ht="72" hidden="false" customHeight="true" outlineLevel="0" collapsed="false">
      <c r="A19" s="1" t="n">
        <v>4</v>
      </c>
      <c r="B19" s="10" t="n">
        <v>45657</v>
      </c>
      <c r="C19" s="11" t="s">
        <v>37</v>
      </c>
      <c r="D19" s="1" t="s">
        <v>8</v>
      </c>
      <c r="E19" s="1" t="s">
        <v>20</v>
      </c>
      <c r="F19" s="1" t="str">
        <f aca="false">TEXT(B19,"mmm-yyyy")</f>
        <v>Dec-2024</v>
      </c>
    </row>
    <row r="20" customFormat="false" ht="87" hidden="false" customHeight="true" outlineLevel="0" collapsed="false">
      <c r="A20" s="1" t="n">
        <v>1</v>
      </c>
      <c r="B20" s="10" t="n">
        <v>45654</v>
      </c>
      <c r="C20" s="11" t="s">
        <v>38</v>
      </c>
      <c r="D20" s="1" t="s">
        <v>8</v>
      </c>
      <c r="E20" s="1" t="s">
        <v>20</v>
      </c>
      <c r="F20" s="1" t="str">
        <f aca="false">TEXT(B20,"mmm-yyyy")</f>
        <v>Dec-2024</v>
      </c>
    </row>
    <row r="21" customFormat="false" ht="87" hidden="false" customHeight="true" outlineLevel="0" collapsed="false">
      <c r="A21" s="1" t="n">
        <v>4</v>
      </c>
      <c r="B21" s="10" t="n">
        <v>45657</v>
      </c>
      <c r="C21" s="11" t="s">
        <v>39</v>
      </c>
      <c r="D21" s="1" t="s">
        <v>8</v>
      </c>
      <c r="E21" s="1" t="s">
        <v>20</v>
      </c>
      <c r="F21" s="1" t="str">
        <f aca="false">TEXT(B21,"mmm-yyyy")</f>
        <v>Dec-2024</v>
      </c>
    </row>
    <row r="22" customFormat="false" ht="87" hidden="false" customHeight="true" outlineLevel="0" collapsed="false">
      <c r="A22" s="1" t="n">
        <v>1</v>
      </c>
      <c r="B22" s="10" t="n">
        <v>45643</v>
      </c>
      <c r="C22" s="11" t="s">
        <v>40</v>
      </c>
      <c r="D22" s="1" t="s">
        <v>8</v>
      </c>
      <c r="E22" s="1" t="s">
        <v>20</v>
      </c>
      <c r="F22" s="1" t="str">
        <f aca="false">TEXT(B22,"mmm-yyyy")</f>
        <v>Dec-2024</v>
      </c>
    </row>
    <row r="23" customFormat="false" ht="101.25" hidden="false" customHeight="true" outlineLevel="0" collapsed="false">
      <c r="A23" s="1" t="n">
        <v>1</v>
      </c>
      <c r="B23" s="10" t="n">
        <v>45643</v>
      </c>
      <c r="C23" s="11" t="s">
        <v>41</v>
      </c>
      <c r="D23" s="1" t="s">
        <v>8</v>
      </c>
      <c r="E23" s="1" t="s">
        <v>20</v>
      </c>
      <c r="F23" s="1" t="str">
        <f aca="false">TEXT(B23,"mmm-yyyy")</f>
        <v>Dec-2024</v>
      </c>
    </row>
    <row r="24" customFormat="false" ht="101.25" hidden="false" customHeight="true" outlineLevel="0" collapsed="false">
      <c r="A24" s="1" t="n">
        <v>1</v>
      </c>
      <c r="B24" s="10" t="n">
        <v>45643</v>
      </c>
      <c r="C24" s="11" t="s">
        <v>42</v>
      </c>
      <c r="D24" s="1" t="s">
        <v>8</v>
      </c>
      <c r="E24" s="1" t="s">
        <v>18</v>
      </c>
      <c r="F24" s="1" t="str">
        <f aca="false">TEXT(B24,"mmm-yyyy")</f>
        <v>Dec-2024</v>
      </c>
    </row>
    <row r="25" customFormat="false" ht="115.5" hidden="false" customHeight="true" outlineLevel="0" collapsed="false">
      <c r="A25" s="1" t="n">
        <v>1</v>
      </c>
      <c r="B25" s="10" t="n">
        <v>45651</v>
      </c>
      <c r="C25" s="11" t="s">
        <v>43</v>
      </c>
      <c r="D25" s="1" t="s">
        <v>8</v>
      </c>
      <c r="E25" s="1" t="s">
        <v>18</v>
      </c>
      <c r="F25" s="1" t="str">
        <f aca="false">TEXT(B25,"mmm-yyyy")</f>
        <v>Dec-2024</v>
      </c>
    </row>
    <row r="26" customFormat="false" ht="130.5" hidden="false" customHeight="true" outlineLevel="0" collapsed="false">
      <c r="A26" s="1" t="n">
        <v>1</v>
      </c>
      <c r="B26" s="10" t="n">
        <v>45653</v>
      </c>
      <c r="C26" s="11" t="s">
        <v>44</v>
      </c>
      <c r="D26" s="1" t="s">
        <v>8</v>
      </c>
      <c r="E26" s="1" t="s">
        <v>18</v>
      </c>
      <c r="F26" s="1" t="str">
        <f aca="false">TEXT(B26,"mmm-yyyy")</f>
        <v>Dec-2024</v>
      </c>
    </row>
    <row r="27" customFormat="false" ht="130.5" hidden="false" customHeight="true" outlineLevel="0" collapsed="false">
      <c r="A27" s="1" t="n">
        <v>1</v>
      </c>
      <c r="B27" s="10" t="n">
        <v>45647</v>
      </c>
      <c r="C27" s="11" t="s">
        <v>45</v>
      </c>
      <c r="D27" s="1" t="s">
        <v>8</v>
      </c>
      <c r="E27" s="1" t="s">
        <v>20</v>
      </c>
      <c r="F27" s="1" t="str">
        <f aca="false">TEXT(B27,"mmm-yyyy")</f>
        <v>Dec-2024</v>
      </c>
    </row>
    <row r="28" customFormat="false" ht="115.5" hidden="false" customHeight="true" outlineLevel="0" collapsed="false">
      <c r="A28" s="1" t="n">
        <v>1</v>
      </c>
      <c r="B28" s="10" t="n">
        <v>45653</v>
      </c>
      <c r="C28" s="11" t="s">
        <v>46</v>
      </c>
      <c r="D28" s="1" t="s">
        <v>8</v>
      </c>
      <c r="E28" s="1" t="s">
        <v>18</v>
      </c>
      <c r="F28" s="1" t="str">
        <f aca="false">TEXT(B28,"mmm-yyyy")</f>
        <v>Dec-2024</v>
      </c>
    </row>
    <row r="29" customFormat="false" ht="87" hidden="false" customHeight="true" outlineLevel="0" collapsed="false">
      <c r="A29" s="1" t="n">
        <v>2</v>
      </c>
      <c r="B29" s="10" t="n">
        <v>45651</v>
      </c>
      <c r="C29" s="11" t="s">
        <v>47</v>
      </c>
      <c r="D29" s="1" t="s">
        <v>8</v>
      </c>
      <c r="E29" s="1" t="s">
        <v>18</v>
      </c>
      <c r="F29" s="1" t="str">
        <f aca="false">TEXT(B29,"mmm-yyyy")</f>
        <v>Dec-2024</v>
      </c>
    </row>
    <row r="30" customFormat="false" ht="130.5" hidden="false" customHeight="true" outlineLevel="0" collapsed="false">
      <c r="A30" s="1" t="n">
        <v>1</v>
      </c>
      <c r="B30" s="10" t="n">
        <v>45647</v>
      </c>
      <c r="C30" s="11" t="s">
        <v>48</v>
      </c>
      <c r="D30" s="1" t="s">
        <v>8</v>
      </c>
      <c r="E30" s="1" t="s">
        <v>20</v>
      </c>
      <c r="F30" s="1" t="str">
        <f aca="false">TEXT(B30,"mmm-yyyy")</f>
        <v>Dec-2024</v>
      </c>
    </row>
    <row r="31" customFormat="false" ht="115.5" hidden="false" customHeight="true" outlineLevel="0" collapsed="false">
      <c r="A31" s="1" t="n">
        <v>1</v>
      </c>
      <c r="B31" s="10" t="n">
        <v>45653</v>
      </c>
      <c r="C31" s="11" t="s">
        <v>49</v>
      </c>
      <c r="D31" s="1" t="s">
        <v>8</v>
      </c>
      <c r="E31" s="1" t="s">
        <v>20</v>
      </c>
      <c r="F31" s="1" t="str">
        <f aca="false">TEXT(B31,"mmm-yyyy")</f>
        <v>Dec-2024</v>
      </c>
    </row>
    <row r="32" customFormat="false" ht="101.25" hidden="false" customHeight="true" outlineLevel="0" collapsed="false">
      <c r="A32" s="1" t="n">
        <v>1</v>
      </c>
      <c r="B32" s="10" t="n">
        <v>45647</v>
      </c>
      <c r="C32" s="11" t="s">
        <v>50</v>
      </c>
      <c r="D32" s="1" t="s">
        <v>8</v>
      </c>
      <c r="E32" s="1" t="s">
        <v>18</v>
      </c>
      <c r="F32" s="1" t="str">
        <f aca="false">TEXT(B32,"mmm-yyyy")</f>
        <v>Dec-2024</v>
      </c>
    </row>
    <row r="33" customFormat="false" ht="115.5" hidden="false" customHeight="true" outlineLevel="0" collapsed="false">
      <c r="A33" s="1" t="n">
        <v>2</v>
      </c>
      <c r="B33" s="10" t="n">
        <v>45642</v>
      </c>
      <c r="C33" s="11" t="s">
        <v>51</v>
      </c>
      <c r="D33" s="1" t="s">
        <v>8</v>
      </c>
      <c r="E33" s="1" t="s">
        <v>18</v>
      </c>
      <c r="F33" s="1" t="str">
        <f aca="false">TEXT(B33,"mmm-yyyy")</f>
        <v>Dec-2024</v>
      </c>
    </row>
    <row r="34" customFormat="false" ht="115.5" hidden="false" customHeight="true" outlineLevel="0" collapsed="false">
      <c r="A34" s="1" t="n">
        <v>1</v>
      </c>
      <c r="B34" s="10" t="n">
        <v>45651</v>
      </c>
      <c r="C34" s="11" t="s">
        <v>52</v>
      </c>
      <c r="D34" s="1" t="s">
        <v>8</v>
      </c>
      <c r="E34" s="1" t="s">
        <v>20</v>
      </c>
      <c r="F34" s="1" t="str">
        <f aca="false">TEXT(B34,"mmm-yyyy")</f>
        <v>Dec-2024</v>
      </c>
    </row>
    <row r="35" customFormat="false" ht="87" hidden="false" customHeight="true" outlineLevel="0" collapsed="false">
      <c r="A35" s="1" t="n">
        <v>1</v>
      </c>
      <c r="B35" s="10" t="n">
        <v>45653</v>
      </c>
      <c r="C35" s="11" t="s">
        <v>53</v>
      </c>
      <c r="D35" s="1" t="s">
        <v>8</v>
      </c>
      <c r="E35" s="1" t="s">
        <v>20</v>
      </c>
      <c r="F35" s="1" t="str">
        <f aca="false">TEXT(B35,"mmm-yyyy")</f>
        <v>Dec-2024</v>
      </c>
    </row>
    <row r="36" customFormat="false" ht="115.5" hidden="false" customHeight="true" outlineLevel="0" collapsed="false">
      <c r="A36" s="1" t="n">
        <v>5</v>
      </c>
      <c r="B36" s="10" t="n">
        <v>45652</v>
      </c>
      <c r="C36" s="11" t="s">
        <v>54</v>
      </c>
      <c r="D36" s="1" t="s">
        <v>8</v>
      </c>
      <c r="E36" s="1" t="s">
        <v>18</v>
      </c>
      <c r="F36" s="1" t="str">
        <f aca="false">TEXT(B36,"mmm-yyyy")</f>
        <v>Dec-2024</v>
      </c>
    </row>
    <row r="37" customFormat="false" ht="115.5" hidden="false" customHeight="true" outlineLevel="0" collapsed="false">
      <c r="A37" s="1" t="n">
        <v>5</v>
      </c>
      <c r="B37" s="10" t="n">
        <v>45637</v>
      </c>
      <c r="C37" s="11" t="s">
        <v>55</v>
      </c>
      <c r="D37" s="1" t="s">
        <v>8</v>
      </c>
      <c r="E37" s="1" t="s">
        <v>18</v>
      </c>
      <c r="F37" s="1" t="str">
        <f aca="false">TEXT(B37,"mmm-yyyy")</f>
        <v>Dec-2024</v>
      </c>
    </row>
    <row r="38" customFormat="false" ht="101.25" hidden="false" customHeight="true" outlineLevel="0" collapsed="false">
      <c r="A38" s="1" t="n">
        <v>1</v>
      </c>
      <c r="B38" s="10" t="n">
        <v>45645</v>
      </c>
      <c r="C38" s="11" t="s">
        <v>56</v>
      </c>
      <c r="D38" s="1" t="s">
        <v>8</v>
      </c>
      <c r="E38" s="1" t="s">
        <v>18</v>
      </c>
      <c r="F38" s="1" t="str">
        <f aca="false">TEXT(B38,"mmm-yyyy")</f>
        <v>Dec-2024</v>
      </c>
    </row>
    <row r="39" customFormat="false" ht="115.5" hidden="false" customHeight="true" outlineLevel="0" collapsed="false">
      <c r="A39" s="1" t="n">
        <v>1</v>
      </c>
      <c r="B39" s="10" t="n">
        <v>45651</v>
      </c>
      <c r="C39" s="11" t="s">
        <v>57</v>
      </c>
      <c r="D39" s="1" t="s">
        <v>8</v>
      </c>
      <c r="E39" s="1" t="s">
        <v>18</v>
      </c>
      <c r="F39" s="1" t="str">
        <f aca="false">TEXT(B39,"mmm-yyyy")</f>
        <v>Dec-2024</v>
      </c>
    </row>
    <row r="40" customFormat="false" ht="101.25" hidden="false" customHeight="true" outlineLevel="0" collapsed="false">
      <c r="A40" s="1" t="n">
        <v>1</v>
      </c>
      <c r="B40" s="10" t="n">
        <v>45645</v>
      </c>
      <c r="C40" s="11" t="s">
        <v>58</v>
      </c>
      <c r="D40" s="1" t="s">
        <v>8</v>
      </c>
      <c r="E40" s="1" t="s">
        <v>20</v>
      </c>
      <c r="F40" s="1" t="str">
        <f aca="false">TEXT(B40,"mmm-yyyy")</f>
        <v>Dec-2024</v>
      </c>
    </row>
    <row r="41" customFormat="false" ht="87" hidden="false" customHeight="true" outlineLevel="0" collapsed="false">
      <c r="A41" s="1" t="n">
        <v>5</v>
      </c>
      <c r="B41" s="10" t="n">
        <v>45651</v>
      </c>
      <c r="C41" s="11" t="s">
        <v>59</v>
      </c>
      <c r="D41" s="1" t="s">
        <v>8</v>
      </c>
      <c r="E41" s="1" t="s">
        <v>18</v>
      </c>
      <c r="F41" s="1" t="str">
        <f aca="false">TEXT(B41,"mmm-yyyy")</f>
        <v>Dec-2024</v>
      </c>
    </row>
    <row r="42" customFormat="false" ht="130.5" hidden="false" customHeight="true" outlineLevel="0" collapsed="false">
      <c r="A42" s="1" t="n">
        <v>1</v>
      </c>
      <c r="B42" s="10" t="n">
        <v>45650</v>
      </c>
      <c r="C42" s="11" t="s">
        <v>60</v>
      </c>
      <c r="D42" s="1" t="s">
        <v>8</v>
      </c>
      <c r="E42" s="1" t="s">
        <v>20</v>
      </c>
      <c r="F42" s="1" t="str">
        <f aca="false">TEXT(B42,"mmm-yyyy")</f>
        <v>Dec-2024</v>
      </c>
    </row>
    <row r="43" customFormat="false" ht="115.5" hidden="false" customHeight="true" outlineLevel="0" collapsed="false">
      <c r="A43" s="1" t="n">
        <v>1</v>
      </c>
      <c r="B43" s="10" t="n">
        <v>45648</v>
      </c>
      <c r="C43" s="11" t="s">
        <v>61</v>
      </c>
      <c r="D43" s="1" t="s">
        <v>8</v>
      </c>
      <c r="E43" s="1" t="s">
        <v>20</v>
      </c>
      <c r="F43" s="1" t="str">
        <f aca="false">TEXT(B43,"mmm-yyyy")</f>
        <v>Dec-2024</v>
      </c>
    </row>
    <row r="44" customFormat="false" ht="87" hidden="false" customHeight="true" outlineLevel="0" collapsed="false">
      <c r="A44" s="1" t="n">
        <v>1</v>
      </c>
      <c r="B44" s="10" t="n">
        <v>45642</v>
      </c>
      <c r="C44" s="11" t="s">
        <v>62</v>
      </c>
      <c r="D44" s="1" t="s">
        <v>8</v>
      </c>
      <c r="E44" s="1" t="s">
        <v>20</v>
      </c>
      <c r="F44" s="1" t="str">
        <f aca="false">TEXT(B44,"mmm-yyyy")</f>
        <v>Dec-2024</v>
      </c>
    </row>
    <row r="45" customFormat="false" ht="87" hidden="false" customHeight="true" outlineLevel="0" collapsed="false">
      <c r="A45" s="1" t="n">
        <v>1</v>
      </c>
      <c r="B45" s="10" t="n">
        <v>45651</v>
      </c>
      <c r="C45" s="11" t="s">
        <v>63</v>
      </c>
      <c r="D45" s="1" t="s">
        <v>8</v>
      </c>
      <c r="E45" s="1" t="s">
        <v>18</v>
      </c>
      <c r="F45" s="1" t="str">
        <f aca="false">TEXT(B45,"mmm-yyyy")</f>
        <v>Dec-2024</v>
      </c>
    </row>
    <row r="46" customFormat="false" ht="115.5" hidden="false" customHeight="true" outlineLevel="0" collapsed="false">
      <c r="A46" s="1" t="n">
        <v>1</v>
      </c>
      <c r="B46" s="10" t="n">
        <v>45653</v>
      </c>
      <c r="C46" s="11" t="s">
        <v>64</v>
      </c>
      <c r="D46" s="1" t="s">
        <v>8</v>
      </c>
      <c r="E46" s="1" t="s">
        <v>18</v>
      </c>
      <c r="F46" s="1" t="str">
        <f aca="false">TEXT(B46,"mmm-yyyy")</f>
        <v>Dec-2024</v>
      </c>
    </row>
    <row r="47" customFormat="false" ht="130.5" hidden="false" customHeight="true" outlineLevel="0" collapsed="false">
      <c r="A47" s="1" t="n">
        <v>1</v>
      </c>
      <c r="B47" s="10" t="n">
        <v>45654</v>
      </c>
      <c r="C47" s="11" t="s">
        <v>65</v>
      </c>
      <c r="D47" s="1" t="s">
        <v>8</v>
      </c>
      <c r="E47" s="1" t="s">
        <v>20</v>
      </c>
      <c r="F47" s="1" t="str">
        <f aca="false">TEXT(B47,"mmm-yyyy")</f>
        <v>Dec-2024</v>
      </c>
    </row>
    <row r="48" customFormat="false" ht="130.5" hidden="false" customHeight="true" outlineLevel="0" collapsed="false">
      <c r="A48" s="1" t="n">
        <v>1</v>
      </c>
      <c r="B48" s="10" t="n">
        <v>45651</v>
      </c>
      <c r="C48" s="11" t="s">
        <v>66</v>
      </c>
      <c r="D48" s="1" t="s">
        <v>8</v>
      </c>
      <c r="E48" s="1" t="s">
        <v>20</v>
      </c>
      <c r="F48" s="1" t="str">
        <f aca="false">TEXT(B48,"mmm-yyyy")</f>
        <v>Dec-2024</v>
      </c>
    </row>
    <row r="49" customFormat="false" ht="72" hidden="false" customHeight="true" outlineLevel="0" collapsed="false">
      <c r="A49" s="1" t="n">
        <v>1</v>
      </c>
      <c r="B49" s="10" t="n">
        <v>45653</v>
      </c>
      <c r="C49" s="11" t="s">
        <v>67</v>
      </c>
      <c r="D49" s="1" t="s">
        <v>8</v>
      </c>
      <c r="E49" s="1" t="s">
        <v>18</v>
      </c>
      <c r="F49" s="1" t="str">
        <f aca="false">TEXT(B49,"mmm-yyyy")</f>
        <v>Dec-2024</v>
      </c>
    </row>
    <row r="50" customFormat="false" ht="72" hidden="false" customHeight="true" outlineLevel="0" collapsed="false">
      <c r="A50" s="1" t="n">
        <v>1</v>
      </c>
      <c r="B50" s="10" t="n">
        <v>45649</v>
      </c>
      <c r="C50" s="11" t="s">
        <v>68</v>
      </c>
      <c r="D50" s="1" t="s">
        <v>8</v>
      </c>
      <c r="E50" s="1" t="s">
        <v>18</v>
      </c>
      <c r="F50" s="1" t="str">
        <f aca="false">TEXT(B50,"mmm-yyyy")</f>
        <v>Dec-2024</v>
      </c>
    </row>
    <row r="51" customFormat="false" ht="130.5" hidden="false" customHeight="true" outlineLevel="0" collapsed="false">
      <c r="A51" s="1" t="n">
        <v>1</v>
      </c>
      <c r="B51" s="10" t="n">
        <v>45651</v>
      </c>
      <c r="C51" s="11" t="s">
        <v>69</v>
      </c>
      <c r="D51" s="1" t="s">
        <v>8</v>
      </c>
      <c r="E51" s="1" t="s">
        <v>18</v>
      </c>
      <c r="F51" s="1" t="str">
        <f aca="false">TEXT(B51,"mmm-yyyy")</f>
        <v>Dec-2024</v>
      </c>
    </row>
    <row r="52" customFormat="false" ht="101.25" hidden="false" customHeight="true" outlineLevel="0" collapsed="false">
      <c r="A52" s="1" t="n">
        <v>1</v>
      </c>
      <c r="B52" s="10" t="n">
        <v>45651</v>
      </c>
      <c r="C52" s="11" t="s">
        <v>70</v>
      </c>
      <c r="D52" s="1" t="s">
        <v>8</v>
      </c>
      <c r="E52" s="1" t="s">
        <v>18</v>
      </c>
      <c r="F52" s="1" t="str">
        <f aca="false">TEXT(B52,"mmm-yyyy")</f>
        <v>Dec-2024</v>
      </c>
    </row>
    <row r="53" customFormat="false" ht="101.25" hidden="false" customHeight="true" outlineLevel="0" collapsed="false">
      <c r="A53" s="1" t="n">
        <v>1</v>
      </c>
      <c r="B53" s="10" t="n">
        <v>45649</v>
      </c>
      <c r="C53" s="11" t="s">
        <v>71</v>
      </c>
      <c r="D53" s="1" t="s">
        <v>8</v>
      </c>
      <c r="E53" s="1" t="s">
        <v>20</v>
      </c>
      <c r="F53" s="1" t="str">
        <f aca="false">TEXT(B53,"mmm-yyyy")</f>
        <v>Dec-2024</v>
      </c>
    </row>
    <row r="54" customFormat="false" ht="87" hidden="false" customHeight="true" outlineLevel="0" collapsed="false">
      <c r="A54" s="1" t="n">
        <v>3</v>
      </c>
      <c r="B54" s="10" t="n">
        <v>45647</v>
      </c>
      <c r="C54" s="11" t="s">
        <v>72</v>
      </c>
      <c r="D54" s="1" t="s">
        <v>8</v>
      </c>
      <c r="E54" s="1" t="s">
        <v>18</v>
      </c>
      <c r="F54" s="1" t="str">
        <f aca="false">TEXT(B54,"mmm-yyyy")</f>
        <v>Dec-2024</v>
      </c>
    </row>
    <row r="55" customFormat="false" ht="101.25" hidden="false" customHeight="true" outlineLevel="0" collapsed="false">
      <c r="A55" s="1" t="n">
        <v>4</v>
      </c>
      <c r="B55" s="10" t="n">
        <v>45651</v>
      </c>
      <c r="C55" s="11" t="s">
        <v>73</v>
      </c>
      <c r="D55" s="1" t="s">
        <v>8</v>
      </c>
      <c r="E55" s="1" t="s">
        <v>18</v>
      </c>
      <c r="F55" s="1" t="str">
        <f aca="false">TEXT(B55,"mmm-yyyy")</f>
        <v>Dec-2024</v>
      </c>
    </row>
    <row r="56" customFormat="false" ht="87" hidden="false" customHeight="true" outlineLevel="0" collapsed="false">
      <c r="A56" s="1" t="n">
        <v>5</v>
      </c>
      <c r="B56" s="10" t="n">
        <v>45650</v>
      </c>
      <c r="C56" s="11" t="s">
        <v>74</v>
      </c>
      <c r="D56" s="1" t="s">
        <v>8</v>
      </c>
      <c r="E56" s="1" t="s">
        <v>18</v>
      </c>
      <c r="F56" s="1" t="str">
        <f aca="false">TEXT(B56,"mmm-yyyy")</f>
        <v>Dec-2024</v>
      </c>
    </row>
    <row r="57" customFormat="false" ht="87" hidden="false" customHeight="true" outlineLevel="0" collapsed="false">
      <c r="A57" s="1" t="n">
        <v>4</v>
      </c>
      <c r="B57" s="10" t="n">
        <v>45647</v>
      </c>
      <c r="C57" s="11" t="s">
        <v>75</v>
      </c>
      <c r="D57" s="1" t="s">
        <v>8</v>
      </c>
      <c r="E57" s="1" t="s">
        <v>18</v>
      </c>
      <c r="F57" s="1" t="str">
        <f aca="false">TEXT(B57,"mmm-yyyy")</f>
        <v>Dec-2024</v>
      </c>
    </row>
    <row r="58" customFormat="false" ht="43.5" hidden="false" customHeight="true" outlineLevel="0" collapsed="false">
      <c r="A58" s="1" t="n">
        <v>5</v>
      </c>
      <c r="B58" s="10" t="n">
        <v>45651</v>
      </c>
      <c r="C58" s="11" t="s">
        <v>76</v>
      </c>
      <c r="D58" s="1" t="s">
        <v>8</v>
      </c>
      <c r="E58" s="1" t="s">
        <v>18</v>
      </c>
      <c r="F58" s="1" t="str">
        <f aca="false">TEXT(B58,"mmm-yyyy")</f>
        <v>Dec-2024</v>
      </c>
    </row>
    <row r="59" customFormat="false" ht="101.25" hidden="false" customHeight="true" outlineLevel="0" collapsed="false">
      <c r="A59" s="1" t="n">
        <v>2</v>
      </c>
      <c r="B59" s="10" t="n">
        <v>45642</v>
      </c>
      <c r="C59" s="11" t="s">
        <v>77</v>
      </c>
      <c r="D59" s="1" t="s">
        <v>8</v>
      </c>
      <c r="E59" s="1" t="s">
        <v>18</v>
      </c>
      <c r="F59" s="1" t="str">
        <f aca="false">TEXT(B59,"mmm-yyyy")</f>
        <v>Dec-2024</v>
      </c>
    </row>
    <row r="60" customFormat="false" ht="115.5" hidden="false" customHeight="true" outlineLevel="0" collapsed="false">
      <c r="A60" s="1" t="n">
        <v>5</v>
      </c>
      <c r="B60" s="10" t="n">
        <v>45645</v>
      </c>
      <c r="C60" s="11" t="s">
        <v>78</v>
      </c>
      <c r="D60" s="1" t="s">
        <v>8</v>
      </c>
      <c r="E60" s="1" t="s">
        <v>18</v>
      </c>
      <c r="F60" s="1" t="str">
        <f aca="false">TEXT(B60,"mmm-yyyy")</f>
        <v>Dec-2024</v>
      </c>
    </row>
    <row r="61" customFormat="false" ht="130.5" hidden="false" customHeight="true" outlineLevel="0" collapsed="false">
      <c r="A61" s="1" t="n">
        <v>1</v>
      </c>
      <c r="B61" s="10" t="n">
        <v>45654</v>
      </c>
      <c r="C61" s="11" t="s">
        <v>79</v>
      </c>
      <c r="D61" s="1" t="s">
        <v>8</v>
      </c>
      <c r="E61" s="1" t="s">
        <v>18</v>
      </c>
      <c r="F61" s="1" t="str">
        <f aca="false">TEXT(B61,"mmm-yyyy")</f>
        <v>Dec-2024</v>
      </c>
    </row>
    <row r="62" customFormat="false" ht="87" hidden="false" customHeight="true" outlineLevel="0" collapsed="false">
      <c r="A62" s="1" t="n">
        <v>5</v>
      </c>
      <c r="B62" s="10" t="n">
        <v>45649</v>
      </c>
      <c r="C62" s="11" t="s">
        <v>80</v>
      </c>
      <c r="D62" s="1" t="s">
        <v>8</v>
      </c>
      <c r="E62" s="1" t="s">
        <v>18</v>
      </c>
      <c r="F62" s="1" t="str">
        <f aca="false">TEXT(B62,"mmm-yyyy")</f>
        <v>Dec-2024</v>
      </c>
    </row>
    <row r="63" customFormat="false" ht="72" hidden="false" customHeight="true" outlineLevel="0" collapsed="false">
      <c r="A63" s="1" t="n">
        <v>5</v>
      </c>
      <c r="B63" s="10" t="n">
        <v>45645</v>
      </c>
      <c r="C63" s="11" t="s">
        <v>81</v>
      </c>
      <c r="D63" s="1" t="s">
        <v>8</v>
      </c>
      <c r="E63" s="1" t="s">
        <v>18</v>
      </c>
      <c r="F63" s="1" t="str">
        <f aca="false">TEXT(B63,"mmm-yyyy")</f>
        <v>Dec-2024</v>
      </c>
    </row>
    <row r="64" customFormat="false" ht="115.5" hidden="false" customHeight="true" outlineLevel="0" collapsed="false">
      <c r="A64" s="1" t="n">
        <v>5</v>
      </c>
      <c r="B64" s="10" t="n">
        <v>45647</v>
      </c>
      <c r="C64" s="11" t="s">
        <v>82</v>
      </c>
      <c r="D64" s="1" t="s">
        <v>8</v>
      </c>
      <c r="E64" s="1" t="s">
        <v>18</v>
      </c>
      <c r="F64" s="1" t="str">
        <f aca="false">TEXT(B64,"mmm-yyyy")</f>
        <v>Dec-2024</v>
      </c>
    </row>
    <row r="65" customFormat="false" ht="72" hidden="false" customHeight="true" outlineLevel="0" collapsed="false">
      <c r="A65" s="1" t="n">
        <v>5</v>
      </c>
      <c r="B65" s="10" t="n">
        <v>45648</v>
      </c>
      <c r="C65" s="11" t="s">
        <v>83</v>
      </c>
      <c r="D65" s="1" t="s">
        <v>8</v>
      </c>
      <c r="E65" s="1" t="s">
        <v>18</v>
      </c>
      <c r="F65" s="1" t="str">
        <f aca="false">TEXT(B65,"mmm-yyyy")</f>
        <v>Dec-2024</v>
      </c>
    </row>
    <row r="66" customFormat="false" ht="72" hidden="false" customHeight="true" outlineLevel="0" collapsed="false">
      <c r="A66" s="1" t="n">
        <v>1</v>
      </c>
      <c r="B66" s="10" t="n">
        <v>45651</v>
      </c>
      <c r="C66" s="11" t="s">
        <v>84</v>
      </c>
      <c r="D66" s="1" t="s">
        <v>8</v>
      </c>
      <c r="E66" s="1" t="s">
        <v>20</v>
      </c>
      <c r="F66" s="1" t="str">
        <f aca="false">TEXT(B66,"mmm-yyyy")</f>
        <v>Dec-2024</v>
      </c>
    </row>
    <row r="67" customFormat="false" ht="101.25" hidden="false" customHeight="true" outlineLevel="0" collapsed="false">
      <c r="A67" s="1" t="n">
        <v>5</v>
      </c>
      <c r="B67" s="10" t="n">
        <v>45653</v>
      </c>
      <c r="C67" s="11" t="s">
        <v>85</v>
      </c>
      <c r="D67" s="1" t="s">
        <v>8</v>
      </c>
      <c r="E67" s="1" t="s">
        <v>18</v>
      </c>
      <c r="F67" s="1" t="str">
        <f aca="false">TEXT(B67,"mmm-yyyy")</f>
        <v>Dec-2024</v>
      </c>
    </row>
    <row r="68" customFormat="false" ht="57.75" hidden="false" customHeight="true" outlineLevel="0" collapsed="false">
      <c r="A68" s="1" t="n">
        <v>1</v>
      </c>
      <c r="B68" s="10" t="n">
        <v>45656</v>
      </c>
      <c r="C68" s="11" t="s">
        <v>86</v>
      </c>
      <c r="D68" s="1" t="s">
        <v>8</v>
      </c>
      <c r="E68" s="1" t="s">
        <v>20</v>
      </c>
      <c r="F68" s="1" t="str">
        <f aca="false">TEXT(B68,"mmm-yyyy")</f>
        <v>Dec-2024</v>
      </c>
    </row>
    <row r="69" customFormat="false" ht="87" hidden="false" customHeight="true" outlineLevel="0" collapsed="false">
      <c r="A69" s="1" t="n">
        <v>5</v>
      </c>
      <c r="B69" s="10" t="n">
        <v>45651</v>
      </c>
      <c r="C69" s="11" t="s">
        <v>87</v>
      </c>
      <c r="D69" s="1" t="s">
        <v>8</v>
      </c>
      <c r="E69" s="1" t="s">
        <v>18</v>
      </c>
      <c r="F69" s="1" t="str">
        <f aca="false">TEXT(B69,"mmm-yyyy")</f>
        <v>Dec-2024</v>
      </c>
    </row>
    <row r="70" customFormat="false" ht="115.5" hidden="false" customHeight="true" outlineLevel="0" collapsed="false">
      <c r="A70" s="1" t="n">
        <v>1</v>
      </c>
      <c r="B70" s="10" t="n">
        <v>45651</v>
      </c>
      <c r="C70" s="11" t="s">
        <v>88</v>
      </c>
      <c r="D70" s="1" t="s">
        <v>8</v>
      </c>
      <c r="E70" s="1" t="s">
        <v>20</v>
      </c>
      <c r="F70" s="1" t="str">
        <f aca="false">TEXT(B70,"mmm-yyyy")</f>
        <v>Dec-2024</v>
      </c>
    </row>
    <row r="71" customFormat="false" ht="87" hidden="false" customHeight="true" outlineLevel="0" collapsed="false">
      <c r="A71" s="1" t="n">
        <v>1</v>
      </c>
      <c r="B71" s="10" t="n">
        <v>45655</v>
      </c>
      <c r="C71" s="11" t="s">
        <v>89</v>
      </c>
      <c r="D71" s="1" t="s">
        <v>8</v>
      </c>
      <c r="E71" s="1" t="s">
        <v>18</v>
      </c>
      <c r="F71" s="1" t="str">
        <f aca="false">TEXT(B71,"mmm-yyyy")</f>
        <v>Dec-2024</v>
      </c>
    </row>
    <row r="72" customFormat="false" ht="115.5" hidden="false" customHeight="true" outlineLevel="0" collapsed="false">
      <c r="A72" s="1" t="n">
        <v>1</v>
      </c>
      <c r="B72" s="10" t="n">
        <v>45584</v>
      </c>
      <c r="C72" s="11" t="s">
        <v>90</v>
      </c>
      <c r="D72" s="1" t="s">
        <v>8</v>
      </c>
      <c r="E72" s="1" t="s">
        <v>20</v>
      </c>
      <c r="F72" s="1" t="str">
        <f aca="false">TEXT(B72,"mmm-yyyy")</f>
        <v>Oct-2024</v>
      </c>
    </row>
    <row r="73" customFormat="false" ht="115.5" hidden="false" customHeight="true" outlineLevel="0" collapsed="false">
      <c r="A73" s="1" t="n">
        <v>4</v>
      </c>
      <c r="B73" s="10" t="n">
        <v>45647</v>
      </c>
      <c r="C73" s="11" t="s">
        <v>91</v>
      </c>
      <c r="D73" s="1" t="s">
        <v>8</v>
      </c>
      <c r="E73" s="1" t="s">
        <v>20</v>
      </c>
      <c r="F73" s="1" t="str">
        <f aca="false">TEXT(B73,"mmm-yyyy")</f>
        <v>Dec-2024</v>
      </c>
    </row>
    <row r="74" customFormat="false" ht="115.5" hidden="false" customHeight="true" outlineLevel="0" collapsed="false">
      <c r="A74" s="1" t="n">
        <v>1</v>
      </c>
      <c r="B74" s="10" t="n">
        <v>45639</v>
      </c>
      <c r="C74" s="11" t="s">
        <v>92</v>
      </c>
      <c r="D74" s="1" t="s">
        <v>8</v>
      </c>
      <c r="E74" s="1" t="s">
        <v>20</v>
      </c>
      <c r="F74" s="1" t="str">
        <f aca="false">TEXT(B74,"mmm-yyyy")</f>
        <v>Dec-2024</v>
      </c>
    </row>
    <row r="75" customFormat="false" ht="130.5" hidden="false" customHeight="true" outlineLevel="0" collapsed="false">
      <c r="A75" s="1" t="n">
        <v>1</v>
      </c>
      <c r="B75" s="10" t="n">
        <v>45648</v>
      </c>
      <c r="C75" s="11" t="s">
        <v>93</v>
      </c>
      <c r="D75" s="1" t="s">
        <v>8</v>
      </c>
      <c r="E75" s="1" t="s">
        <v>20</v>
      </c>
      <c r="F75" s="1" t="str">
        <f aca="false">TEXT(B75,"mmm-yyyy")</f>
        <v>Dec-2024</v>
      </c>
    </row>
    <row r="76" customFormat="false" ht="72" hidden="false" customHeight="true" outlineLevel="0" collapsed="false">
      <c r="A76" s="1" t="n">
        <v>1</v>
      </c>
      <c r="B76" s="10" t="n">
        <v>45646</v>
      </c>
      <c r="C76" s="11" t="s">
        <v>94</v>
      </c>
      <c r="D76" s="1" t="s">
        <v>8</v>
      </c>
      <c r="E76" s="1" t="s">
        <v>20</v>
      </c>
      <c r="F76" s="1" t="str">
        <f aca="false">TEXT(B76,"mmm-yyyy")</f>
        <v>Dec-2024</v>
      </c>
    </row>
    <row r="77" customFormat="false" ht="115.5" hidden="false" customHeight="true" outlineLevel="0" collapsed="false">
      <c r="A77" s="1" t="n">
        <v>1</v>
      </c>
      <c r="B77" s="10" t="n">
        <v>45655</v>
      </c>
      <c r="C77" s="11" t="s">
        <v>95</v>
      </c>
      <c r="D77" s="1" t="s">
        <v>8</v>
      </c>
      <c r="E77" s="1" t="s">
        <v>20</v>
      </c>
      <c r="F77" s="1" t="str">
        <f aca="false">TEXT(B77,"mmm-yyyy")</f>
        <v>Dec-2024</v>
      </c>
    </row>
    <row r="78" customFormat="false" ht="115.5" hidden="false" customHeight="true" outlineLevel="0" collapsed="false">
      <c r="A78" s="1" t="n">
        <v>5</v>
      </c>
      <c r="B78" s="10" t="n">
        <v>45646</v>
      </c>
      <c r="C78" s="11" t="s">
        <v>96</v>
      </c>
      <c r="D78" s="1" t="s">
        <v>8</v>
      </c>
      <c r="E78" s="1" t="s">
        <v>18</v>
      </c>
      <c r="F78" s="1" t="str">
        <f aca="false">TEXT(B78,"mmm-yyyy")</f>
        <v>Dec-2024</v>
      </c>
    </row>
    <row r="79" customFormat="false" ht="130.5" hidden="false" customHeight="true" outlineLevel="0" collapsed="false">
      <c r="A79" s="1" t="n">
        <v>1</v>
      </c>
      <c r="B79" s="10" t="n">
        <v>45655</v>
      </c>
      <c r="C79" s="11" t="s">
        <v>97</v>
      </c>
      <c r="D79" s="1" t="s">
        <v>8</v>
      </c>
      <c r="E79" s="1" t="s">
        <v>20</v>
      </c>
      <c r="F79" s="1" t="str">
        <f aca="false">TEXT(B79,"mmm-yyyy")</f>
        <v>Dec-2024</v>
      </c>
    </row>
    <row r="80" customFormat="false" ht="115.5" hidden="false" customHeight="true" outlineLevel="0" collapsed="false">
      <c r="A80" s="1" t="n">
        <v>1</v>
      </c>
      <c r="B80" s="10" t="n">
        <v>45643</v>
      </c>
      <c r="C80" s="11" t="s">
        <v>98</v>
      </c>
      <c r="D80" s="1" t="s">
        <v>8</v>
      </c>
      <c r="E80" s="1" t="s">
        <v>20</v>
      </c>
      <c r="F80" s="1" t="str">
        <f aca="false">TEXT(B80,"mmm-yyyy")</f>
        <v>Dec-2024</v>
      </c>
    </row>
    <row r="81" customFormat="false" ht="57.75" hidden="false" customHeight="true" outlineLevel="0" collapsed="false">
      <c r="A81" s="1" t="n">
        <v>3</v>
      </c>
      <c r="B81" s="10" t="n">
        <v>45642</v>
      </c>
      <c r="C81" s="11" t="s">
        <v>99</v>
      </c>
      <c r="D81" s="1" t="s">
        <v>8</v>
      </c>
      <c r="E81" s="1" t="s">
        <v>18</v>
      </c>
      <c r="F81" s="1" t="str">
        <f aca="false">TEXT(B81,"mmm-yyyy")</f>
        <v>Dec-2024</v>
      </c>
    </row>
    <row r="82" customFormat="false" ht="115.5" hidden="false" customHeight="true" outlineLevel="0" collapsed="false">
      <c r="A82" s="1" t="n">
        <v>1</v>
      </c>
      <c r="B82" s="10" t="n">
        <v>45588</v>
      </c>
      <c r="C82" s="11" t="s">
        <v>100</v>
      </c>
      <c r="D82" s="1" t="s">
        <v>8</v>
      </c>
      <c r="E82" s="1" t="s">
        <v>18</v>
      </c>
      <c r="F82" s="1" t="str">
        <f aca="false">TEXT(B82,"mmm-yyyy")</f>
        <v>Oct-2024</v>
      </c>
    </row>
    <row r="83" customFormat="false" ht="57.75" hidden="false" customHeight="true" outlineLevel="0" collapsed="false">
      <c r="A83" s="1" t="n">
        <v>5</v>
      </c>
      <c r="B83" s="10" t="n">
        <v>45646</v>
      </c>
      <c r="C83" s="11" t="s">
        <v>101</v>
      </c>
      <c r="D83" s="1" t="s">
        <v>8</v>
      </c>
      <c r="E83" s="1" t="s">
        <v>18</v>
      </c>
      <c r="F83" s="1" t="str">
        <f aca="false">TEXT(B83,"mmm-yyyy")</f>
        <v>Dec-2024</v>
      </c>
    </row>
    <row r="84" customFormat="false" ht="72" hidden="false" customHeight="true" outlineLevel="0" collapsed="false">
      <c r="A84" s="1" t="n">
        <v>2</v>
      </c>
      <c r="B84" s="10" t="n">
        <v>45652</v>
      </c>
      <c r="C84" s="11" t="s">
        <v>102</v>
      </c>
      <c r="D84" s="1" t="s">
        <v>8</v>
      </c>
      <c r="E84" s="1" t="s">
        <v>18</v>
      </c>
      <c r="F84" s="1" t="str">
        <f aca="false">TEXT(B84,"mmm-yyyy")</f>
        <v>Dec-2024</v>
      </c>
    </row>
    <row r="85" customFormat="false" ht="72" hidden="false" customHeight="true" outlineLevel="0" collapsed="false">
      <c r="A85" s="1" t="n">
        <v>4</v>
      </c>
      <c r="B85" s="10" t="n">
        <v>45653</v>
      </c>
      <c r="C85" s="11" t="s">
        <v>103</v>
      </c>
      <c r="D85" s="1" t="s">
        <v>8</v>
      </c>
      <c r="E85" s="1" t="s">
        <v>18</v>
      </c>
      <c r="F85" s="1" t="str">
        <f aca="false">TEXT(B85,"mmm-yyyy")</f>
        <v>Dec-2024</v>
      </c>
    </row>
    <row r="86" customFormat="false" ht="130.5" hidden="false" customHeight="true" outlineLevel="0" collapsed="false">
      <c r="A86" s="1" t="n">
        <v>5</v>
      </c>
      <c r="B86" s="10" t="n">
        <v>45645</v>
      </c>
      <c r="C86" s="11" t="s">
        <v>104</v>
      </c>
      <c r="D86" s="1" t="s">
        <v>8</v>
      </c>
      <c r="E86" s="1" t="s">
        <v>18</v>
      </c>
      <c r="F86" s="1" t="str">
        <f aca="false">TEXT(B86,"mmm-yyyy")</f>
        <v>Dec-2024</v>
      </c>
    </row>
    <row r="87" customFormat="false" ht="130.5" hidden="false" customHeight="true" outlineLevel="0" collapsed="false">
      <c r="A87" s="1" t="n">
        <v>1</v>
      </c>
      <c r="B87" s="10" t="n">
        <v>45644</v>
      </c>
      <c r="C87" s="11" t="s">
        <v>105</v>
      </c>
      <c r="D87" s="1" t="s">
        <v>8</v>
      </c>
      <c r="E87" s="1" t="s">
        <v>20</v>
      </c>
      <c r="F87" s="1" t="str">
        <f aca="false">TEXT(B87,"mmm-yyyy")</f>
        <v>Dec-2024</v>
      </c>
    </row>
    <row r="88" customFormat="false" ht="101.25" hidden="false" customHeight="true" outlineLevel="0" collapsed="false">
      <c r="A88" s="1" t="n">
        <v>1</v>
      </c>
      <c r="B88" s="10" t="n">
        <v>45656</v>
      </c>
      <c r="C88" s="11" t="s">
        <v>106</v>
      </c>
      <c r="D88" s="1" t="s">
        <v>8</v>
      </c>
      <c r="E88" s="1" t="s">
        <v>20</v>
      </c>
      <c r="F88" s="1" t="str">
        <f aca="false">TEXT(B88,"mmm-yyyy")</f>
        <v>Dec-2024</v>
      </c>
    </row>
    <row r="89" customFormat="false" ht="57.75" hidden="false" customHeight="true" outlineLevel="0" collapsed="false">
      <c r="A89" s="1" t="n">
        <v>1</v>
      </c>
      <c r="B89" s="10" t="n">
        <v>45650</v>
      </c>
      <c r="C89" s="11" t="s">
        <v>107</v>
      </c>
      <c r="D89" s="1" t="s">
        <v>8</v>
      </c>
      <c r="E89" s="1" t="s">
        <v>20</v>
      </c>
      <c r="F89" s="1" t="str">
        <f aca="false">TEXT(B89,"mmm-yyyy")</f>
        <v>Dec-2024</v>
      </c>
    </row>
    <row r="90" customFormat="false" ht="115.5" hidden="false" customHeight="true" outlineLevel="0" collapsed="false">
      <c r="A90" s="1" t="n">
        <v>1</v>
      </c>
      <c r="B90" s="10" t="n">
        <v>45654</v>
      </c>
      <c r="C90" s="11" t="s">
        <v>108</v>
      </c>
      <c r="D90" s="1" t="s">
        <v>8</v>
      </c>
      <c r="E90" s="1" t="s">
        <v>20</v>
      </c>
      <c r="F90" s="1" t="str">
        <f aca="false">TEXT(B90,"mmm-yyyy")</f>
        <v>Dec-2024</v>
      </c>
    </row>
    <row r="91" customFormat="false" ht="115.5" hidden="false" customHeight="true" outlineLevel="0" collapsed="false">
      <c r="A91" s="1" t="n">
        <v>1</v>
      </c>
      <c r="B91" s="10" t="n">
        <v>45653</v>
      </c>
      <c r="C91" s="11" t="s">
        <v>109</v>
      </c>
      <c r="D91" s="1" t="s">
        <v>8</v>
      </c>
      <c r="E91" s="1" t="s">
        <v>20</v>
      </c>
      <c r="F91" s="1" t="str">
        <f aca="false">TEXT(B91,"mmm-yyyy")</f>
        <v>Dec-2024</v>
      </c>
    </row>
    <row r="92" customFormat="false" ht="72" hidden="false" customHeight="true" outlineLevel="0" collapsed="false">
      <c r="A92" s="1" t="n">
        <v>1</v>
      </c>
      <c r="B92" s="10" t="n">
        <v>45653</v>
      </c>
      <c r="C92" s="11" t="s">
        <v>110</v>
      </c>
      <c r="D92" s="1" t="s">
        <v>8</v>
      </c>
      <c r="E92" s="1" t="s">
        <v>20</v>
      </c>
      <c r="F92" s="1" t="str">
        <f aca="false">TEXT(B92,"mmm-yyyy")</f>
        <v>Dec-2024</v>
      </c>
    </row>
    <row r="93" customFormat="false" ht="115.5" hidden="false" customHeight="true" outlineLevel="0" collapsed="false">
      <c r="A93" s="1" t="n">
        <v>1</v>
      </c>
      <c r="B93" s="10" t="n">
        <v>45651</v>
      </c>
      <c r="C93" s="11" t="s">
        <v>111</v>
      </c>
      <c r="D93" s="1" t="s">
        <v>8</v>
      </c>
      <c r="E93" s="1" t="s">
        <v>18</v>
      </c>
      <c r="F93" s="1" t="str">
        <f aca="false">TEXT(B93,"mmm-yyyy")</f>
        <v>Dec-2024</v>
      </c>
    </row>
    <row r="94" customFormat="false" ht="115.5" hidden="false" customHeight="true" outlineLevel="0" collapsed="false">
      <c r="A94" s="1" t="n">
        <v>5</v>
      </c>
      <c r="B94" s="10" t="n">
        <v>45595</v>
      </c>
      <c r="C94" s="11" t="s">
        <v>112</v>
      </c>
      <c r="D94" s="1" t="s">
        <v>8</v>
      </c>
      <c r="E94" s="1" t="s">
        <v>18</v>
      </c>
      <c r="F94" s="1" t="str">
        <f aca="false">TEXT(B94,"mmm-yyyy")</f>
        <v>Oct-2024</v>
      </c>
    </row>
    <row r="95" customFormat="false" ht="87" hidden="false" customHeight="true" outlineLevel="0" collapsed="false">
      <c r="A95" s="1" t="n">
        <v>1</v>
      </c>
      <c r="B95" s="10" t="n">
        <v>45651</v>
      </c>
      <c r="C95" s="11" t="s">
        <v>113</v>
      </c>
      <c r="D95" s="1" t="s">
        <v>8</v>
      </c>
      <c r="E95" s="1" t="s">
        <v>20</v>
      </c>
      <c r="F95" s="1" t="str">
        <f aca="false">TEXT(B95,"mmm-yyyy")</f>
        <v>Dec-2024</v>
      </c>
    </row>
    <row r="96" customFormat="false" ht="87" hidden="false" customHeight="true" outlineLevel="0" collapsed="false">
      <c r="A96" s="1" t="n">
        <v>5</v>
      </c>
      <c r="B96" s="10" t="n">
        <v>45646</v>
      </c>
      <c r="C96" s="11" t="s">
        <v>114</v>
      </c>
      <c r="D96" s="1" t="s">
        <v>8</v>
      </c>
      <c r="E96" s="1" t="s">
        <v>18</v>
      </c>
      <c r="F96" s="1" t="str">
        <f aca="false">TEXT(B96,"mmm-yyyy")</f>
        <v>Dec-2024</v>
      </c>
    </row>
    <row r="97" customFormat="false" ht="57.75" hidden="false" customHeight="true" outlineLevel="0" collapsed="false">
      <c r="A97" s="1" t="n">
        <v>5</v>
      </c>
      <c r="B97" s="10" t="n">
        <v>45647</v>
      </c>
      <c r="C97" s="11" t="s">
        <v>115</v>
      </c>
      <c r="D97" s="1" t="s">
        <v>8</v>
      </c>
      <c r="E97" s="1" t="s">
        <v>32</v>
      </c>
      <c r="F97" s="1" t="str">
        <f aca="false">TEXT(B97,"mmm-yyyy")</f>
        <v>Dec-2024</v>
      </c>
    </row>
    <row r="98" customFormat="false" ht="72" hidden="false" customHeight="true" outlineLevel="0" collapsed="false">
      <c r="A98" s="1" t="n">
        <v>5</v>
      </c>
      <c r="B98" s="10" t="n">
        <v>45650</v>
      </c>
      <c r="C98" s="11" t="s">
        <v>116</v>
      </c>
      <c r="D98" s="1" t="s">
        <v>8</v>
      </c>
      <c r="E98" s="1" t="s">
        <v>18</v>
      </c>
      <c r="F98" s="1" t="str">
        <f aca="false">TEXT(B98,"mmm-yyyy")</f>
        <v>Dec-2024</v>
      </c>
    </row>
    <row r="99" customFormat="false" ht="57.75" hidden="false" customHeight="true" outlineLevel="0" collapsed="false">
      <c r="A99" s="1" t="n">
        <v>5</v>
      </c>
      <c r="B99" s="10" t="n">
        <v>45650</v>
      </c>
      <c r="C99" s="11" t="s">
        <v>117</v>
      </c>
      <c r="D99" s="1" t="s">
        <v>8</v>
      </c>
      <c r="E99" s="1" t="s">
        <v>18</v>
      </c>
      <c r="F99" s="1" t="str">
        <f aca="false">TEXT(B99,"mmm-yyyy")</f>
        <v>Dec-2024</v>
      </c>
    </row>
    <row r="100" customFormat="false" ht="87" hidden="false" customHeight="true" outlineLevel="0" collapsed="false">
      <c r="A100" s="1" t="n">
        <v>1</v>
      </c>
      <c r="B100" s="10" t="n">
        <v>45651</v>
      </c>
      <c r="C100" s="11" t="s">
        <v>118</v>
      </c>
      <c r="D100" s="1" t="s">
        <v>8</v>
      </c>
      <c r="E100" s="1" t="s">
        <v>18</v>
      </c>
      <c r="F100" s="1" t="str">
        <f aca="false">TEXT(B100,"mmm-yyyy")</f>
        <v>Dec-2024</v>
      </c>
    </row>
    <row r="101" customFormat="false" ht="57.75" hidden="false" customHeight="true" outlineLevel="0" collapsed="false">
      <c r="A101" s="1" t="n">
        <v>1</v>
      </c>
      <c r="B101" s="10" t="n">
        <v>45650</v>
      </c>
      <c r="C101" s="11" t="s">
        <v>119</v>
      </c>
      <c r="D101" s="1" t="s">
        <v>8</v>
      </c>
      <c r="E101" s="1" t="s">
        <v>18</v>
      </c>
      <c r="F101" s="1" t="str">
        <f aca="false">TEXT(B101,"mmm-yyyy")</f>
        <v>Dec-2024</v>
      </c>
    </row>
    <row r="102" customFormat="false" ht="130.5" hidden="false" customHeight="true" outlineLevel="0" collapsed="false">
      <c r="A102" s="1" t="n">
        <v>1</v>
      </c>
      <c r="B102" s="10" t="n">
        <v>45649</v>
      </c>
      <c r="C102" s="11" t="s">
        <v>120</v>
      </c>
      <c r="D102" s="1" t="s">
        <v>8</v>
      </c>
      <c r="E102" s="1" t="s">
        <v>18</v>
      </c>
      <c r="F102" s="1" t="str">
        <f aca="false">TEXT(B102,"mmm-yyyy")</f>
        <v>Dec-2024</v>
      </c>
    </row>
    <row r="103" customFormat="false" ht="72" hidden="false" customHeight="true" outlineLevel="0" collapsed="false">
      <c r="A103" s="1" t="n">
        <v>1</v>
      </c>
      <c r="B103" s="10" t="n">
        <v>45654</v>
      </c>
      <c r="C103" s="11" t="s">
        <v>121</v>
      </c>
      <c r="D103" s="1" t="s">
        <v>8</v>
      </c>
      <c r="E103" s="1" t="s">
        <v>20</v>
      </c>
      <c r="F103" s="1" t="str">
        <f aca="false">TEXT(B103,"mmm-yyyy")</f>
        <v>Dec-2024</v>
      </c>
    </row>
    <row r="104" customFormat="false" ht="57.75" hidden="false" customHeight="true" outlineLevel="0" collapsed="false">
      <c r="A104" s="1" t="n">
        <v>3</v>
      </c>
      <c r="B104" s="10" t="n">
        <v>45649</v>
      </c>
      <c r="C104" s="11" t="s">
        <v>122</v>
      </c>
      <c r="D104" s="1" t="s">
        <v>8</v>
      </c>
      <c r="E104" s="1" t="s">
        <v>18</v>
      </c>
      <c r="F104" s="1" t="str">
        <f aca="false">TEXT(B104,"mmm-yyyy")</f>
        <v>Dec-2024</v>
      </c>
    </row>
    <row r="105" customFormat="false" ht="72" hidden="false" customHeight="true" outlineLevel="0" collapsed="false">
      <c r="A105" s="1" t="n">
        <v>2</v>
      </c>
      <c r="B105" s="10" t="n">
        <v>45657</v>
      </c>
      <c r="C105" s="11" t="s">
        <v>123</v>
      </c>
      <c r="D105" s="1" t="s">
        <v>8</v>
      </c>
      <c r="E105" s="1" t="s">
        <v>20</v>
      </c>
      <c r="F105" s="1" t="str">
        <f aca="false">TEXT(B105,"mmm-yyyy")</f>
        <v>Dec-2024</v>
      </c>
    </row>
    <row r="106" customFormat="false" ht="57.75" hidden="false" customHeight="true" outlineLevel="0" collapsed="false">
      <c r="A106" s="1" t="n">
        <v>1</v>
      </c>
      <c r="B106" s="10" t="n">
        <v>45644</v>
      </c>
      <c r="C106" s="11" t="s">
        <v>124</v>
      </c>
      <c r="D106" s="1" t="s">
        <v>8</v>
      </c>
      <c r="E106" s="1" t="s">
        <v>32</v>
      </c>
      <c r="F106" s="1" t="str">
        <f aca="false">TEXT(B106,"mmm-yyyy")</f>
        <v>Dec-2024</v>
      </c>
    </row>
    <row r="107" customFormat="false" ht="43.5" hidden="false" customHeight="true" outlineLevel="0" collapsed="false">
      <c r="A107" s="1" t="n">
        <v>1</v>
      </c>
      <c r="B107" s="10" t="n">
        <v>45641</v>
      </c>
      <c r="C107" s="11" t="s">
        <v>125</v>
      </c>
      <c r="D107" s="1" t="s">
        <v>8</v>
      </c>
      <c r="E107" s="1" t="s">
        <v>20</v>
      </c>
      <c r="F107" s="1" t="str">
        <f aca="false">TEXT(B107,"mmm-yyyy")</f>
        <v>Dec-2024</v>
      </c>
    </row>
    <row r="108" customFormat="false" ht="72" hidden="false" customHeight="true" outlineLevel="0" collapsed="false">
      <c r="A108" s="1" t="n">
        <v>4</v>
      </c>
      <c r="B108" s="10" t="n">
        <v>45649</v>
      </c>
      <c r="C108" s="11" t="s">
        <v>126</v>
      </c>
      <c r="D108" s="1" t="s">
        <v>8</v>
      </c>
      <c r="E108" s="1" t="s">
        <v>18</v>
      </c>
      <c r="F108" s="1" t="str">
        <f aca="false">TEXT(B108,"mmm-yyyy")</f>
        <v>Dec-2024</v>
      </c>
    </row>
    <row r="109" customFormat="false" ht="57.75" hidden="false" customHeight="true" outlineLevel="0" collapsed="false">
      <c r="A109" s="1" t="n">
        <v>1</v>
      </c>
      <c r="B109" s="10" t="n">
        <v>45645</v>
      </c>
      <c r="C109" s="11" t="s">
        <v>127</v>
      </c>
      <c r="D109" s="1" t="s">
        <v>8</v>
      </c>
      <c r="E109" s="1" t="s">
        <v>18</v>
      </c>
      <c r="F109" s="1" t="str">
        <f aca="false">TEXT(B109,"mmm-yyyy")</f>
        <v>Dec-2024</v>
      </c>
    </row>
    <row r="110" customFormat="false" ht="57.75" hidden="false" customHeight="true" outlineLevel="0" collapsed="false">
      <c r="A110" s="1" t="n">
        <v>1</v>
      </c>
      <c r="B110" s="10" t="n">
        <v>45645</v>
      </c>
      <c r="C110" s="11" t="s">
        <v>128</v>
      </c>
      <c r="D110" s="1" t="s">
        <v>8</v>
      </c>
      <c r="E110" s="1" t="s">
        <v>20</v>
      </c>
      <c r="F110" s="1" t="str">
        <f aca="false">TEXT(B110,"mmm-yyyy")</f>
        <v>Dec-2024</v>
      </c>
    </row>
    <row r="111" customFormat="false" ht="87" hidden="false" customHeight="true" outlineLevel="0" collapsed="false">
      <c r="A111" s="1" t="n">
        <v>5</v>
      </c>
      <c r="B111" s="10" t="n">
        <v>45655</v>
      </c>
      <c r="C111" s="11" t="s">
        <v>129</v>
      </c>
      <c r="D111" s="1" t="s">
        <v>8</v>
      </c>
      <c r="E111" s="1" t="s">
        <v>18</v>
      </c>
      <c r="F111" s="1" t="str">
        <f aca="false">TEXT(B111,"mmm-yyyy")</f>
        <v>Dec-2024</v>
      </c>
    </row>
    <row r="112" customFormat="false" ht="57.75" hidden="false" customHeight="true" outlineLevel="0" collapsed="false">
      <c r="A112" s="1" t="n">
        <v>3</v>
      </c>
      <c r="B112" s="10" t="n">
        <v>45656</v>
      </c>
      <c r="C112" s="11" t="s">
        <v>130</v>
      </c>
      <c r="D112" s="1" t="s">
        <v>8</v>
      </c>
      <c r="E112" s="1" t="s">
        <v>18</v>
      </c>
      <c r="F112" s="1" t="str">
        <f aca="false">TEXT(B112,"mmm-yyyy")</f>
        <v>Dec-2024</v>
      </c>
    </row>
    <row r="113" customFormat="false" ht="144.75" hidden="false" customHeight="true" outlineLevel="0" collapsed="false">
      <c r="A113" s="1" t="n">
        <v>1</v>
      </c>
      <c r="B113" s="10" t="n">
        <v>45646</v>
      </c>
      <c r="C113" s="11" t="s">
        <v>131</v>
      </c>
      <c r="D113" s="1" t="s">
        <v>8</v>
      </c>
      <c r="E113" s="1" t="s">
        <v>20</v>
      </c>
      <c r="F113" s="1" t="str">
        <f aca="false">TEXT(B113,"mmm-yyyy")</f>
        <v>Dec-2024</v>
      </c>
    </row>
    <row r="114" customFormat="false" ht="72" hidden="false" customHeight="true" outlineLevel="0" collapsed="false">
      <c r="A114" s="1" t="n">
        <v>1</v>
      </c>
      <c r="B114" s="10" t="n">
        <v>45645</v>
      </c>
      <c r="C114" s="11" t="s">
        <v>132</v>
      </c>
      <c r="D114" s="1" t="s">
        <v>8</v>
      </c>
      <c r="E114" s="1" t="s">
        <v>18</v>
      </c>
      <c r="F114" s="1" t="str">
        <f aca="false">TEXT(B114,"mmm-yyyy")</f>
        <v>Dec-2024</v>
      </c>
    </row>
    <row r="115" customFormat="false" ht="57.75" hidden="false" customHeight="true" outlineLevel="0" collapsed="false">
      <c r="A115" s="1" t="n">
        <v>4</v>
      </c>
      <c r="B115" s="10" t="n">
        <v>45655</v>
      </c>
      <c r="C115" s="11" t="s">
        <v>133</v>
      </c>
      <c r="D115" s="1" t="s">
        <v>8</v>
      </c>
      <c r="E115" s="1" t="s">
        <v>18</v>
      </c>
      <c r="F115" s="1" t="str">
        <f aca="false">TEXT(B115,"mmm-yyyy")</f>
        <v>Dec-2024</v>
      </c>
    </row>
    <row r="116" customFormat="false" ht="115.5" hidden="false" customHeight="true" outlineLevel="0" collapsed="false">
      <c r="A116" s="1" t="n">
        <v>1</v>
      </c>
      <c r="B116" s="10" t="n">
        <v>45637</v>
      </c>
      <c r="C116" s="11" t="s">
        <v>134</v>
      </c>
      <c r="D116" s="1" t="s">
        <v>8</v>
      </c>
      <c r="E116" s="1" t="s">
        <v>18</v>
      </c>
      <c r="F116" s="1" t="str">
        <f aca="false">TEXT(B116,"mmm-yyyy")</f>
        <v>Dec-2024</v>
      </c>
    </row>
    <row r="117" customFormat="false" ht="57.75" hidden="false" customHeight="true" outlineLevel="0" collapsed="false">
      <c r="A117" s="1" t="n">
        <v>1</v>
      </c>
      <c r="B117" s="10" t="n">
        <v>45644</v>
      </c>
      <c r="C117" s="11" t="s">
        <v>135</v>
      </c>
      <c r="D117" s="1" t="s">
        <v>8</v>
      </c>
      <c r="E117" s="1" t="s">
        <v>32</v>
      </c>
      <c r="F117" s="1" t="str">
        <f aca="false">TEXT(B117,"mmm-yyyy")</f>
        <v>Dec-2024</v>
      </c>
    </row>
    <row r="118" customFormat="false" ht="87" hidden="false" customHeight="true" outlineLevel="0" collapsed="false">
      <c r="A118" s="1" t="n">
        <v>3</v>
      </c>
      <c r="B118" s="10" t="n">
        <v>45648</v>
      </c>
      <c r="C118" s="11" t="s">
        <v>136</v>
      </c>
      <c r="D118" s="1" t="s">
        <v>8</v>
      </c>
      <c r="E118" s="1" t="s">
        <v>20</v>
      </c>
      <c r="F118" s="1" t="str">
        <f aca="false">TEXT(B118,"mmm-yyyy")</f>
        <v>Dec-2024</v>
      </c>
    </row>
    <row r="119" customFormat="false" ht="87" hidden="false" customHeight="true" outlineLevel="0" collapsed="false">
      <c r="A119" s="1" t="n">
        <v>1</v>
      </c>
      <c r="B119" s="10" t="n">
        <v>45652</v>
      </c>
      <c r="C119" s="11" t="s">
        <v>137</v>
      </c>
      <c r="D119" s="1" t="s">
        <v>8</v>
      </c>
      <c r="E119" s="1" t="s">
        <v>20</v>
      </c>
      <c r="F119" s="1" t="str">
        <f aca="false">TEXT(B119,"mmm-yyyy")</f>
        <v>Dec-2024</v>
      </c>
    </row>
    <row r="120" customFormat="false" ht="115.5" hidden="false" customHeight="true" outlineLevel="0" collapsed="false">
      <c r="A120" s="1" t="n">
        <v>1</v>
      </c>
      <c r="B120" s="10" t="n">
        <v>45656</v>
      </c>
      <c r="C120" s="11" t="s">
        <v>138</v>
      </c>
      <c r="D120" s="1" t="s">
        <v>8</v>
      </c>
      <c r="E120" s="1" t="s">
        <v>18</v>
      </c>
      <c r="F120" s="1" t="str">
        <f aca="false">TEXT(B120,"mmm-yyyy")</f>
        <v>Dec-2024</v>
      </c>
    </row>
    <row r="121" customFormat="false" ht="115.5" hidden="false" customHeight="true" outlineLevel="0" collapsed="false">
      <c r="A121" s="1" t="n">
        <v>1</v>
      </c>
      <c r="B121" s="10" t="n">
        <v>45654</v>
      </c>
      <c r="C121" s="11" t="s">
        <v>139</v>
      </c>
      <c r="D121" s="1" t="s">
        <v>8</v>
      </c>
      <c r="E121" s="1" t="s">
        <v>20</v>
      </c>
      <c r="F121" s="1" t="str">
        <f aca="false">TEXT(B121,"mmm-yyyy")</f>
        <v>Dec-2024</v>
      </c>
    </row>
    <row r="122" customFormat="false" ht="57.75" hidden="false" customHeight="true" outlineLevel="0" collapsed="false">
      <c r="A122" s="1" t="n">
        <v>2</v>
      </c>
      <c r="B122" s="10" t="n">
        <v>45650</v>
      </c>
      <c r="C122" s="11" t="s">
        <v>140</v>
      </c>
      <c r="D122" s="1" t="s">
        <v>8</v>
      </c>
      <c r="E122" s="1" t="s">
        <v>20</v>
      </c>
      <c r="F122" s="1" t="str">
        <f aca="false">TEXT(B122,"mmm-yyyy")</f>
        <v>Dec-2024</v>
      </c>
    </row>
    <row r="123" customFormat="false" ht="130.5" hidden="false" customHeight="true" outlineLevel="0" collapsed="false">
      <c r="A123" s="1" t="n">
        <v>1</v>
      </c>
      <c r="B123" s="10" t="n">
        <v>45641</v>
      </c>
      <c r="C123" s="11" t="s">
        <v>141</v>
      </c>
      <c r="D123" s="1" t="s">
        <v>8</v>
      </c>
      <c r="E123" s="1" t="s">
        <v>20</v>
      </c>
      <c r="F123" s="1" t="str">
        <f aca="false">TEXT(B123,"mmm-yyyy")</f>
        <v>Dec-2024</v>
      </c>
    </row>
    <row r="124" customFormat="false" ht="115.5" hidden="false" customHeight="true" outlineLevel="0" collapsed="false">
      <c r="A124" s="1" t="n">
        <v>1</v>
      </c>
      <c r="B124" s="10" t="n">
        <v>45648</v>
      </c>
      <c r="C124" s="11" t="s">
        <v>142</v>
      </c>
      <c r="D124" s="1" t="s">
        <v>8</v>
      </c>
      <c r="E124" s="1" t="s">
        <v>20</v>
      </c>
      <c r="F124" s="1" t="str">
        <f aca="false">TEXT(B124,"mmm-yyyy")</f>
        <v>Dec-2024</v>
      </c>
    </row>
    <row r="125" customFormat="false" ht="72" hidden="false" customHeight="true" outlineLevel="0" collapsed="false">
      <c r="A125" s="1" t="n">
        <v>1</v>
      </c>
      <c r="B125" s="10" t="n">
        <v>45650</v>
      </c>
      <c r="C125" s="11" t="s">
        <v>143</v>
      </c>
      <c r="D125" s="1" t="s">
        <v>8</v>
      </c>
      <c r="E125" s="1" t="s">
        <v>20</v>
      </c>
      <c r="F125" s="1" t="str">
        <f aca="false">TEXT(B125,"mmm-yyyy")</f>
        <v>Dec-2024</v>
      </c>
    </row>
    <row r="126" customFormat="false" ht="57.75" hidden="false" customHeight="true" outlineLevel="0" collapsed="false">
      <c r="A126" s="1" t="n">
        <v>5</v>
      </c>
      <c r="B126" s="10" t="n">
        <v>45650</v>
      </c>
      <c r="C126" s="11" t="s">
        <v>144</v>
      </c>
      <c r="D126" s="1" t="s">
        <v>8</v>
      </c>
      <c r="E126" s="1" t="s">
        <v>20</v>
      </c>
      <c r="F126" s="1" t="str">
        <f aca="false">TEXT(B126,"mmm-yyyy")</f>
        <v>Dec-2024</v>
      </c>
    </row>
    <row r="127" customFormat="false" ht="72" hidden="false" customHeight="true" outlineLevel="0" collapsed="false">
      <c r="A127" s="1" t="n">
        <v>1</v>
      </c>
      <c r="B127" s="10" t="n">
        <v>45646</v>
      </c>
      <c r="C127" s="11" t="s">
        <v>145</v>
      </c>
      <c r="D127" s="1" t="s">
        <v>8</v>
      </c>
      <c r="E127" s="1" t="s">
        <v>20</v>
      </c>
      <c r="F127" s="1" t="str">
        <f aca="false">TEXT(B127,"mmm-yyyy")</f>
        <v>Dec-2024</v>
      </c>
    </row>
    <row r="128" customFormat="false" ht="130.5" hidden="false" customHeight="true" outlineLevel="0" collapsed="false">
      <c r="A128" s="1" t="n">
        <v>1</v>
      </c>
      <c r="B128" s="10" t="n">
        <v>45655</v>
      </c>
      <c r="C128" s="11" t="s">
        <v>146</v>
      </c>
      <c r="D128" s="1" t="s">
        <v>8</v>
      </c>
      <c r="E128" s="1" t="s">
        <v>20</v>
      </c>
      <c r="F128" s="1" t="str">
        <f aca="false">TEXT(B128,"mmm-yyyy")</f>
        <v>Dec-2024</v>
      </c>
    </row>
    <row r="129" customFormat="false" ht="130.5" hidden="false" customHeight="true" outlineLevel="0" collapsed="false">
      <c r="A129" s="1" t="n">
        <v>1</v>
      </c>
      <c r="B129" s="10" t="n">
        <v>45641</v>
      </c>
      <c r="C129" s="11" t="s">
        <v>147</v>
      </c>
      <c r="D129" s="1" t="s">
        <v>8</v>
      </c>
      <c r="E129" s="1" t="s">
        <v>20</v>
      </c>
      <c r="F129" s="1" t="str">
        <f aca="false">TEXT(B129,"mmm-yyyy")</f>
        <v>Dec-2024</v>
      </c>
    </row>
    <row r="130" customFormat="false" ht="115.5" hidden="false" customHeight="true" outlineLevel="0" collapsed="false">
      <c r="A130" s="1" t="n">
        <v>1</v>
      </c>
      <c r="B130" s="10" t="n">
        <v>45646</v>
      </c>
      <c r="C130" s="11" t="s">
        <v>148</v>
      </c>
      <c r="D130" s="1" t="s">
        <v>8</v>
      </c>
      <c r="E130" s="1" t="s">
        <v>20</v>
      </c>
      <c r="F130" s="1" t="str">
        <f aca="false">TEXT(B130,"mmm-yyyy")</f>
        <v>Dec-2024</v>
      </c>
    </row>
    <row r="131" customFormat="false" ht="115.5" hidden="false" customHeight="true" outlineLevel="0" collapsed="false">
      <c r="A131" s="1" t="n">
        <v>1</v>
      </c>
      <c r="B131" s="10" t="n">
        <v>45652</v>
      </c>
      <c r="C131" s="11" t="s">
        <v>149</v>
      </c>
      <c r="D131" s="1" t="s">
        <v>8</v>
      </c>
      <c r="E131" s="1" t="s">
        <v>20</v>
      </c>
      <c r="F131" s="1" t="str">
        <f aca="false">TEXT(B131,"mmm-yyyy")</f>
        <v>Dec-2024</v>
      </c>
    </row>
    <row r="132" customFormat="false" ht="57.75" hidden="false" customHeight="true" outlineLevel="0" collapsed="false">
      <c r="A132" s="1" t="n">
        <v>2</v>
      </c>
      <c r="B132" s="10" t="n">
        <v>45650</v>
      </c>
      <c r="C132" s="11" t="s">
        <v>150</v>
      </c>
      <c r="D132" s="1" t="s">
        <v>8</v>
      </c>
      <c r="E132" s="1" t="s">
        <v>20</v>
      </c>
      <c r="F132" s="1" t="str">
        <f aca="false">TEXT(B132,"mmm-yyyy")</f>
        <v>Dec-2024</v>
      </c>
    </row>
    <row r="133" customFormat="false" ht="115.5" hidden="false" customHeight="true" outlineLevel="0" collapsed="false">
      <c r="A133" s="1" t="n">
        <v>1</v>
      </c>
      <c r="B133" s="10" t="n">
        <v>45601</v>
      </c>
      <c r="C133" s="11" t="s">
        <v>151</v>
      </c>
      <c r="D133" s="1" t="s">
        <v>8</v>
      </c>
      <c r="E133" s="1" t="s">
        <v>20</v>
      </c>
      <c r="F133" s="1" t="str">
        <f aca="false">TEXT(B133,"mmm-yyyy")</f>
        <v>Nov-2024</v>
      </c>
    </row>
    <row r="134" customFormat="false" ht="115.5" hidden="false" customHeight="true" outlineLevel="0" collapsed="false">
      <c r="A134" s="1" t="n">
        <v>1</v>
      </c>
      <c r="B134" s="10" t="n">
        <v>45628</v>
      </c>
      <c r="C134" s="11" t="s">
        <v>152</v>
      </c>
      <c r="D134" s="1" t="s">
        <v>8</v>
      </c>
      <c r="E134" s="1" t="s">
        <v>20</v>
      </c>
      <c r="F134" s="1" t="str">
        <f aca="false">TEXT(B134,"mmm-yyyy")</f>
        <v>Dec-2024</v>
      </c>
    </row>
    <row r="135" customFormat="false" ht="72" hidden="false" customHeight="true" outlineLevel="0" collapsed="false">
      <c r="A135" s="1" t="n">
        <v>4</v>
      </c>
      <c r="B135" s="10" t="n">
        <v>45651</v>
      </c>
      <c r="C135" s="11" t="s">
        <v>153</v>
      </c>
      <c r="D135" s="1" t="s">
        <v>8</v>
      </c>
      <c r="E135" s="1" t="s">
        <v>18</v>
      </c>
      <c r="F135" s="1" t="str">
        <f aca="false">TEXT(B135,"mmm-yyyy")</f>
        <v>Dec-2024</v>
      </c>
    </row>
    <row r="136" customFormat="false" ht="72" hidden="false" customHeight="true" outlineLevel="0" collapsed="false">
      <c r="A136" s="1" t="n">
        <v>1</v>
      </c>
      <c r="B136" s="10" t="n">
        <v>45657</v>
      </c>
      <c r="C136" s="11" t="s">
        <v>154</v>
      </c>
      <c r="D136" s="1" t="s">
        <v>8</v>
      </c>
      <c r="E136" s="1" t="s">
        <v>20</v>
      </c>
      <c r="F136" s="1" t="str">
        <f aca="false">TEXT(B136,"mmm-yyyy")</f>
        <v>Dec-2024</v>
      </c>
    </row>
    <row r="137" customFormat="false" ht="57.75" hidden="false" customHeight="true" outlineLevel="0" collapsed="false">
      <c r="A137" s="1" t="n">
        <v>2</v>
      </c>
      <c r="B137" s="10" t="n">
        <v>45657</v>
      </c>
      <c r="C137" s="11" t="s">
        <v>155</v>
      </c>
      <c r="D137" s="1" t="s">
        <v>8</v>
      </c>
      <c r="E137" s="1" t="s">
        <v>20</v>
      </c>
      <c r="F137" s="1" t="str">
        <f aca="false">TEXT(B137,"mmm-yyyy")</f>
        <v>Dec-2024</v>
      </c>
    </row>
    <row r="138" customFormat="false" ht="72" hidden="false" customHeight="true" outlineLevel="0" collapsed="false">
      <c r="A138" s="1" t="n">
        <v>4</v>
      </c>
      <c r="B138" s="10" t="n">
        <v>45653</v>
      </c>
      <c r="C138" s="11" t="s">
        <v>156</v>
      </c>
      <c r="D138" s="1" t="s">
        <v>8</v>
      </c>
      <c r="E138" s="1" t="s">
        <v>20</v>
      </c>
      <c r="F138" s="1" t="str">
        <f aca="false">TEXT(B138,"mmm-yyyy")</f>
        <v>Dec-2024</v>
      </c>
    </row>
    <row r="139" customFormat="false" ht="115.5" hidden="false" customHeight="true" outlineLevel="0" collapsed="false">
      <c r="A139" s="1" t="n">
        <v>1</v>
      </c>
      <c r="B139" s="10" t="n">
        <v>45650</v>
      </c>
      <c r="C139" s="11" t="s">
        <v>157</v>
      </c>
      <c r="D139" s="1" t="s">
        <v>8</v>
      </c>
      <c r="E139" s="1" t="s">
        <v>20</v>
      </c>
      <c r="F139" s="1" t="str">
        <f aca="false">TEXT(B139,"mmm-yyyy")</f>
        <v>Dec-2024</v>
      </c>
    </row>
    <row r="140" customFormat="false" ht="87" hidden="false" customHeight="true" outlineLevel="0" collapsed="false">
      <c r="A140" s="1" t="n">
        <v>1</v>
      </c>
      <c r="B140" s="10" t="n">
        <v>45644</v>
      </c>
      <c r="C140" s="11" t="s">
        <v>158</v>
      </c>
      <c r="D140" s="1" t="s">
        <v>8</v>
      </c>
      <c r="E140" s="1" t="s">
        <v>20</v>
      </c>
      <c r="F140" s="1" t="str">
        <f aca="false">TEXT(B140,"mmm-yyyy")</f>
        <v>Dec-2024</v>
      </c>
    </row>
    <row r="141" customFormat="false" ht="130.5" hidden="false" customHeight="true" outlineLevel="0" collapsed="false">
      <c r="A141" s="1" t="n">
        <v>3</v>
      </c>
      <c r="B141" s="10" t="n">
        <v>45643</v>
      </c>
      <c r="C141" s="11" t="s">
        <v>159</v>
      </c>
      <c r="D141" s="1" t="s">
        <v>8</v>
      </c>
      <c r="E141" s="1" t="s">
        <v>20</v>
      </c>
      <c r="F141" s="1" t="str">
        <f aca="false">TEXT(B141,"mmm-yyyy")</f>
        <v>Dec-2024</v>
      </c>
    </row>
    <row r="142" customFormat="false" ht="87" hidden="false" customHeight="true" outlineLevel="0" collapsed="false">
      <c r="A142" s="1" t="n">
        <v>5</v>
      </c>
      <c r="B142" s="10" t="n">
        <v>45640</v>
      </c>
      <c r="C142" s="11" t="s">
        <v>160</v>
      </c>
      <c r="D142" s="1" t="s">
        <v>8</v>
      </c>
      <c r="E142" s="1" t="s">
        <v>18</v>
      </c>
      <c r="F142" s="1" t="str">
        <f aca="false">TEXT(B142,"mmm-yyyy")</f>
        <v>Dec-2024</v>
      </c>
    </row>
    <row r="143" customFormat="false" ht="87" hidden="false" customHeight="true" outlineLevel="0" collapsed="false">
      <c r="A143" s="1" t="n">
        <v>1</v>
      </c>
      <c r="B143" s="10" t="n">
        <v>45645</v>
      </c>
      <c r="C143" s="11" t="s">
        <v>161</v>
      </c>
      <c r="D143" s="1" t="s">
        <v>8</v>
      </c>
      <c r="E143" s="1" t="s">
        <v>18</v>
      </c>
      <c r="F143" s="1" t="str">
        <f aca="false">TEXT(B143,"mmm-yyyy")</f>
        <v>Dec-2024</v>
      </c>
    </row>
    <row r="144" customFormat="false" ht="101.25" hidden="false" customHeight="true" outlineLevel="0" collapsed="false">
      <c r="A144" s="1" t="n">
        <v>2</v>
      </c>
      <c r="B144" s="10" t="n">
        <v>45653</v>
      </c>
      <c r="C144" s="11" t="s">
        <v>162</v>
      </c>
      <c r="D144" s="1" t="s">
        <v>8</v>
      </c>
      <c r="E144" s="1" t="s">
        <v>18</v>
      </c>
      <c r="F144" s="1" t="str">
        <f aca="false">TEXT(B144,"mmm-yyyy")</f>
        <v>Dec-2024</v>
      </c>
    </row>
    <row r="145" customFormat="false" ht="72" hidden="false" customHeight="true" outlineLevel="0" collapsed="false">
      <c r="A145" s="1" t="n">
        <v>5</v>
      </c>
      <c r="B145" s="10" t="n">
        <v>45647</v>
      </c>
      <c r="C145" s="11" t="s">
        <v>163</v>
      </c>
      <c r="D145" s="1" t="s">
        <v>8</v>
      </c>
      <c r="E145" s="1" t="s">
        <v>18</v>
      </c>
      <c r="F145" s="1" t="str">
        <f aca="false">TEXT(B145,"mmm-yyyy")</f>
        <v>Dec-2024</v>
      </c>
    </row>
    <row r="146" customFormat="false" ht="101.25" hidden="false" customHeight="true" outlineLevel="0" collapsed="false">
      <c r="A146" s="1" t="n">
        <v>1</v>
      </c>
      <c r="B146" s="10" t="n">
        <v>45638</v>
      </c>
      <c r="C146" s="11" t="s">
        <v>164</v>
      </c>
      <c r="D146" s="1" t="s">
        <v>8</v>
      </c>
      <c r="E146" s="1" t="s">
        <v>18</v>
      </c>
      <c r="F146" s="1" t="str">
        <f aca="false">TEXT(B146,"mmm-yyyy")</f>
        <v>Dec-2024</v>
      </c>
    </row>
    <row r="147" customFormat="false" ht="57.75" hidden="false" customHeight="true" outlineLevel="0" collapsed="false">
      <c r="A147" s="1" t="n">
        <v>1</v>
      </c>
      <c r="B147" s="10" t="n">
        <v>45656</v>
      </c>
      <c r="C147" s="11" t="s">
        <v>165</v>
      </c>
      <c r="D147" s="1" t="s">
        <v>8</v>
      </c>
      <c r="E147" s="1" t="s">
        <v>20</v>
      </c>
      <c r="F147" s="1" t="str">
        <f aca="false">TEXT(B147,"mmm-yyyy")</f>
        <v>Dec-2024</v>
      </c>
    </row>
    <row r="148" customFormat="false" ht="115.5" hidden="false" customHeight="true" outlineLevel="0" collapsed="false">
      <c r="A148" s="1" t="n">
        <v>5</v>
      </c>
      <c r="B148" s="10" t="n">
        <v>45583</v>
      </c>
      <c r="C148" s="11" t="s">
        <v>166</v>
      </c>
      <c r="D148" s="1" t="s">
        <v>8</v>
      </c>
      <c r="E148" s="1" t="s">
        <v>18</v>
      </c>
      <c r="F148" s="1" t="str">
        <f aca="false">TEXT(B148,"mmm-yyyy")</f>
        <v>Oct-2024</v>
      </c>
    </row>
    <row r="149" customFormat="false" ht="101.25" hidden="false" customHeight="true" outlineLevel="0" collapsed="false">
      <c r="A149" s="1" t="n">
        <v>1</v>
      </c>
      <c r="B149" s="10" t="n">
        <v>45645</v>
      </c>
      <c r="C149" s="11" t="s">
        <v>167</v>
      </c>
      <c r="D149" s="1" t="s">
        <v>8</v>
      </c>
      <c r="E149" s="1" t="s">
        <v>18</v>
      </c>
      <c r="F149" s="1" t="str">
        <f aca="false">TEXT(B149,"mmm-yyyy")</f>
        <v>Dec-2024</v>
      </c>
    </row>
    <row r="150" customFormat="false" ht="72" hidden="false" customHeight="true" outlineLevel="0" collapsed="false">
      <c r="A150" s="1" t="n">
        <v>3</v>
      </c>
      <c r="B150" s="10" t="n">
        <v>45635</v>
      </c>
      <c r="C150" s="11" t="s">
        <v>168</v>
      </c>
      <c r="D150" s="1" t="s">
        <v>8</v>
      </c>
      <c r="E150" s="1" t="s">
        <v>18</v>
      </c>
      <c r="F150" s="1" t="str">
        <f aca="false">TEXT(B150,"mmm-yyyy")</f>
        <v>Dec-2024</v>
      </c>
    </row>
    <row r="151" customFormat="false" ht="101.25" hidden="false" customHeight="true" outlineLevel="0" collapsed="false">
      <c r="A151" s="1" t="n">
        <v>5</v>
      </c>
      <c r="B151" s="10" t="n">
        <v>45630</v>
      </c>
      <c r="C151" s="11" t="s">
        <v>169</v>
      </c>
      <c r="D151" s="1" t="s">
        <v>8</v>
      </c>
      <c r="E151" s="1" t="s">
        <v>18</v>
      </c>
      <c r="F151" s="1" t="str">
        <f aca="false">TEXT(B151,"mmm-yyyy")</f>
        <v>Dec-2024</v>
      </c>
    </row>
    <row r="152" customFormat="false" ht="115.5" hidden="false" customHeight="true" outlineLevel="0" collapsed="false">
      <c r="A152" s="1" t="n">
        <v>1</v>
      </c>
      <c r="B152" s="10" t="n">
        <v>45639</v>
      </c>
      <c r="C152" s="11" t="s">
        <v>170</v>
      </c>
      <c r="D152" s="1" t="s">
        <v>8</v>
      </c>
      <c r="E152" s="1" t="s">
        <v>18</v>
      </c>
      <c r="F152" s="1" t="str">
        <f aca="false">TEXT(B152,"mmm-yyyy")</f>
        <v>Dec-2024</v>
      </c>
    </row>
    <row r="153" customFormat="false" ht="101.25" hidden="false" customHeight="true" outlineLevel="0" collapsed="false">
      <c r="A153" s="1" t="n">
        <v>1</v>
      </c>
      <c r="B153" s="10" t="n">
        <v>45640</v>
      </c>
      <c r="C153" s="11" t="s">
        <v>171</v>
      </c>
      <c r="D153" s="1" t="s">
        <v>8</v>
      </c>
      <c r="E153" s="1" t="s">
        <v>18</v>
      </c>
      <c r="F153" s="1" t="str">
        <f aca="false">TEXT(B153,"mmm-yyyy")</f>
        <v>Dec-2024</v>
      </c>
    </row>
    <row r="154" customFormat="false" ht="130.5" hidden="false" customHeight="true" outlineLevel="0" collapsed="false">
      <c r="A154" s="1" t="n">
        <v>1</v>
      </c>
      <c r="B154" s="10" t="n">
        <v>45635</v>
      </c>
      <c r="C154" s="11" t="s">
        <v>172</v>
      </c>
      <c r="D154" s="1" t="s">
        <v>8</v>
      </c>
      <c r="E154" s="1" t="s">
        <v>20</v>
      </c>
      <c r="F154" s="1" t="str">
        <f aca="false">TEXT(B154,"mmm-yyyy")</f>
        <v>Dec-2024</v>
      </c>
    </row>
    <row r="155" customFormat="false" ht="130.5" hidden="false" customHeight="true" outlineLevel="0" collapsed="false">
      <c r="A155" s="1" t="n">
        <v>1</v>
      </c>
      <c r="B155" s="10" t="n">
        <v>45629</v>
      </c>
      <c r="C155" s="11" t="s">
        <v>173</v>
      </c>
      <c r="D155" s="1" t="s">
        <v>8</v>
      </c>
      <c r="E155" s="1" t="s">
        <v>20</v>
      </c>
      <c r="F155" s="1" t="str">
        <f aca="false">TEXT(B155,"mmm-yyyy")</f>
        <v>Dec-2024</v>
      </c>
    </row>
    <row r="156" customFormat="false" ht="72" hidden="false" customHeight="true" outlineLevel="0" collapsed="false">
      <c r="A156" s="1" t="n">
        <v>1</v>
      </c>
      <c r="B156" s="10" t="n">
        <v>45634</v>
      </c>
      <c r="C156" s="11" t="s">
        <v>174</v>
      </c>
      <c r="D156" s="1" t="s">
        <v>8</v>
      </c>
      <c r="E156" s="1" t="s">
        <v>18</v>
      </c>
      <c r="F156" s="1" t="str">
        <f aca="false">TEXT(B156,"mmm-yyyy")</f>
        <v>Dec-2024</v>
      </c>
    </row>
    <row r="157" customFormat="false" ht="115.5" hidden="false" customHeight="true" outlineLevel="0" collapsed="false">
      <c r="A157" s="1" t="n">
        <v>4</v>
      </c>
      <c r="B157" s="10" t="n">
        <v>45636</v>
      </c>
      <c r="C157" s="11" t="s">
        <v>175</v>
      </c>
      <c r="D157" s="1" t="s">
        <v>8</v>
      </c>
      <c r="E157" s="1" t="s">
        <v>18</v>
      </c>
      <c r="F157" s="1" t="str">
        <f aca="false">TEXT(B157,"mmm-yyyy")</f>
        <v>Dec-2024</v>
      </c>
    </row>
    <row r="158" customFormat="false" ht="101.25" hidden="false" customHeight="true" outlineLevel="0" collapsed="false">
      <c r="A158" s="1" t="n">
        <v>1</v>
      </c>
      <c r="B158" s="10" t="n">
        <v>45628</v>
      </c>
      <c r="C158" s="11" t="s">
        <v>176</v>
      </c>
      <c r="D158" s="1" t="s">
        <v>8</v>
      </c>
      <c r="E158" s="1" t="s">
        <v>20</v>
      </c>
      <c r="F158" s="1" t="str">
        <f aca="false">TEXT(B158,"mmm-yyyy")</f>
        <v>Dec-2024</v>
      </c>
    </row>
    <row r="159" customFormat="false" ht="130.5" hidden="false" customHeight="true" outlineLevel="0" collapsed="false">
      <c r="A159" s="1" t="n">
        <v>2</v>
      </c>
      <c r="B159" s="10" t="n">
        <v>45630</v>
      </c>
      <c r="C159" s="11" t="s">
        <v>177</v>
      </c>
      <c r="D159" s="1" t="s">
        <v>8</v>
      </c>
      <c r="E159" s="1" t="s">
        <v>20</v>
      </c>
      <c r="F159" s="1" t="str">
        <f aca="false">TEXT(B159,"mmm-yyyy")</f>
        <v>Dec-2024</v>
      </c>
    </row>
    <row r="160" customFormat="false" ht="87" hidden="false" customHeight="true" outlineLevel="0" collapsed="false">
      <c r="A160" s="1" t="n">
        <v>4</v>
      </c>
      <c r="B160" s="10" t="n">
        <v>45632</v>
      </c>
      <c r="C160" s="11" t="s">
        <v>178</v>
      </c>
      <c r="D160" s="1" t="s">
        <v>8</v>
      </c>
      <c r="E160" s="1" t="s">
        <v>18</v>
      </c>
      <c r="F160" s="1" t="str">
        <f aca="false">TEXT(B160,"mmm-yyyy")</f>
        <v>Dec-2024</v>
      </c>
    </row>
    <row r="161" customFormat="false" ht="115.5" hidden="false" customHeight="true" outlineLevel="0" collapsed="false">
      <c r="A161" s="1" t="n">
        <v>1</v>
      </c>
      <c r="B161" s="10" t="n">
        <v>45632</v>
      </c>
      <c r="C161" s="11" t="s">
        <v>179</v>
      </c>
      <c r="D161" s="1" t="s">
        <v>8</v>
      </c>
      <c r="E161" s="1" t="s">
        <v>20</v>
      </c>
      <c r="F161" s="1" t="str">
        <f aca="false">TEXT(B161,"mmm-yyyy")</f>
        <v>Dec-2024</v>
      </c>
    </row>
    <row r="162" customFormat="false" ht="101.25" hidden="false" customHeight="true" outlineLevel="0" collapsed="false">
      <c r="A162" s="1" t="n">
        <v>1</v>
      </c>
      <c r="B162" s="10" t="n">
        <v>45631</v>
      </c>
      <c r="C162" s="11" t="s">
        <v>180</v>
      </c>
      <c r="D162" s="1" t="s">
        <v>8</v>
      </c>
      <c r="E162" s="1" t="s">
        <v>18</v>
      </c>
      <c r="F162" s="1" t="str">
        <f aca="false">TEXT(B162,"mmm-yyyy")</f>
        <v>Dec-2024</v>
      </c>
    </row>
    <row r="163" customFormat="false" ht="130.5" hidden="false" customHeight="true" outlineLevel="0" collapsed="false">
      <c r="A163" s="1" t="n">
        <v>1</v>
      </c>
      <c r="B163" s="10" t="n">
        <v>45635</v>
      </c>
      <c r="C163" s="11" t="s">
        <v>181</v>
      </c>
      <c r="D163" s="1" t="s">
        <v>8</v>
      </c>
      <c r="E163" s="1" t="s">
        <v>20</v>
      </c>
      <c r="F163" s="1" t="str">
        <f aca="false">TEXT(B163,"mmm-yyyy")</f>
        <v>Dec-2024</v>
      </c>
    </row>
    <row r="164" customFormat="false" ht="72" hidden="false" customHeight="true" outlineLevel="0" collapsed="false">
      <c r="A164" s="1" t="n">
        <v>1</v>
      </c>
      <c r="B164" s="10" t="n">
        <v>45630</v>
      </c>
      <c r="C164" s="11" t="s">
        <v>182</v>
      </c>
      <c r="D164" s="1" t="s">
        <v>8</v>
      </c>
      <c r="E164" s="1" t="s">
        <v>20</v>
      </c>
      <c r="F164" s="1" t="str">
        <f aca="false">TEXT(B164,"mmm-yyyy")</f>
        <v>Dec-2024</v>
      </c>
    </row>
    <row r="165" customFormat="false" ht="57.75" hidden="false" customHeight="true" outlineLevel="0" collapsed="false">
      <c r="A165" s="1" t="n">
        <v>5</v>
      </c>
      <c r="B165" s="10" t="n">
        <v>45639</v>
      </c>
      <c r="C165" s="11" t="s">
        <v>183</v>
      </c>
      <c r="D165" s="1" t="s">
        <v>8</v>
      </c>
      <c r="E165" s="1" t="s">
        <v>18</v>
      </c>
      <c r="F165" s="1" t="str">
        <f aca="false">TEXT(B165,"mmm-yyyy")</f>
        <v>Dec-2024</v>
      </c>
    </row>
    <row r="166" customFormat="false" ht="87" hidden="false" customHeight="true" outlineLevel="0" collapsed="false">
      <c r="A166" s="1" t="n">
        <v>1</v>
      </c>
      <c r="B166" s="10" t="n">
        <v>45629</v>
      </c>
      <c r="C166" s="11" t="s">
        <v>184</v>
      </c>
      <c r="D166" s="1" t="s">
        <v>8</v>
      </c>
      <c r="E166" s="1" t="s">
        <v>20</v>
      </c>
      <c r="F166" s="1" t="str">
        <f aca="false">TEXT(B166,"mmm-yyyy")</f>
        <v>Dec-2024</v>
      </c>
    </row>
    <row r="167" customFormat="false" ht="72" hidden="false" customHeight="true" outlineLevel="0" collapsed="false">
      <c r="A167" s="1" t="n">
        <v>5</v>
      </c>
      <c r="B167" s="10" t="n">
        <v>45638</v>
      </c>
      <c r="C167" s="11" t="s">
        <v>185</v>
      </c>
      <c r="D167" s="1" t="s">
        <v>8</v>
      </c>
      <c r="E167" s="1" t="s">
        <v>18</v>
      </c>
      <c r="F167" s="1" t="str">
        <f aca="false">TEXT(B167,"mmm-yyyy")</f>
        <v>Dec-2024</v>
      </c>
    </row>
    <row r="168" customFormat="false" ht="72" hidden="false" customHeight="true" outlineLevel="0" collapsed="false">
      <c r="A168" s="1" t="n">
        <v>1</v>
      </c>
      <c r="B168" s="10" t="n">
        <v>45642</v>
      </c>
      <c r="C168" s="11" t="s">
        <v>186</v>
      </c>
      <c r="D168" s="1" t="s">
        <v>8</v>
      </c>
      <c r="E168" s="1" t="s">
        <v>20</v>
      </c>
      <c r="F168" s="1" t="str">
        <f aca="false">TEXT(B168,"mmm-yyyy")</f>
        <v>Dec-2024</v>
      </c>
    </row>
    <row r="169" customFormat="false" ht="72" hidden="false" customHeight="true" outlineLevel="0" collapsed="false">
      <c r="A169" s="1" t="n">
        <v>2</v>
      </c>
      <c r="B169" s="10" t="n">
        <v>45640</v>
      </c>
      <c r="C169" s="11" t="s">
        <v>187</v>
      </c>
      <c r="D169" s="1" t="s">
        <v>8</v>
      </c>
      <c r="E169" s="1" t="s">
        <v>18</v>
      </c>
      <c r="F169" s="1" t="str">
        <f aca="false">TEXT(B169,"mmm-yyyy")</f>
        <v>Dec-2024</v>
      </c>
    </row>
    <row r="170" customFormat="false" ht="101.25" hidden="false" customHeight="true" outlineLevel="0" collapsed="false">
      <c r="A170" s="1" t="n">
        <v>4</v>
      </c>
      <c r="B170" s="10" t="n">
        <v>45629</v>
      </c>
      <c r="C170" s="11" t="s">
        <v>188</v>
      </c>
      <c r="D170" s="1" t="s">
        <v>8</v>
      </c>
      <c r="E170" s="1" t="s">
        <v>18</v>
      </c>
      <c r="F170" s="1" t="str">
        <f aca="false">TEXT(B170,"mmm-yyyy")</f>
        <v>Dec-2024</v>
      </c>
    </row>
    <row r="171" customFormat="false" ht="87" hidden="false" customHeight="true" outlineLevel="0" collapsed="false">
      <c r="A171" s="1" t="n">
        <v>1</v>
      </c>
      <c r="B171" s="10" t="n">
        <v>45646</v>
      </c>
      <c r="C171" s="11" t="s">
        <v>189</v>
      </c>
      <c r="D171" s="1" t="s">
        <v>8</v>
      </c>
      <c r="E171" s="1" t="s">
        <v>20</v>
      </c>
      <c r="F171" s="1" t="str">
        <f aca="false">TEXT(B171,"mmm-yyyy")</f>
        <v>Dec-2024</v>
      </c>
    </row>
    <row r="172" customFormat="false" ht="72" hidden="false" customHeight="true" outlineLevel="0" collapsed="false">
      <c r="A172" s="1" t="n">
        <v>2</v>
      </c>
      <c r="B172" s="10" t="n">
        <v>45652</v>
      </c>
      <c r="C172" s="11" t="s">
        <v>190</v>
      </c>
      <c r="D172" s="1" t="s">
        <v>8</v>
      </c>
      <c r="E172" s="1" t="s">
        <v>32</v>
      </c>
      <c r="F172" s="1" t="str">
        <f aca="false">TEXT(B172,"mmm-yyyy")</f>
        <v>Dec-2024</v>
      </c>
    </row>
    <row r="173" customFormat="false" ht="115.5" hidden="false" customHeight="true" outlineLevel="0" collapsed="false">
      <c r="A173" s="1" t="n">
        <v>5</v>
      </c>
      <c r="B173" s="10" t="n">
        <v>45606</v>
      </c>
      <c r="C173" s="11" t="s">
        <v>191</v>
      </c>
      <c r="D173" s="1" t="s">
        <v>8</v>
      </c>
      <c r="E173" s="1" t="s">
        <v>18</v>
      </c>
      <c r="F173" s="1" t="str">
        <f aca="false">TEXT(B173,"mmm-yyyy")</f>
        <v>Nov-2024</v>
      </c>
    </row>
    <row r="174" customFormat="false" ht="130.5" hidden="false" customHeight="true" outlineLevel="0" collapsed="false">
      <c r="A174" s="1" t="n">
        <v>1</v>
      </c>
      <c r="B174" s="10" t="n">
        <v>45637</v>
      </c>
      <c r="C174" s="11" t="s">
        <v>192</v>
      </c>
      <c r="D174" s="1" t="s">
        <v>8</v>
      </c>
      <c r="E174" s="1" t="s">
        <v>18</v>
      </c>
      <c r="F174" s="1" t="str">
        <f aca="false">TEXT(B174,"mmm-yyyy")</f>
        <v>Dec-2024</v>
      </c>
    </row>
    <row r="175" customFormat="false" ht="115.5" hidden="false" customHeight="true" outlineLevel="0" collapsed="false">
      <c r="A175" s="1" t="n">
        <v>1</v>
      </c>
      <c r="B175" s="10" t="n">
        <v>45635</v>
      </c>
      <c r="C175" s="11" t="s">
        <v>193</v>
      </c>
      <c r="D175" s="1" t="s">
        <v>8</v>
      </c>
      <c r="E175" s="1" t="s">
        <v>20</v>
      </c>
      <c r="F175" s="1" t="str">
        <f aca="false">TEXT(B175,"mmm-yyyy")</f>
        <v>Dec-2024</v>
      </c>
    </row>
    <row r="176" customFormat="false" ht="72" hidden="false" customHeight="true" outlineLevel="0" collapsed="false">
      <c r="A176" s="1" t="n">
        <v>1</v>
      </c>
      <c r="B176" s="10" t="n">
        <v>45646</v>
      </c>
      <c r="C176" s="11" t="s">
        <v>194</v>
      </c>
      <c r="D176" s="1" t="s">
        <v>8</v>
      </c>
      <c r="E176" s="1" t="s">
        <v>18</v>
      </c>
      <c r="F176" s="1" t="str">
        <f aca="false">TEXT(B176,"mmm-yyyy")</f>
        <v>Dec-2024</v>
      </c>
    </row>
    <row r="177" customFormat="false" ht="87" hidden="false" customHeight="true" outlineLevel="0" collapsed="false">
      <c r="A177" s="1" t="n">
        <v>5</v>
      </c>
      <c r="B177" s="10" t="n">
        <v>45645</v>
      </c>
      <c r="C177" s="11" t="s">
        <v>195</v>
      </c>
      <c r="D177" s="1" t="s">
        <v>8</v>
      </c>
      <c r="E177" s="1" t="s">
        <v>18</v>
      </c>
      <c r="F177" s="1" t="str">
        <f aca="false">TEXT(B177,"mmm-yyyy")</f>
        <v>Dec-2024</v>
      </c>
    </row>
    <row r="178" customFormat="false" ht="72" hidden="false" customHeight="true" outlineLevel="0" collapsed="false">
      <c r="A178" s="1" t="n">
        <v>3</v>
      </c>
      <c r="B178" s="10" t="n">
        <v>45632</v>
      </c>
      <c r="C178" s="11" t="s">
        <v>196</v>
      </c>
      <c r="D178" s="1" t="s">
        <v>8</v>
      </c>
      <c r="E178" s="1" t="s">
        <v>18</v>
      </c>
      <c r="F178" s="1" t="str">
        <f aca="false">TEXT(B178,"mmm-yyyy")</f>
        <v>Dec-2024</v>
      </c>
    </row>
    <row r="179" customFormat="false" ht="115.5" hidden="false" customHeight="true" outlineLevel="0" collapsed="false">
      <c r="A179" s="1" t="n">
        <v>5</v>
      </c>
      <c r="B179" s="10" t="n">
        <v>45635</v>
      </c>
      <c r="C179" s="11" t="s">
        <v>197</v>
      </c>
      <c r="D179" s="1" t="s">
        <v>8</v>
      </c>
      <c r="E179" s="1" t="s">
        <v>18</v>
      </c>
      <c r="F179" s="1" t="str">
        <f aca="false">TEXT(B179,"mmm-yyyy")</f>
        <v>Dec-2024</v>
      </c>
    </row>
    <row r="180" customFormat="false" ht="115.5" hidden="false" customHeight="true" outlineLevel="0" collapsed="false">
      <c r="A180" s="1" t="n">
        <v>1</v>
      </c>
      <c r="B180" s="10" t="n">
        <v>45590</v>
      </c>
      <c r="C180" s="11" t="s">
        <v>198</v>
      </c>
      <c r="D180" s="1" t="s">
        <v>8</v>
      </c>
      <c r="E180" s="1" t="s">
        <v>18</v>
      </c>
      <c r="F180" s="1" t="str">
        <f aca="false">TEXT(B180,"mmm-yyyy")</f>
        <v>Oct-2024</v>
      </c>
    </row>
    <row r="181" customFormat="false" ht="101.25" hidden="false" customHeight="true" outlineLevel="0" collapsed="false">
      <c r="A181" s="1" t="n">
        <v>3</v>
      </c>
      <c r="B181" s="10" t="n">
        <v>45637</v>
      </c>
      <c r="C181" s="11" t="s">
        <v>199</v>
      </c>
      <c r="D181" s="1" t="s">
        <v>8</v>
      </c>
      <c r="E181" s="1" t="s">
        <v>20</v>
      </c>
      <c r="F181" s="1" t="str">
        <f aca="false">TEXT(B181,"mmm-yyyy")</f>
        <v>Dec-2024</v>
      </c>
    </row>
    <row r="182" customFormat="false" ht="43.5" hidden="false" customHeight="true" outlineLevel="0" collapsed="false">
      <c r="A182" s="1" t="n">
        <v>5</v>
      </c>
      <c r="B182" s="10" t="n">
        <v>45655</v>
      </c>
      <c r="C182" s="11" t="s">
        <v>200</v>
      </c>
      <c r="D182" s="1" t="s">
        <v>8</v>
      </c>
      <c r="E182" s="1" t="s">
        <v>18</v>
      </c>
      <c r="F182" s="1" t="str">
        <f aca="false">TEXT(B182,"mmm-yyyy")</f>
        <v>Dec-2024</v>
      </c>
    </row>
    <row r="183" customFormat="false" ht="115.5" hidden="false" customHeight="true" outlineLevel="0" collapsed="false">
      <c r="A183" s="1" t="n">
        <v>3</v>
      </c>
      <c r="B183" s="10" t="n">
        <v>45630</v>
      </c>
      <c r="C183" s="11" t="s">
        <v>201</v>
      </c>
      <c r="D183" s="1" t="s">
        <v>8</v>
      </c>
      <c r="E183" s="1" t="s">
        <v>18</v>
      </c>
      <c r="F183" s="1" t="str">
        <f aca="false">TEXT(B183,"mmm-yyyy")</f>
        <v>Dec-2024</v>
      </c>
    </row>
    <row r="184" customFormat="false" ht="57.75" hidden="false" customHeight="true" outlineLevel="0" collapsed="false">
      <c r="A184" s="1" t="n">
        <v>1</v>
      </c>
      <c r="B184" s="10" t="n">
        <v>45651</v>
      </c>
      <c r="C184" s="11" t="s">
        <v>202</v>
      </c>
      <c r="D184" s="1" t="s">
        <v>8</v>
      </c>
      <c r="E184" s="1" t="s">
        <v>18</v>
      </c>
      <c r="F184" s="1" t="str">
        <f aca="false">TEXT(B184,"mmm-yyyy")</f>
        <v>Dec-2024</v>
      </c>
    </row>
    <row r="185" customFormat="false" ht="87" hidden="false" customHeight="true" outlineLevel="0" collapsed="false">
      <c r="A185" s="1" t="n">
        <v>1</v>
      </c>
      <c r="B185" s="10" t="n">
        <v>45615</v>
      </c>
      <c r="C185" s="11" t="s">
        <v>203</v>
      </c>
      <c r="D185" s="1" t="s">
        <v>8</v>
      </c>
      <c r="E185" s="1" t="s">
        <v>20</v>
      </c>
      <c r="F185" s="1" t="str">
        <f aca="false">TEXT(B185,"mmm-yyyy")</f>
        <v>Nov-2024</v>
      </c>
    </row>
    <row r="186" customFormat="false" ht="101.25" hidden="false" customHeight="true" outlineLevel="0" collapsed="false">
      <c r="A186" s="1" t="n">
        <v>5</v>
      </c>
      <c r="B186" s="10" t="n">
        <v>45580</v>
      </c>
      <c r="C186" s="11" t="s">
        <v>204</v>
      </c>
      <c r="D186" s="1" t="s">
        <v>8</v>
      </c>
      <c r="E186" s="1" t="s">
        <v>18</v>
      </c>
      <c r="F186" s="1" t="str">
        <f aca="false">TEXT(B186,"mmm-yyyy")</f>
        <v>Oct-2024</v>
      </c>
    </row>
    <row r="187" customFormat="false" ht="57.75" hidden="false" customHeight="true" outlineLevel="0" collapsed="false">
      <c r="A187" s="1" t="n">
        <v>3</v>
      </c>
      <c r="B187" s="10" t="n">
        <v>45628</v>
      </c>
      <c r="C187" s="11" t="s">
        <v>205</v>
      </c>
      <c r="D187" s="1" t="s">
        <v>8</v>
      </c>
      <c r="E187" s="1" t="s">
        <v>18</v>
      </c>
      <c r="F187" s="1" t="str">
        <f aca="false">TEXT(B187,"mmm-yyyy")</f>
        <v>Dec-2024</v>
      </c>
    </row>
    <row r="188" customFormat="false" ht="115.5" hidden="false" customHeight="true" outlineLevel="0" collapsed="false">
      <c r="A188" s="1" t="n">
        <v>1</v>
      </c>
      <c r="B188" s="10" t="n">
        <v>45657</v>
      </c>
      <c r="C188" s="11" t="s">
        <v>206</v>
      </c>
      <c r="D188" s="1" t="s">
        <v>8</v>
      </c>
      <c r="E188" s="1" t="s">
        <v>20</v>
      </c>
      <c r="F188" s="1" t="str">
        <f aca="false">TEXT(B188,"mmm-yyyy")</f>
        <v>Dec-2024</v>
      </c>
    </row>
    <row r="189" customFormat="false" ht="115.5" hidden="false" customHeight="true" outlineLevel="0" collapsed="false">
      <c r="A189" s="1" t="n">
        <v>3</v>
      </c>
      <c r="B189" s="10" t="n">
        <v>45635</v>
      </c>
      <c r="C189" s="11" t="s">
        <v>207</v>
      </c>
      <c r="D189" s="1" t="s">
        <v>8</v>
      </c>
      <c r="E189" s="1" t="s">
        <v>18</v>
      </c>
      <c r="F189" s="1" t="str">
        <f aca="false">TEXT(B189,"mmm-yyyy")</f>
        <v>Dec-2024</v>
      </c>
    </row>
    <row r="190" customFormat="false" ht="57.75" hidden="false" customHeight="true" outlineLevel="0" collapsed="false">
      <c r="A190" s="1" t="n">
        <v>1</v>
      </c>
      <c r="B190" s="10" t="n">
        <v>45630</v>
      </c>
      <c r="C190" s="11" t="s">
        <v>208</v>
      </c>
      <c r="D190" s="1" t="s">
        <v>8</v>
      </c>
      <c r="E190" s="1" t="s">
        <v>20</v>
      </c>
      <c r="F190" s="1" t="str">
        <f aca="false">TEXT(B190,"mmm-yyyy")</f>
        <v>Dec-2024</v>
      </c>
    </row>
    <row r="191" customFormat="false" ht="87" hidden="false" customHeight="true" outlineLevel="0" collapsed="false">
      <c r="A191" s="1" t="n">
        <v>1</v>
      </c>
      <c r="B191" s="10" t="n">
        <v>45640</v>
      </c>
      <c r="C191" s="11" t="s">
        <v>209</v>
      </c>
      <c r="D191" s="1" t="s">
        <v>8</v>
      </c>
      <c r="E191" s="1" t="s">
        <v>20</v>
      </c>
      <c r="F191" s="1" t="str">
        <f aca="false">TEXT(B191,"mmm-yyyy")</f>
        <v>Dec-2024</v>
      </c>
    </row>
    <row r="192" customFormat="false" ht="130.5" hidden="false" customHeight="true" outlineLevel="0" collapsed="false">
      <c r="A192" s="1" t="n">
        <v>1</v>
      </c>
      <c r="B192" s="10" t="n">
        <v>45586</v>
      </c>
      <c r="C192" s="11" t="s">
        <v>210</v>
      </c>
      <c r="D192" s="1" t="s">
        <v>8</v>
      </c>
      <c r="E192" s="1" t="s">
        <v>20</v>
      </c>
      <c r="F192" s="1" t="str">
        <f aca="false">TEXT(B192,"mmm-yyyy")</f>
        <v>Oct-2024</v>
      </c>
    </row>
    <row r="193" customFormat="false" ht="144.75" hidden="false" customHeight="true" outlineLevel="0" collapsed="false">
      <c r="A193" s="1" t="n">
        <v>1</v>
      </c>
      <c r="B193" s="10" t="n">
        <v>45590</v>
      </c>
      <c r="C193" s="11" t="s">
        <v>211</v>
      </c>
      <c r="D193" s="1" t="s">
        <v>8</v>
      </c>
      <c r="E193" s="1" t="s">
        <v>20</v>
      </c>
      <c r="F193" s="1" t="str">
        <f aca="false">TEXT(B193,"mmm-yyyy")</f>
        <v>Oct-2024</v>
      </c>
    </row>
    <row r="194" customFormat="false" ht="101.25" hidden="false" customHeight="true" outlineLevel="0" collapsed="false">
      <c r="A194" s="1" t="n">
        <v>1</v>
      </c>
      <c r="B194" s="10" t="n">
        <v>45586</v>
      </c>
      <c r="C194" s="11" t="s">
        <v>212</v>
      </c>
      <c r="D194" s="1" t="s">
        <v>8</v>
      </c>
      <c r="E194" s="1" t="s">
        <v>18</v>
      </c>
      <c r="F194" s="1" t="str">
        <f aca="false">TEXT(B194,"mmm-yyyy")</f>
        <v>Oct-2024</v>
      </c>
    </row>
    <row r="195" customFormat="false" ht="101.25" hidden="false" customHeight="true" outlineLevel="0" collapsed="false">
      <c r="A195" s="1" t="n">
        <v>3</v>
      </c>
      <c r="B195" s="10" t="n">
        <v>45585</v>
      </c>
      <c r="C195" s="11" t="s">
        <v>213</v>
      </c>
      <c r="D195" s="1" t="s">
        <v>8</v>
      </c>
      <c r="E195" s="1" t="s">
        <v>20</v>
      </c>
      <c r="F195" s="1" t="str">
        <f aca="false">TEXT(B195,"mmm-yyyy")</f>
        <v>Oct-2024</v>
      </c>
    </row>
    <row r="196" customFormat="false" ht="115.5" hidden="false" customHeight="true" outlineLevel="0" collapsed="false">
      <c r="A196" s="1" t="n">
        <v>1</v>
      </c>
      <c r="B196" s="10" t="n">
        <v>45601</v>
      </c>
      <c r="C196" s="11" t="s">
        <v>214</v>
      </c>
      <c r="D196" s="1" t="s">
        <v>8</v>
      </c>
      <c r="E196" s="1" t="s">
        <v>20</v>
      </c>
      <c r="F196" s="1" t="str">
        <f aca="false">TEXT(B196,"mmm-yyyy")</f>
        <v>Nov-2024</v>
      </c>
    </row>
    <row r="197" customFormat="false" ht="101.25" hidden="false" customHeight="true" outlineLevel="0" collapsed="false">
      <c r="A197" s="1" t="n">
        <v>5</v>
      </c>
      <c r="B197" s="10" t="n">
        <v>45603</v>
      </c>
      <c r="C197" s="11" t="s">
        <v>215</v>
      </c>
      <c r="D197" s="1" t="s">
        <v>8</v>
      </c>
      <c r="E197" s="1" t="s">
        <v>18</v>
      </c>
      <c r="F197" s="1" t="str">
        <f aca="false">TEXT(B197,"mmm-yyyy")</f>
        <v>Nov-2024</v>
      </c>
    </row>
    <row r="198" customFormat="false" ht="87" hidden="false" customHeight="true" outlineLevel="0" collapsed="false">
      <c r="A198" s="1" t="n">
        <v>1</v>
      </c>
      <c r="B198" s="10" t="n">
        <v>45581</v>
      </c>
      <c r="C198" s="11" t="s">
        <v>216</v>
      </c>
      <c r="D198" s="1" t="s">
        <v>8</v>
      </c>
      <c r="E198" s="1" t="s">
        <v>18</v>
      </c>
      <c r="F198" s="1" t="str">
        <f aca="false">TEXT(B198,"mmm-yyyy")</f>
        <v>Oct-2024</v>
      </c>
    </row>
    <row r="199" customFormat="false" ht="115.5" hidden="false" customHeight="true" outlineLevel="0" collapsed="false">
      <c r="A199" s="1" t="n">
        <v>5</v>
      </c>
      <c r="B199" s="10" t="n">
        <v>45607</v>
      </c>
      <c r="C199" s="11" t="s">
        <v>217</v>
      </c>
      <c r="D199" s="1" t="s">
        <v>8</v>
      </c>
      <c r="E199" s="1" t="s">
        <v>18</v>
      </c>
      <c r="F199" s="1" t="str">
        <f aca="false">TEXT(B199,"mmm-yyyy")</f>
        <v>Nov-2024</v>
      </c>
    </row>
    <row r="200" customFormat="false" ht="101.25" hidden="false" customHeight="true" outlineLevel="0" collapsed="false">
      <c r="A200" s="1" t="n">
        <v>1</v>
      </c>
      <c r="B200" s="10" t="n">
        <v>45626</v>
      </c>
      <c r="C200" s="11" t="s">
        <v>218</v>
      </c>
      <c r="D200" s="1" t="s">
        <v>8</v>
      </c>
      <c r="E200" s="1" t="s">
        <v>20</v>
      </c>
      <c r="F200" s="1" t="str">
        <f aca="false">TEXT(B200,"mmm-yyyy")</f>
        <v>Nov-2024</v>
      </c>
    </row>
    <row r="201" customFormat="false" ht="115.5" hidden="false" customHeight="true" outlineLevel="0" collapsed="false">
      <c r="A201" s="1" t="n">
        <v>1</v>
      </c>
      <c r="B201" s="10" t="n">
        <v>45627</v>
      </c>
      <c r="C201" s="11" t="s">
        <v>219</v>
      </c>
      <c r="D201" s="1" t="s">
        <v>8</v>
      </c>
      <c r="E201" s="1" t="s">
        <v>18</v>
      </c>
      <c r="F201" s="1" t="str">
        <f aca="false">TEXT(B201,"mmm-yyyy")</f>
        <v>Dec-2024</v>
      </c>
    </row>
    <row r="202" customFormat="false" ht="72" hidden="false" customHeight="true" outlineLevel="0" collapsed="false">
      <c r="A202" s="1" t="n">
        <v>1</v>
      </c>
      <c r="B202" s="10" t="n">
        <v>45605</v>
      </c>
      <c r="C202" s="11" t="s">
        <v>220</v>
      </c>
      <c r="D202" s="1" t="s">
        <v>8</v>
      </c>
      <c r="E202" s="1" t="s">
        <v>20</v>
      </c>
      <c r="F202" s="1" t="str">
        <f aca="false">TEXT(B202,"mmm-yyyy")</f>
        <v>Nov-2024</v>
      </c>
    </row>
    <row r="203" customFormat="false" ht="101.25" hidden="false" customHeight="true" outlineLevel="0" collapsed="false">
      <c r="A203" s="1" t="n">
        <v>5</v>
      </c>
      <c r="B203" s="10" t="n">
        <v>45642</v>
      </c>
      <c r="C203" s="11" t="s">
        <v>221</v>
      </c>
      <c r="D203" s="1" t="s">
        <v>8</v>
      </c>
      <c r="E203" s="1" t="s">
        <v>18</v>
      </c>
      <c r="F203" s="1" t="str">
        <f aca="false">TEXT(B203,"mmm-yyyy")</f>
        <v>Dec-2024</v>
      </c>
    </row>
    <row r="204" customFormat="false" ht="101.25" hidden="false" customHeight="true" outlineLevel="0" collapsed="false">
      <c r="A204" s="1" t="n">
        <v>5</v>
      </c>
      <c r="B204" s="10" t="n">
        <v>45610</v>
      </c>
      <c r="C204" s="11" t="s">
        <v>222</v>
      </c>
      <c r="D204" s="1" t="s">
        <v>8</v>
      </c>
      <c r="E204" s="1" t="s">
        <v>18</v>
      </c>
      <c r="F204" s="1" t="str">
        <f aca="false">TEXT(B204,"mmm-yyyy")</f>
        <v>Nov-2024</v>
      </c>
    </row>
    <row r="205" customFormat="false" ht="130.5" hidden="false" customHeight="true" outlineLevel="0" collapsed="false">
      <c r="A205" s="1" t="n">
        <v>1</v>
      </c>
      <c r="B205" s="10" t="n">
        <v>45611</v>
      </c>
      <c r="C205" s="11" t="s">
        <v>223</v>
      </c>
      <c r="D205" s="1" t="s">
        <v>8</v>
      </c>
      <c r="E205" s="1" t="s">
        <v>20</v>
      </c>
      <c r="F205" s="1" t="str">
        <f aca="false">TEXT(B205,"mmm-yyyy")</f>
        <v>Nov-2024</v>
      </c>
    </row>
    <row r="206" customFormat="false" ht="87" hidden="false" customHeight="true" outlineLevel="0" collapsed="false">
      <c r="A206" s="1" t="n">
        <v>5</v>
      </c>
      <c r="B206" s="10" t="n">
        <v>45591</v>
      </c>
      <c r="C206" s="11" t="s">
        <v>224</v>
      </c>
      <c r="D206" s="1" t="s">
        <v>8</v>
      </c>
      <c r="E206" s="1" t="s">
        <v>18</v>
      </c>
      <c r="F206" s="1" t="str">
        <f aca="false">TEXT(B206,"mmm-yyyy")</f>
        <v>Oct-2024</v>
      </c>
    </row>
    <row r="207" customFormat="false" ht="115.5" hidden="false" customHeight="true" outlineLevel="0" collapsed="false">
      <c r="A207" s="1" t="n">
        <v>1</v>
      </c>
      <c r="B207" s="10" t="n">
        <v>45614</v>
      </c>
      <c r="C207" s="11" t="s">
        <v>225</v>
      </c>
      <c r="D207" s="1" t="s">
        <v>8</v>
      </c>
      <c r="E207" s="1" t="s">
        <v>20</v>
      </c>
      <c r="F207" s="1" t="str">
        <f aca="false">TEXT(B207,"mmm-yyyy")</f>
        <v>Nov-2024</v>
      </c>
    </row>
    <row r="208" customFormat="false" ht="87" hidden="false" customHeight="true" outlineLevel="0" collapsed="false">
      <c r="A208" s="1" t="n">
        <v>1</v>
      </c>
      <c r="B208" s="10" t="n">
        <v>45584</v>
      </c>
      <c r="C208" s="11" t="s">
        <v>226</v>
      </c>
      <c r="D208" s="1" t="s">
        <v>8</v>
      </c>
      <c r="E208" s="1" t="s">
        <v>20</v>
      </c>
      <c r="F208" s="1" t="str">
        <f aca="false">TEXT(B208,"mmm-yyyy")</f>
        <v>Oct-2024</v>
      </c>
    </row>
    <row r="209" customFormat="false" ht="72" hidden="false" customHeight="true" outlineLevel="0" collapsed="false">
      <c r="A209" s="1" t="n">
        <v>1</v>
      </c>
      <c r="B209" s="10" t="n">
        <v>45582</v>
      </c>
      <c r="C209" s="11" t="s">
        <v>227</v>
      </c>
      <c r="D209" s="1" t="s">
        <v>8</v>
      </c>
      <c r="E209" s="1" t="s">
        <v>18</v>
      </c>
      <c r="F209" s="1" t="str">
        <f aca="false">TEXT(B209,"mmm-yyyy")</f>
        <v>Oct-2024</v>
      </c>
    </row>
    <row r="210" customFormat="false" ht="115.5" hidden="false" customHeight="true" outlineLevel="0" collapsed="false">
      <c r="A210" s="1" t="n">
        <v>1</v>
      </c>
      <c r="B210" s="10" t="n">
        <v>45591</v>
      </c>
      <c r="C210" s="11" t="s">
        <v>228</v>
      </c>
      <c r="D210" s="1" t="s">
        <v>8</v>
      </c>
      <c r="E210" s="1" t="s">
        <v>18</v>
      </c>
      <c r="F210" s="1" t="str">
        <f aca="false">TEXT(B210,"mmm-yyyy")</f>
        <v>Oct-2024</v>
      </c>
    </row>
    <row r="211" customFormat="false" ht="115.5" hidden="false" customHeight="true" outlineLevel="0" collapsed="false">
      <c r="A211" s="1" t="n">
        <v>1</v>
      </c>
      <c r="B211" s="10" t="n">
        <v>45593</v>
      </c>
      <c r="C211" s="11" t="s">
        <v>229</v>
      </c>
      <c r="D211" s="1" t="s">
        <v>8</v>
      </c>
      <c r="E211" s="1" t="s">
        <v>18</v>
      </c>
      <c r="F211" s="1" t="str">
        <f aca="false">TEXT(B211,"mmm-yyyy")</f>
        <v>Oct-2024</v>
      </c>
    </row>
    <row r="212" customFormat="false" ht="72" hidden="false" customHeight="true" outlineLevel="0" collapsed="false">
      <c r="A212" s="1" t="n">
        <v>1</v>
      </c>
      <c r="B212" s="10" t="n">
        <v>45577</v>
      </c>
      <c r="C212" s="11" t="s">
        <v>230</v>
      </c>
      <c r="D212" s="1" t="s">
        <v>8</v>
      </c>
      <c r="E212" s="1" t="s">
        <v>20</v>
      </c>
      <c r="F212" s="1" t="str">
        <f aca="false">TEXT(B212,"mmm-yyyy")</f>
        <v>Oct-2024</v>
      </c>
    </row>
    <row r="213" customFormat="false" ht="87" hidden="false" customHeight="true" outlineLevel="0" collapsed="false">
      <c r="A213" s="1" t="n">
        <v>5</v>
      </c>
      <c r="B213" s="10" t="n">
        <v>45591</v>
      </c>
      <c r="C213" s="11" t="s">
        <v>231</v>
      </c>
      <c r="D213" s="1" t="s">
        <v>8</v>
      </c>
      <c r="E213" s="1" t="s">
        <v>18</v>
      </c>
      <c r="F213" s="1" t="str">
        <f aca="false">TEXT(B213,"mmm-yyyy")</f>
        <v>Oct-2024</v>
      </c>
    </row>
    <row r="214" customFormat="false" ht="87" hidden="false" customHeight="true" outlineLevel="0" collapsed="false">
      <c r="A214" s="1" t="n">
        <v>1</v>
      </c>
      <c r="B214" s="10" t="n">
        <v>45606</v>
      </c>
      <c r="C214" s="11" t="s">
        <v>232</v>
      </c>
      <c r="D214" s="1" t="s">
        <v>8</v>
      </c>
      <c r="E214" s="1" t="s">
        <v>20</v>
      </c>
      <c r="F214" s="1" t="str">
        <f aca="false">TEXT(B214,"mmm-yyyy")</f>
        <v>Nov-2024</v>
      </c>
    </row>
    <row r="215" customFormat="false" ht="130.5" hidden="false" customHeight="true" outlineLevel="0" collapsed="false">
      <c r="A215" s="1" t="n">
        <v>5</v>
      </c>
      <c r="B215" s="10" t="n">
        <v>45596</v>
      </c>
      <c r="C215" s="11" t="s">
        <v>233</v>
      </c>
      <c r="D215" s="1" t="s">
        <v>8</v>
      </c>
      <c r="E215" s="1" t="s">
        <v>18</v>
      </c>
      <c r="F215" s="1" t="str">
        <f aca="false">TEXT(B215,"mmm-yyyy")</f>
        <v>Oct-2024</v>
      </c>
    </row>
    <row r="216" customFormat="false" ht="115.5" hidden="false" customHeight="true" outlineLevel="0" collapsed="false">
      <c r="A216" s="1" t="n">
        <v>1</v>
      </c>
      <c r="B216" s="10" t="n">
        <v>45641</v>
      </c>
      <c r="C216" s="11" t="s">
        <v>234</v>
      </c>
      <c r="D216" s="1" t="s">
        <v>8</v>
      </c>
      <c r="E216" s="1" t="s">
        <v>20</v>
      </c>
      <c r="F216" s="1" t="str">
        <f aca="false">TEXT(B216,"mmm-yyyy")</f>
        <v>Dec-2024</v>
      </c>
    </row>
    <row r="217" customFormat="false" ht="115.5" hidden="false" customHeight="true" outlineLevel="0" collapsed="false">
      <c r="A217" s="1" t="n">
        <v>1</v>
      </c>
      <c r="B217" s="10" t="n">
        <v>45604</v>
      </c>
      <c r="C217" s="11" t="s">
        <v>235</v>
      </c>
      <c r="D217" s="1" t="s">
        <v>8</v>
      </c>
      <c r="E217" s="1" t="s">
        <v>20</v>
      </c>
      <c r="F217" s="1" t="str">
        <f aca="false">TEXT(B217,"mmm-yyyy")</f>
        <v>Nov-2024</v>
      </c>
    </row>
    <row r="218" customFormat="false" ht="115.5" hidden="false" customHeight="true" outlineLevel="0" collapsed="false">
      <c r="A218" s="1" t="n">
        <v>1</v>
      </c>
      <c r="B218" s="10" t="n">
        <v>45589</v>
      </c>
      <c r="C218" s="11" t="s">
        <v>236</v>
      </c>
      <c r="D218" s="1" t="s">
        <v>8</v>
      </c>
      <c r="E218" s="1" t="s">
        <v>20</v>
      </c>
      <c r="F218" s="1" t="str">
        <f aca="false">TEXT(B218,"mmm-yyyy")</f>
        <v>Oct-2024</v>
      </c>
    </row>
    <row r="219" customFormat="false" ht="87" hidden="false" customHeight="true" outlineLevel="0" collapsed="false">
      <c r="A219" s="1" t="n">
        <v>5</v>
      </c>
      <c r="B219" s="10" t="n">
        <v>45627</v>
      </c>
      <c r="C219" s="11" t="s">
        <v>237</v>
      </c>
      <c r="D219" s="1" t="s">
        <v>8</v>
      </c>
      <c r="E219" s="1" t="s">
        <v>18</v>
      </c>
      <c r="F219" s="1" t="str">
        <f aca="false">TEXT(B219,"mmm-yyyy")</f>
        <v>Dec-2024</v>
      </c>
    </row>
    <row r="220" customFormat="false" ht="101.25" hidden="false" customHeight="true" outlineLevel="0" collapsed="false">
      <c r="A220" s="1" t="n">
        <v>5</v>
      </c>
      <c r="B220" s="10" t="n">
        <v>45574</v>
      </c>
      <c r="C220" s="11" t="s">
        <v>238</v>
      </c>
      <c r="D220" s="1" t="s">
        <v>8</v>
      </c>
      <c r="E220" s="1" t="s">
        <v>18</v>
      </c>
      <c r="F220" s="1" t="str">
        <f aca="false">TEXT(B220,"mmm-yyyy")</f>
        <v>Oct-2024</v>
      </c>
    </row>
    <row r="221" customFormat="false" ht="101.25" hidden="false" customHeight="true" outlineLevel="0" collapsed="false">
      <c r="A221" s="1" t="n">
        <v>1</v>
      </c>
      <c r="B221" s="10" t="n">
        <v>45602</v>
      </c>
      <c r="C221" s="11" t="s">
        <v>239</v>
      </c>
      <c r="D221" s="1" t="s">
        <v>8</v>
      </c>
      <c r="E221" s="1" t="s">
        <v>20</v>
      </c>
      <c r="F221" s="1" t="str">
        <f aca="false">TEXT(B221,"mmm-yyyy")</f>
        <v>Nov-2024</v>
      </c>
    </row>
    <row r="222" customFormat="false" ht="101.25" hidden="false" customHeight="true" outlineLevel="0" collapsed="false">
      <c r="A222" s="1" t="n">
        <v>1</v>
      </c>
      <c r="B222" s="10" t="n">
        <v>45595</v>
      </c>
      <c r="C222" s="11" t="s">
        <v>240</v>
      </c>
      <c r="D222" s="1" t="s">
        <v>8</v>
      </c>
      <c r="E222" s="1" t="s">
        <v>18</v>
      </c>
      <c r="F222" s="1" t="str">
        <f aca="false">TEXT(B222,"mmm-yyyy")</f>
        <v>Oct-2024</v>
      </c>
    </row>
    <row r="223" customFormat="false" ht="130.5" hidden="false" customHeight="true" outlineLevel="0" collapsed="false">
      <c r="A223" s="1" t="n">
        <v>5</v>
      </c>
      <c r="B223" s="10" t="n">
        <v>45584</v>
      </c>
      <c r="C223" s="11" t="s">
        <v>241</v>
      </c>
      <c r="D223" s="1" t="s">
        <v>8</v>
      </c>
      <c r="E223" s="1" t="s">
        <v>18</v>
      </c>
      <c r="F223" s="1" t="str">
        <f aca="false">TEXT(B223,"mmm-yyyy")</f>
        <v>Oct-2024</v>
      </c>
    </row>
    <row r="224" customFormat="false" ht="101.25" hidden="false" customHeight="true" outlineLevel="0" collapsed="false">
      <c r="A224" s="1" t="n">
        <v>1</v>
      </c>
      <c r="B224" s="10" t="n">
        <v>45627</v>
      </c>
      <c r="C224" s="11" t="s">
        <v>242</v>
      </c>
      <c r="D224" s="1" t="s">
        <v>8</v>
      </c>
      <c r="E224" s="1" t="s">
        <v>20</v>
      </c>
      <c r="F224" s="1" t="str">
        <f aca="false">TEXT(B224,"mmm-yyyy")</f>
        <v>Dec-2024</v>
      </c>
    </row>
    <row r="225" customFormat="false" ht="115.5" hidden="false" customHeight="true" outlineLevel="0" collapsed="false">
      <c r="A225" s="1" t="n">
        <v>1</v>
      </c>
      <c r="B225" s="10" t="n">
        <v>45607</v>
      </c>
      <c r="C225" s="11" t="s">
        <v>243</v>
      </c>
      <c r="D225" s="1" t="s">
        <v>8</v>
      </c>
      <c r="E225" s="1" t="s">
        <v>20</v>
      </c>
      <c r="F225" s="1" t="str">
        <f aca="false">TEXT(B225,"mmm-yyyy")</f>
        <v>Nov-2024</v>
      </c>
    </row>
    <row r="226" customFormat="false" ht="72" hidden="false" customHeight="true" outlineLevel="0" collapsed="false">
      <c r="A226" s="1" t="n">
        <v>2</v>
      </c>
      <c r="B226" s="10" t="n">
        <v>45579</v>
      </c>
      <c r="C226" s="11" t="s">
        <v>244</v>
      </c>
      <c r="D226" s="1" t="s">
        <v>8</v>
      </c>
      <c r="E226" s="1" t="s">
        <v>20</v>
      </c>
      <c r="F226" s="1" t="str">
        <f aca="false">TEXT(B226,"mmm-yyyy")</f>
        <v>Oct-2024</v>
      </c>
    </row>
    <row r="227" customFormat="false" ht="101.25" hidden="false" customHeight="true" outlineLevel="0" collapsed="false">
      <c r="A227" s="1" t="n">
        <v>1</v>
      </c>
      <c r="B227" s="10" t="n">
        <v>45591</v>
      </c>
      <c r="C227" s="11" t="s">
        <v>245</v>
      </c>
      <c r="D227" s="1" t="s">
        <v>8</v>
      </c>
      <c r="E227" s="1" t="s">
        <v>20</v>
      </c>
      <c r="F227" s="1" t="str">
        <f aca="false">TEXT(B227,"mmm-yyyy")</f>
        <v>Oct-2024</v>
      </c>
    </row>
    <row r="228" customFormat="false" ht="130.5" hidden="false" customHeight="true" outlineLevel="0" collapsed="false">
      <c r="A228" s="1" t="n">
        <v>1</v>
      </c>
      <c r="B228" s="10" t="n">
        <v>45584</v>
      </c>
      <c r="C228" s="11" t="s">
        <v>246</v>
      </c>
      <c r="D228" s="1" t="s">
        <v>8</v>
      </c>
      <c r="E228" s="1" t="s">
        <v>20</v>
      </c>
      <c r="F228" s="1" t="str">
        <f aca="false">TEXT(B228,"mmm-yyyy")</f>
        <v>Oct-2024</v>
      </c>
    </row>
    <row r="229" customFormat="false" ht="101.25" hidden="false" customHeight="true" outlineLevel="0" collapsed="false">
      <c r="A229" s="1" t="n">
        <v>5</v>
      </c>
      <c r="B229" s="10" t="n">
        <v>45581</v>
      </c>
      <c r="C229" s="11" t="s">
        <v>247</v>
      </c>
      <c r="D229" s="1" t="s">
        <v>8</v>
      </c>
      <c r="E229" s="1" t="s">
        <v>20</v>
      </c>
      <c r="F229" s="1" t="str">
        <f aca="false">TEXT(B229,"mmm-yyyy")</f>
        <v>Oct-2024</v>
      </c>
    </row>
    <row r="230" customFormat="false" ht="115.5" hidden="false" customHeight="true" outlineLevel="0" collapsed="false">
      <c r="A230" s="1" t="n">
        <v>1</v>
      </c>
      <c r="B230" s="10" t="n">
        <v>45620</v>
      </c>
      <c r="C230" s="11" t="s">
        <v>248</v>
      </c>
      <c r="D230" s="1" t="s">
        <v>8</v>
      </c>
      <c r="E230" s="1" t="s">
        <v>20</v>
      </c>
      <c r="F230" s="1" t="str">
        <f aca="false">TEXT(B230,"mmm-yyyy")</f>
        <v>Nov-2024</v>
      </c>
    </row>
    <row r="231" customFormat="false" ht="72" hidden="false" customHeight="true" outlineLevel="0" collapsed="false">
      <c r="A231" s="1" t="n">
        <v>1</v>
      </c>
      <c r="B231" s="10" t="n">
        <v>45607</v>
      </c>
      <c r="C231" s="11" t="s">
        <v>249</v>
      </c>
      <c r="D231" s="1" t="s">
        <v>8</v>
      </c>
      <c r="E231" s="1" t="s">
        <v>18</v>
      </c>
      <c r="F231" s="1" t="str">
        <f aca="false">TEXT(B231,"mmm-yyyy")</f>
        <v>Nov-2024</v>
      </c>
    </row>
    <row r="232" customFormat="false" ht="115.5" hidden="false" customHeight="true" outlineLevel="0" collapsed="false">
      <c r="A232" s="1" t="n">
        <v>1</v>
      </c>
      <c r="B232" s="10" t="n">
        <v>45625</v>
      </c>
      <c r="C232" s="11" t="s">
        <v>250</v>
      </c>
      <c r="D232" s="1" t="s">
        <v>8</v>
      </c>
      <c r="E232" s="1" t="s">
        <v>20</v>
      </c>
      <c r="F232" s="1" t="str">
        <f aca="false">TEXT(B232,"mmm-yyyy")</f>
        <v>Nov-2024</v>
      </c>
    </row>
    <row r="233" customFormat="false" ht="101.25" hidden="false" customHeight="true" outlineLevel="0" collapsed="false">
      <c r="A233" s="1" t="n">
        <v>1</v>
      </c>
      <c r="B233" s="10" t="n">
        <v>45615</v>
      </c>
      <c r="C233" s="11" t="s">
        <v>251</v>
      </c>
      <c r="D233" s="1" t="s">
        <v>8</v>
      </c>
      <c r="E233" s="1" t="s">
        <v>32</v>
      </c>
      <c r="F233" s="1" t="str">
        <f aca="false">TEXT(B233,"mmm-yyyy")</f>
        <v>Nov-2024</v>
      </c>
    </row>
    <row r="234" customFormat="false" ht="101.25" hidden="false" customHeight="true" outlineLevel="0" collapsed="false">
      <c r="A234" s="1" t="n">
        <v>1</v>
      </c>
      <c r="B234" s="10" t="n">
        <v>45618</v>
      </c>
      <c r="C234" s="11" t="s">
        <v>252</v>
      </c>
      <c r="D234" s="1" t="s">
        <v>8</v>
      </c>
      <c r="E234" s="1" t="s">
        <v>20</v>
      </c>
      <c r="F234" s="1" t="str">
        <f aca="false">TEXT(B234,"mmm-yyyy")</f>
        <v>Nov-2024</v>
      </c>
    </row>
    <row r="235" customFormat="false" ht="101.25" hidden="false" customHeight="true" outlineLevel="0" collapsed="false">
      <c r="A235" s="1" t="n">
        <v>5</v>
      </c>
      <c r="B235" s="10" t="n">
        <v>45606</v>
      </c>
      <c r="C235" s="11" t="s">
        <v>253</v>
      </c>
      <c r="D235" s="1" t="s">
        <v>8</v>
      </c>
      <c r="E235" s="1" t="s">
        <v>18</v>
      </c>
      <c r="F235" s="1" t="str">
        <f aca="false">TEXT(B235,"mmm-yyyy")</f>
        <v>Nov-2024</v>
      </c>
    </row>
    <row r="236" customFormat="false" ht="101.25" hidden="false" customHeight="true" outlineLevel="0" collapsed="false">
      <c r="A236" s="1" t="n">
        <v>1</v>
      </c>
      <c r="B236" s="10" t="n">
        <v>45582</v>
      </c>
      <c r="C236" s="11" t="s">
        <v>254</v>
      </c>
      <c r="D236" s="1" t="s">
        <v>8</v>
      </c>
      <c r="E236" s="1" t="s">
        <v>20</v>
      </c>
      <c r="F236" s="1" t="str">
        <f aca="false">TEXT(B236,"mmm-yyyy")</f>
        <v>Oct-2024</v>
      </c>
    </row>
    <row r="237" customFormat="false" ht="72" hidden="false" customHeight="true" outlineLevel="0" collapsed="false">
      <c r="A237" s="1" t="n">
        <v>5</v>
      </c>
      <c r="B237" s="10" t="n">
        <v>45593</v>
      </c>
      <c r="C237" s="11" t="s">
        <v>255</v>
      </c>
      <c r="D237" s="1" t="s">
        <v>8</v>
      </c>
      <c r="E237" s="1" t="s">
        <v>18</v>
      </c>
      <c r="F237" s="1" t="str">
        <f aca="false">TEXT(B237,"mmm-yyyy")</f>
        <v>Oct-2024</v>
      </c>
    </row>
    <row r="238" customFormat="false" ht="72" hidden="false" customHeight="true" outlineLevel="0" collapsed="false">
      <c r="A238" s="1" t="n">
        <v>1</v>
      </c>
      <c r="B238" s="10" t="n">
        <v>45627</v>
      </c>
      <c r="C238" s="11" t="s">
        <v>256</v>
      </c>
      <c r="D238" s="1" t="s">
        <v>8</v>
      </c>
      <c r="E238" s="1" t="s">
        <v>20</v>
      </c>
      <c r="F238" s="1" t="str">
        <f aca="false">TEXT(B238,"mmm-yyyy")</f>
        <v>Dec-2024</v>
      </c>
    </row>
    <row r="239" customFormat="false" ht="115.5" hidden="false" customHeight="true" outlineLevel="0" collapsed="false">
      <c r="A239" s="1" t="n">
        <v>1</v>
      </c>
      <c r="B239" s="10" t="n">
        <v>45588</v>
      </c>
      <c r="C239" s="11" t="s">
        <v>257</v>
      </c>
      <c r="D239" s="1" t="s">
        <v>8</v>
      </c>
      <c r="E239" s="1" t="s">
        <v>20</v>
      </c>
      <c r="F239" s="1" t="str">
        <f aca="false">TEXT(B239,"mmm-yyyy")</f>
        <v>Oct-2024</v>
      </c>
    </row>
    <row r="240" customFormat="false" ht="87" hidden="false" customHeight="true" outlineLevel="0" collapsed="false">
      <c r="A240" s="1" t="n">
        <v>2</v>
      </c>
      <c r="B240" s="10" t="n">
        <v>45585</v>
      </c>
      <c r="C240" s="11" t="s">
        <v>258</v>
      </c>
      <c r="D240" s="1" t="s">
        <v>8</v>
      </c>
      <c r="E240" s="1" t="s">
        <v>18</v>
      </c>
      <c r="F240" s="1" t="str">
        <f aca="false">TEXT(B240,"mmm-yyyy")</f>
        <v>Oct-2024</v>
      </c>
    </row>
    <row r="241" customFormat="false" ht="115.5" hidden="false" customHeight="true" outlineLevel="0" collapsed="false">
      <c r="A241" s="1" t="n">
        <v>4</v>
      </c>
      <c r="B241" s="10" t="n">
        <v>45591</v>
      </c>
      <c r="C241" s="11" t="s">
        <v>259</v>
      </c>
      <c r="D241" s="1" t="s">
        <v>8</v>
      </c>
      <c r="E241" s="1" t="s">
        <v>20</v>
      </c>
      <c r="F241" s="1" t="str">
        <f aca="false">TEXT(B241,"mmm-yyyy")</f>
        <v>Oct-2024</v>
      </c>
    </row>
    <row r="242" customFormat="false" ht="72" hidden="false" customHeight="true" outlineLevel="0" collapsed="false">
      <c r="A242" s="1" t="n">
        <v>5</v>
      </c>
      <c r="B242" s="10" t="n">
        <v>45593</v>
      </c>
      <c r="C242" s="11" t="s">
        <v>260</v>
      </c>
      <c r="D242" s="1" t="s">
        <v>8</v>
      </c>
      <c r="E242" s="1" t="s">
        <v>18</v>
      </c>
      <c r="F242" s="1" t="str">
        <f aca="false">TEXT(B242,"mmm-yyyy")</f>
        <v>Oct-2024</v>
      </c>
    </row>
    <row r="243" customFormat="false" ht="101.25" hidden="false" customHeight="true" outlineLevel="0" collapsed="false">
      <c r="A243" s="1" t="n">
        <v>1</v>
      </c>
      <c r="B243" s="10" t="n">
        <v>45598</v>
      </c>
      <c r="C243" s="11" t="s">
        <v>261</v>
      </c>
      <c r="D243" s="1" t="s">
        <v>8</v>
      </c>
      <c r="E243" s="1" t="s">
        <v>18</v>
      </c>
      <c r="F243" s="1" t="str">
        <f aca="false">TEXT(B243,"mmm-yyyy")</f>
        <v>Nov-2024</v>
      </c>
    </row>
    <row r="244" customFormat="false" ht="87" hidden="false" customHeight="true" outlineLevel="0" collapsed="false">
      <c r="A244" s="1" t="n">
        <v>1</v>
      </c>
      <c r="B244" s="10" t="n">
        <v>45620</v>
      </c>
      <c r="C244" s="11" t="s">
        <v>262</v>
      </c>
      <c r="D244" s="1" t="s">
        <v>8</v>
      </c>
      <c r="E244" s="1" t="s">
        <v>20</v>
      </c>
      <c r="F244" s="1" t="str">
        <f aca="false">TEXT(B244,"mmm-yyyy")</f>
        <v>Nov-2024</v>
      </c>
    </row>
    <row r="245" customFormat="false" ht="115.5" hidden="false" customHeight="true" outlineLevel="0" collapsed="false">
      <c r="A245" s="1" t="n">
        <v>5</v>
      </c>
      <c r="B245" s="10" t="n">
        <v>45585</v>
      </c>
      <c r="C245" s="11" t="s">
        <v>263</v>
      </c>
      <c r="D245" s="1" t="s">
        <v>8</v>
      </c>
      <c r="E245" s="1" t="s">
        <v>18</v>
      </c>
      <c r="F245" s="1" t="str">
        <f aca="false">TEXT(B245,"mmm-yyyy")</f>
        <v>Oct-2024</v>
      </c>
    </row>
    <row r="246" customFormat="false" ht="115.5" hidden="false" customHeight="true" outlineLevel="0" collapsed="false">
      <c r="A246" s="1" t="n">
        <v>2</v>
      </c>
      <c r="B246" s="10" t="n">
        <v>45575</v>
      </c>
      <c r="C246" s="11" t="s">
        <v>264</v>
      </c>
      <c r="D246" s="1" t="s">
        <v>8</v>
      </c>
      <c r="E246" s="1" t="s">
        <v>20</v>
      </c>
      <c r="F246" s="1" t="str">
        <f aca="false">TEXT(B246,"mmm-yyyy")</f>
        <v>Oct-2024</v>
      </c>
    </row>
    <row r="247" customFormat="false" ht="115.5" hidden="false" customHeight="true" outlineLevel="0" collapsed="false">
      <c r="A247" s="1" t="n">
        <v>4</v>
      </c>
      <c r="B247" s="10" t="n">
        <v>45591</v>
      </c>
      <c r="C247" s="11" t="s">
        <v>265</v>
      </c>
      <c r="D247" s="1" t="s">
        <v>8</v>
      </c>
      <c r="E247" s="1" t="s">
        <v>18</v>
      </c>
      <c r="F247" s="1" t="str">
        <f aca="false">TEXT(B247,"mmm-yyyy")</f>
        <v>Oct-2024</v>
      </c>
    </row>
    <row r="248" customFormat="false" ht="101.25" hidden="false" customHeight="true" outlineLevel="0" collapsed="false">
      <c r="A248" s="1" t="n">
        <v>1</v>
      </c>
      <c r="B248" s="10" t="n">
        <v>45586</v>
      </c>
      <c r="C248" s="11" t="s">
        <v>266</v>
      </c>
      <c r="D248" s="1" t="s">
        <v>8</v>
      </c>
      <c r="E248" s="1" t="s">
        <v>20</v>
      </c>
      <c r="F248" s="1" t="str">
        <f aca="false">TEXT(B248,"mmm-yyyy")</f>
        <v>Oct-2024</v>
      </c>
    </row>
    <row r="249" customFormat="false" ht="87" hidden="false" customHeight="true" outlineLevel="0" collapsed="false">
      <c r="A249" s="1" t="n">
        <v>5</v>
      </c>
      <c r="B249" s="10" t="n">
        <v>45591</v>
      </c>
      <c r="C249" s="11" t="s">
        <v>267</v>
      </c>
      <c r="D249" s="1" t="s">
        <v>8</v>
      </c>
      <c r="E249" s="1" t="s">
        <v>18</v>
      </c>
      <c r="F249" s="1" t="str">
        <f aca="false">TEXT(B249,"mmm-yyyy")</f>
        <v>Oct-2024</v>
      </c>
    </row>
    <row r="250" customFormat="false" ht="101.25" hidden="false" customHeight="true" outlineLevel="0" collapsed="false">
      <c r="A250" s="1" t="n">
        <v>1</v>
      </c>
      <c r="B250" s="10" t="n">
        <v>45581</v>
      </c>
      <c r="C250" s="11" t="s">
        <v>268</v>
      </c>
      <c r="D250" s="1" t="s">
        <v>8</v>
      </c>
      <c r="E250" s="1" t="s">
        <v>20</v>
      </c>
      <c r="F250" s="1" t="str">
        <f aca="false">TEXT(B250,"mmm-yyyy")</f>
        <v>Oct-2024</v>
      </c>
    </row>
    <row r="251" customFormat="false" ht="101.25" hidden="false" customHeight="true" outlineLevel="0" collapsed="false">
      <c r="A251" s="1" t="n">
        <v>1</v>
      </c>
      <c r="B251" s="10" t="n">
        <v>45586</v>
      </c>
      <c r="C251" s="11" t="s">
        <v>269</v>
      </c>
      <c r="D251" s="1" t="s">
        <v>8</v>
      </c>
      <c r="E251" s="1" t="s">
        <v>20</v>
      </c>
      <c r="F251" s="1" t="str">
        <f aca="false">TEXT(B251,"mmm-yyyy")</f>
        <v>Oct-2024</v>
      </c>
    </row>
    <row r="252" customFormat="false" ht="202.5" hidden="false" customHeight="true" outlineLevel="0" collapsed="false">
      <c r="A252" s="1" t="n">
        <v>2</v>
      </c>
      <c r="B252" s="10" t="n">
        <v>45591</v>
      </c>
      <c r="C252" s="11" t="s">
        <v>270</v>
      </c>
      <c r="D252" s="1" t="s">
        <v>8</v>
      </c>
      <c r="E252" s="1" t="s">
        <v>20</v>
      </c>
      <c r="F252" s="1" t="str">
        <f aca="false">TEXT(B252,"mmm-yyyy")</f>
        <v>Oct-2024</v>
      </c>
    </row>
    <row r="253" customFormat="false" ht="101.25" hidden="false" customHeight="true" outlineLevel="0" collapsed="false">
      <c r="A253" s="1" t="n">
        <v>1</v>
      </c>
      <c r="B253" s="10" t="n">
        <v>45609</v>
      </c>
      <c r="C253" s="11" t="s">
        <v>271</v>
      </c>
      <c r="D253" s="1" t="s">
        <v>8</v>
      </c>
      <c r="E253" s="1" t="s">
        <v>20</v>
      </c>
      <c r="F253" s="1" t="str">
        <f aca="false">TEXT(B253,"mmm-yyyy")</f>
        <v>Nov-2024</v>
      </c>
    </row>
    <row r="254" customFormat="false" ht="101.25" hidden="false" customHeight="true" outlineLevel="0" collapsed="false">
      <c r="A254" s="1" t="n">
        <v>1</v>
      </c>
      <c r="B254" s="10" t="n">
        <v>45624</v>
      </c>
      <c r="C254" s="11" t="s">
        <v>272</v>
      </c>
      <c r="D254" s="1" t="s">
        <v>8</v>
      </c>
      <c r="E254" s="1" t="s">
        <v>20</v>
      </c>
      <c r="F254" s="1" t="str">
        <f aca="false">TEXT(B254,"mmm-yyyy")</f>
        <v>Nov-2024</v>
      </c>
    </row>
    <row r="255" customFormat="false" ht="115.5" hidden="false" customHeight="true" outlineLevel="0" collapsed="false">
      <c r="A255" s="1" t="n">
        <v>1</v>
      </c>
      <c r="B255" s="10" t="n">
        <v>45601</v>
      </c>
      <c r="C255" s="11" t="s">
        <v>273</v>
      </c>
      <c r="D255" s="1" t="s">
        <v>8</v>
      </c>
      <c r="E255" s="1" t="s">
        <v>18</v>
      </c>
      <c r="F255" s="1" t="str">
        <f aca="false">TEXT(B255,"mmm-yyyy")</f>
        <v>Nov-2024</v>
      </c>
    </row>
    <row r="256" customFormat="false" ht="101.25" hidden="false" customHeight="true" outlineLevel="0" collapsed="false">
      <c r="A256" s="1" t="n">
        <v>1</v>
      </c>
      <c r="B256" s="10" t="n">
        <v>45580</v>
      </c>
      <c r="C256" s="11" t="s">
        <v>274</v>
      </c>
      <c r="D256" s="1" t="s">
        <v>8</v>
      </c>
      <c r="E256" s="1" t="s">
        <v>20</v>
      </c>
      <c r="F256" s="1" t="str">
        <f aca="false">TEXT(B256,"mmm-yyyy")</f>
        <v>Oct-2024</v>
      </c>
    </row>
    <row r="257" customFormat="false" ht="130.5" hidden="false" customHeight="true" outlineLevel="0" collapsed="false">
      <c r="A257" s="1" t="n">
        <v>1</v>
      </c>
      <c r="B257" s="10" t="n">
        <v>45625</v>
      </c>
      <c r="C257" s="11" t="s">
        <v>275</v>
      </c>
      <c r="D257" s="1" t="s">
        <v>8</v>
      </c>
      <c r="E257" s="1" t="s">
        <v>20</v>
      </c>
      <c r="F257" s="1" t="str">
        <f aca="false">TEXT(B257,"mmm-yyyy")</f>
        <v>Nov-2024</v>
      </c>
    </row>
    <row r="258" customFormat="false" ht="115.5" hidden="false" customHeight="true" outlineLevel="0" collapsed="false">
      <c r="A258" s="1" t="n">
        <v>2</v>
      </c>
      <c r="B258" s="10" t="n">
        <v>45581</v>
      </c>
      <c r="C258" s="11" t="s">
        <v>276</v>
      </c>
      <c r="D258" s="1" t="s">
        <v>8</v>
      </c>
      <c r="E258" s="1" t="s">
        <v>18</v>
      </c>
      <c r="F258" s="1" t="str">
        <f aca="false">TEXT(B258,"mmm-yyyy")</f>
        <v>Oct-2024</v>
      </c>
    </row>
    <row r="259" customFormat="false" ht="101.25" hidden="false" customHeight="true" outlineLevel="0" collapsed="false">
      <c r="A259" s="1" t="n">
        <v>1</v>
      </c>
      <c r="B259" s="10" t="n">
        <v>45620</v>
      </c>
      <c r="C259" s="11" t="s">
        <v>277</v>
      </c>
      <c r="D259" s="1" t="s">
        <v>8</v>
      </c>
      <c r="E259" s="1" t="s">
        <v>20</v>
      </c>
      <c r="F259" s="1" t="str">
        <f aca="false">TEXT(B259,"mmm-yyyy")</f>
        <v>Nov-2024</v>
      </c>
    </row>
    <row r="260" customFormat="false" ht="115.5" hidden="false" customHeight="true" outlineLevel="0" collapsed="false">
      <c r="A260" s="1" t="n">
        <v>1</v>
      </c>
      <c r="B260" s="10" t="n">
        <v>45582</v>
      </c>
      <c r="C260" s="11" t="s">
        <v>278</v>
      </c>
      <c r="D260" s="1" t="s">
        <v>8</v>
      </c>
      <c r="E260" s="1" t="s">
        <v>20</v>
      </c>
      <c r="F260" s="1" t="str">
        <f aca="false">TEXT(B260,"mmm-yyyy")</f>
        <v>Oct-2024</v>
      </c>
    </row>
    <row r="261" customFormat="false" ht="115.5" hidden="false" customHeight="true" outlineLevel="0" collapsed="false">
      <c r="A261" s="1" t="n">
        <v>1</v>
      </c>
      <c r="B261" s="10" t="n">
        <v>45597</v>
      </c>
      <c r="C261" s="11" t="s">
        <v>279</v>
      </c>
      <c r="D261" s="1" t="s">
        <v>8</v>
      </c>
      <c r="E261" s="1" t="s">
        <v>18</v>
      </c>
      <c r="F261" s="1" t="str">
        <f aca="false">TEXT(B261,"mmm-yyyy")</f>
        <v>Nov-2024</v>
      </c>
    </row>
    <row r="262" customFormat="false" ht="87" hidden="false" customHeight="true" outlineLevel="0" collapsed="false">
      <c r="A262" s="1" t="n">
        <v>5</v>
      </c>
      <c r="B262" s="10" t="n">
        <v>45582</v>
      </c>
      <c r="C262" s="11" t="s">
        <v>280</v>
      </c>
      <c r="D262" s="1" t="s">
        <v>8</v>
      </c>
      <c r="E262" s="1" t="s">
        <v>18</v>
      </c>
      <c r="F262" s="1" t="str">
        <f aca="false">TEXT(B262,"mmm-yyyy")</f>
        <v>Oct-2024</v>
      </c>
    </row>
    <row r="263" customFormat="false" ht="101.25" hidden="false" customHeight="true" outlineLevel="0" collapsed="false">
      <c r="A263" s="1" t="n">
        <v>5</v>
      </c>
      <c r="B263" s="10" t="n">
        <v>45628</v>
      </c>
      <c r="C263" s="11" t="s">
        <v>281</v>
      </c>
      <c r="D263" s="1" t="s">
        <v>8</v>
      </c>
      <c r="E263" s="1" t="s">
        <v>18</v>
      </c>
      <c r="F263" s="1" t="str">
        <f aca="false">TEXT(B263,"mmm-yyyy")</f>
        <v>Dec-2024</v>
      </c>
    </row>
    <row r="264" customFormat="false" ht="101.25" hidden="false" customHeight="true" outlineLevel="0" collapsed="false">
      <c r="A264" s="1" t="n">
        <v>1</v>
      </c>
      <c r="B264" s="10" t="n">
        <v>45620</v>
      </c>
      <c r="C264" s="11" t="s">
        <v>282</v>
      </c>
      <c r="D264" s="1" t="s">
        <v>8</v>
      </c>
      <c r="E264" s="1" t="s">
        <v>18</v>
      </c>
      <c r="F264" s="1" t="str">
        <f aca="false">TEXT(B264,"mmm-yyyy")</f>
        <v>Nov-2024</v>
      </c>
    </row>
    <row r="265" customFormat="false" ht="87" hidden="false" customHeight="true" outlineLevel="0" collapsed="false">
      <c r="A265" s="1" t="n">
        <v>1</v>
      </c>
      <c r="B265" s="10" t="n">
        <v>45590</v>
      </c>
      <c r="C265" s="11" t="s">
        <v>283</v>
      </c>
      <c r="D265" s="1" t="s">
        <v>8</v>
      </c>
      <c r="E265" s="1" t="s">
        <v>20</v>
      </c>
      <c r="F265" s="1" t="str">
        <f aca="false">TEXT(B265,"mmm-yyyy")</f>
        <v>Oct-2024</v>
      </c>
    </row>
    <row r="266" customFormat="false" ht="101.25" hidden="false" customHeight="true" outlineLevel="0" collapsed="false">
      <c r="A266" s="1" t="n">
        <v>1</v>
      </c>
      <c r="B266" s="10" t="n">
        <v>45592</v>
      </c>
      <c r="C266" s="11" t="s">
        <v>284</v>
      </c>
      <c r="D266" s="1" t="s">
        <v>8</v>
      </c>
      <c r="E266" s="1" t="s">
        <v>18</v>
      </c>
      <c r="F266" s="1" t="str">
        <f aca="false">TEXT(B266,"mmm-yyyy")</f>
        <v>Oct-2024</v>
      </c>
    </row>
    <row r="267" customFormat="false" ht="115.5" hidden="false" customHeight="true" outlineLevel="0" collapsed="false">
      <c r="A267" s="1" t="n">
        <v>1</v>
      </c>
      <c r="B267" s="10" t="n">
        <v>45583</v>
      </c>
      <c r="C267" s="11" t="s">
        <v>285</v>
      </c>
      <c r="D267" s="1" t="s">
        <v>8</v>
      </c>
      <c r="E267" s="1" t="s">
        <v>20</v>
      </c>
      <c r="F267" s="1" t="str">
        <f aca="false">TEXT(B267,"mmm-yyyy")</f>
        <v>Oct-2024</v>
      </c>
    </row>
    <row r="268" customFormat="false" ht="101.25" hidden="false" customHeight="true" outlineLevel="0" collapsed="false">
      <c r="A268" s="1" t="n">
        <v>1</v>
      </c>
      <c r="B268" s="10" t="n">
        <v>45581</v>
      </c>
      <c r="C268" s="11" t="s">
        <v>286</v>
      </c>
      <c r="D268" s="1" t="s">
        <v>8</v>
      </c>
      <c r="E268" s="1" t="s">
        <v>20</v>
      </c>
      <c r="F268" s="1" t="str">
        <f aca="false">TEXT(B268,"mmm-yyyy")</f>
        <v>Oct-2024</v>
      </c>
    </row>
    <row r="269" customFormat="false" ht="115.5" hidden="false" customHeight="true" outlineLevel="0" collapsed="false">
      <c r="A269" s="1" t="n">
        <v>2</v>
      </c>
      <c r="B269" s="10" t="n">
        <v>45595</v>
      </c>
      <c r="C269" s="11" t="s">
        <v>287</v>
      </c>
      <c r="D269" s="1" t="s">
        <v>8</v>
      </c>
      <c r="E269" s="1" t="s">
        <v>20</v>
      </c>
      <c r="F269" s="1" t="str">
        <f aca="false">TEXT(B269,"mmm-yyyy")</f>
        <v>Oct-2024</v>
      </c>
    </row>
    <row r="270" customFormat="false" ht="72" hidden="false" customHeight="true" outlineLevel="0" collapsed="false">
      <c r="A270" s="1" t="n">
        <v>1</v>
      </c>
      <c r="B270" s="10" t="n">
        <v>45595</v>
      </c>
      <c r="C270" s="11" t="s">
        <v>288</v>
      </c>
      <c r="D270" s="1" t="s">
        <v>8</v>
      </c>
      <c r="E270" s="1" t="s">
        <v>20</v>
      </c>
      <c r="F270" s="1" t="str">
        <f aca="false">TEXT(B270,"mmm-yyyy")</f>
        <v>Oct-2024</v>
      </c>
    </row>
    <row r="271" customFormat="false" ht="72" hidden="false" customHeight="true" outlineLevel="0" collapsed="false">
      <c r="A271" s="1" t="n">
        <v>3</v>
      </c>
      <c r="B271" s="10" t="n">
        <v>45588</v>
      </c>
      <c r="C271" s="11" t="s">
        <v>289</v>
      </c>
      <c r="D271" s="1" t="s">
        <v>8</v>
      </c>
      <c r="E271" s="1" t="s">
        <v>20</v>
      </c>
      <c r="F271" s="1" t="str">
        <f aca="false">TEXT(B271,"mmm-yyyy")</f>
        <v>Oct-2024</v>
      </c>
    </row>
    <row r="272" customFormat="false" ht="72" hidden="false" customHeight="true" outlineLevel="0" collapsed="false">
      <c r="A272" s="1" t="n">
        <v>1</v>
      </c>
      <c r="B272" s="10" t="n">
        <v>45601</v>
      </c>
      <c r="C272" s="11" t="s">
        <v>290</v>
      </c>
      <c r="D272" s="1" t="s">
        <v>8</v>
      </c>
      <c r="E272" s="1" t="s">
        <v>20</v>
      </c>
      <c r="F272" s="1" t="str">
        <f aca="false">TEXT(B272,"mmm-yyyy")</f>
        <v>Nov-2024</v>
      </c>
    </row>
    <row r="273" customFormat="false" ht="87" hidden="false" customHeight="true" outlineLevel="0" collapsed="false">
      <c r="A273" s="1" t="n">
        <v>5</v>
      </c>
      <c r="B273" s="10" t="n">
        <v>45585</v>
      </c>
      <c r="C273" s="11" t="s">
        <v>291</v>
      </c>
      <c r="D273" s="1" t="s">
        <v>8</v>
      </c>
      <c r="E273" s="1" t="s">
        <v>18</v>
      </c>
      <c r="F273" s="1" t="str">
        <f aca="false">TEXT(B273,"mmm-yyyy")</f>
        <v>Oct-2024</v>
      </c>
    </row>
    <row r="274" customFormat="false" ht="130.5" hidden="false" customHeight="true" outlineLevel="0" collapsed="false">
      <c r="A274" s="1" t="n">
        <v>1</v>
      </c>
      <c r="B274" s="10" t="n">
        <v>45587</v>
      </c>
      <c r="C274" s="11" t="s">
        <v>292</v>
      </c>
      <c r="D274" s="1" t="s">
        <v>8</v>
      </c>
      <c r="E274" s="1" t="s">
        <v>20</v>
      </c>
      <c r="F274" s="1" t="str">
        <f aca="false">TEXT(B274,"mmm-yyyy")</f>
        <v>Oct-2024</v>
      </c>
    </row>
    <row r="275" customFormat="false" ht="101.25" hidden="false" customHeight="true" outlineLevel="0" collapsed="false">
      <c r="A275" s="1" t="n">
        <v>1</v>
      </c>
      <c r="B275" s="10" t="n">
        <v>45598</v>
      </c>
      <c r="C275" s="11" t="s">
        <v>293</v>
      </c>
      <c r="D275" s="1" t="s">
        <v>8</v>
      </c>
      <c r="E275" s="1" t="s">
        <v>18</v>
      </c>
      <c r="F275" s="1" t="str">
        <f aca="false">TEXT(B275,"mmm-yyyy")</f>
        <v>Nov-2024</v>
      </c>
    </row>
    <row r="276" customFormat="false" ht="87" hidden="false" customHeight="true" outlineLevel="0" collapsed="false">
      <c r="A276" s="1" t="n">
        <v>5</v>
      </c>
      <c r="B276" s="10" t="n">
        <v>45622</v>
      </c>
      <c r="C276" s="11" t="s">
        <v>294</v>
      </c>
      <c r="D276" s="1" t="s">
        <v>8</v>
      </c>
      <c r="E276" s="1" t="s">
        <v>18</v>
      </c>
      <c r="F276" s="1" t="str">
        <f aca="false">TEXT(B276,"mmm-yyyy")</f>
        <v>Nov-2024</v>
      </c>
    </row>
    <row r="277" customFormat="false" ht="87" hidden="false" customHeight="true" outlineLevel="0" collapsed="false">
      <c r="A277" s="1" t="n">
        <v>5</v>
      </c>
      <c r="B277" s="10" t="n">
        <v>45617</v>
      </c>
      <c r="C277" s="11" t="s">
        <v>295</v>
      </c>
      <c r="D277" s="1" t="s">
        <v>8</v>
      </c>
      <c r="E277" s="1" t="s">
        <v>18</v>
      </c>
      <c r="F277" s="1" t="str">
        <f aca="false">TEXT(B277,"mmm-yyyy")</f>
        <v>Nov-2024</v>
      </c>
    </row>
    <row r="278" customFormat="false" ht="115.5" hidden="false" customHeight="true" outlineLevel="0" collapsed="false">
      <c r="A278" s="1" t="n">
        <v>1</v>
      </c>
      <c r="B278" s="10" t="n">
        <v>45570</v>
      </c>
      <c r="C278" s="11" t="s">
        <v>296</v>
      </c>
      <c r="D278" s="1" t="s">
        <v>8</v>
      </c>
      <c r="E278" s="1" t="s">
        <v>20</v>
      </c>
      <c r="F278" s="1" t="str">
        <f aca="false">TEXT(B278,"mmm-yyyy")</f>
        <v>Oct-2024</v>
      </c>
    </row>
    <row r="279" customFormat="false" ht="115.5" hidden="false" customHeight="true" outlineLevel="0" collapsed="false">
      <c r="A279" s="1" t="n">
        <v>1</v>
      </c>
      <c r="B279" s="10" t="n">
        <v>45584</v>
      </c>
      <c r="C279" s="11" t="s">
        <v>297</v>
      </c>
      <c r="D279" s="1" t="s">
        <v>8</v>
      </c>
      <c r="E279" s="1" t="s">
        <v>20</v>
      </c>
      <c r="F279" s="1" t="str">
        <f aca="false">TEXT(B279,"mmm-yyyy")</f>
        <v>Oct-2024</v>
      </c>
    </row>
    <row r="280" customFormat="false" ht="130.5" hidden="false" customHeight="true" outlineLevel="0" collapsed="false">
      <c r="A280" s="1" t="n">
        <v>1</v>
      </c>
      <c r="B280" s="10" t="n">
        <v>45582</v>
      </c>
      <c r="C280" s="11" t="s">
        <v>298</v>
      </c>
      <c r="D280" s="1" t="s">
        <v>8</v>
      </c>
      <c r="E280" s="1" t="s">
        <v>20</v>
      </c>
      <c r="F280" s="1" t="str">
        <f aca="false">TEXT(B280,"mmm-yyyy")</f>
        <v>Oct-2024</v>
      </c>
    </row>
    <row r="281" customFormat="false" ht="115.5" hidden="false" customHeight="true" outlineLevel="0" collapsed="false">
      <c r="A281" s="1" t="n">
        <v>1</v>
      </c>
      <c r="B281" s="10" t="n">
        <v>45580</v>
      </c>
      <c r="C281" s="11" t="s">
        <v>299</v>
      </c>
      <c r="D281" s="1" t="s">
        <v>8</v>
      </c>
      <c r="E281" s="1" t="s">
        <v>20</v>
      </c>
      <c r="F281" s="1" t="str">
        <f aca="false">TEXT(B281,"mmm-yyyy")</f>
        <v>Oct-2024</v>
      </c>
    </row>
    <row r="282" customFormat="false" ht="115.5" hidden="false" customHeight="true" outlineLevel="0" collapsed="false">
      <c r="A282" s="1" t="n">
        <v>1</v>
      </c>
      <c r="B282" s="10" t="n">
        <v>45596</v>
      </c>
      <c r="C282" s="11" t="s">
        <v>300</v>
      </c>
      <c r="D282" s="1" t="s">
        <v>8</v>
      </c>
      <c r="E282" s="1" t="s">
        <v>18</v>
      </c>
      <c r="F282" s="1" t="str">
        <f aca="false">TEXT(B282,"mmm-yyyy")</f>
        <v>Oct-2024</v>
      </c>
    </row>
    <row r="283" customFormat="false" ht="72" hidden="false" customHeight="true" outlineLevel="0" collapsed="false">
      <c r="A283" s="1" t="n">
        <v>5</v>
      </c>
      <c r="B283" s="10" t="n">
        <v>45626</v>
      </c>
      <c r="C283" s="11" t="s">
        <v>301</v>
      </c>
      <c r="D283" s="1" t="s">
        <v>8</v>
      </c>
      <c r="E283" s="1" t="s">
        <v>18</v>
      </c>
      <c r="F283" s="1" t="str">
        <f aca="false">TEXT(B283,"mmm-yyyy")</f>
        <v>Nov-2024</v>
      </c>
    </row>
    <row r="284" customFormat="false" ht="115.5" hidden="false" customHeight="true" outlineLevel="0" collapsed="false">
      <c r="A284" s="1" t="n">
        <v>1</v>
      </c>
      <c r="B284" s="10" t="n">
        <v>45603</v>
      </c>
      <c r="C284" s="11" t="s">
        <v>302</v>
      </c>
      <c r="D284" s="1" t="s">
        <v>8</v>
      </c>
      <c r="E284" s="1" t="s">
        <v>20</v>
      </c>
      <c r="F284" s="1" t="str">
        <f aca="false">TEXT(B284,"mmm-yyyy")</f>
        <v>Nov-2024</v>
      </c>
    </row>
    <row r="285" customFormat="false" ht="130.5" hidden="false" customHeight="true" outlineLevel="0" collapsed="false">
      <c r="A285" s="1" t="n">
        <v>2</v>
      </c>
      <c r="B285" s="10" t="n">
        <v>45595</v>
      </c>
      <c r="C285" s="11" t="s">
        <v>303</v>
      </c>
      <c r="D285" s="1" t="s">
        <v>8</v>
      </c>
      <c r="E285" s="1" t="s">
        <v>20</v>
      </c>
      <c r="F285" s="1" t="str">
        <f aca="false">TEXT(B285,"mmm-yyyy")</f>
        <v>Oct-2024</v>
      </c>
    </row>
    <row r="286" customFormat="false" ht="87" hidden="false" customHeight="true" outlineLevel="0" collapsed="false">
      <c r="A286" s="1" t="n">
        <v>2</v>
      </c>
      <c r="B286" s="10" t="n">
        <v>45582</v>
      </c>
      <c r="C286" s="11" t="s">
        <v>304</v>
      </c>
      <c r="D286" s="1" t="s">
        <v>8</v>
      </c>
      <c r="E286" s="1" t="s">
        <v>18</v>
      </c>
      <c r="F286" s="1" t="str">
        <f aca="false">TEXT(B286,"mmm-yyyy")</f>
        <v>Oct-2024</v>
      </c>
    </row>
    <row r="287" customFormat="false" ht="144.75" hidden="false" customHeight="true" outlineLevel="0" collapsed="false">
      <c r="A287" s="1" t="n">
        <v>4</v>
      </c>
      <c r="B287" s="10" t="n">
        <v>45597</v>
      </c>
      <c r="C287" s="11" t="s">
        <v>305</v>
      </c>
      <c r="D287" s="1" t="s">
        <v>8</v>
      </c>
      <c r="E287" s="1" t="s">
        <v>18</v>
      </c>
      <c r="F287" s="1" t="str">
        <f aca="false">TEXT(B287,"mmm-yyyy")</f>
        <v>Nov-2024</v>
      </c>
    </row>
    <row r="288" customFormat="false" ht="101.25" hidden="false" customHeight="true" outlineLevel="0" collapsed="false">
      <c r="A288" s="1" t="n">
        <v>1</v>
      </c>
      <c r="B288" s="10" t="n">
        <v>45616</v>
      </c>
      <c r="C288" s="11" t="s">
        <v>306</v>
      </c>
      <c r="D288" s="1" t="s">
        <v>8</v>
      </c>
      <c r="E288" s="1" t="s">
        <v>18</v>
      </c>
      <c r="F288" s="1" t="str">
        <f aca="false">TEXT(B288,"mmm-yyyy")</f>
        <v>Nov-2024</v>
      </c>
    </row>
    <row r="289" customFormat="false" ht="101.25" hidden="false" customHeight="true" outlineLevel="0" collapsed="false">
      <c r="A289" s="1" t="n">
        <v>5</v>
      </c>
      <c r="B289" s="10" t="n">
        <v>45609</v>
      </c>
      <c r="C289" s="11" t="s">
        <v>307</v>
      </c>
      <c r="D289" s="1" t="s">
        <v>8</v>
      </c>
      <c r="E289" s="1" t="s">
        <v>18</v>
      </c>
      <c r="F289" s="1" t="str">
        <f aca="false">TEXT(B289,"mmm-yyyy")</f>
        <v>Nov-2024</v>
      </c>
    </row>
    <row r="290" customFormat="false" ht="101.25" hidden="false" customHeight="true" outlineLevel="0" collapsed="false">
      <c r="A290" s="1" t="n">
        <v>2</v>
      </c>
      <c r="B290" s="10" t="n">
        <v>45626</v>
      </c>
      <c r="C290" s="11" t="s">
        <v>308</v>
      </c>
      <c r="D290" s="1" t="s">
        <v>8</v>
      </c>
      <c r="E290" s="1" t="s">
        <v>20</v>
      </c>
      <c r="F290" s="1" t="str">
        <f aca="false">TEXT(B290,"mmm-yyyy")</f>
        <v>Nov-2024</v>
      </c>
    </row>
    <row r="291" customFormat="false" ht="101.25" hidden="false" customHeight="true" outlineLevel="0" collapsed="false">
      <c r="A291" s="1" t="n">
        <v>2</v>
      </c>
      <c r="B291" s="10" t="n">
        <v>45611</v>
      </c>
      <c r="C291" s="11" t="s">
        <v>309</v>
      </c>
      <c r="D291" s="1" t="s">
        <v>8</v>
      </c>
      <c r="E291" s="1" t="s">
        <v>20</v>
      </c>
      <c r="F291" s="1" t="str">
        <f aca="false">TEXT(B291,"mmm-yyyy")</f>
        <v>Nov-2024</v>
      </c>
    </row>
    <row r="292" customFormat="false" ht="115.5" hidden="false" customHeight="true" outlineLevel="0" collapsed="false">
      <c r="A292" s="1" t="n">
        <v>1</v>
      </c>
      <c r="B292" s="10" t="n">
        <v>45625</v>
      </c>
      <c r="C292" s="11" t="s">
        <v>310</v>
      </c>
      <c r="D292" s="1" t="s">
        <v>8</v>
      </c>
      <c r="E292" s="1" t="s">
        <v>20</v>
      </c>
      <c r="F292" s="1" t="str">
        <f aca="false">TEXT(B292,"mmm-yyyy")</f>
        <v>Nov-2024</v>
      </c>
    </row>
    <row r="293" customFormat="false" ht="87" hidden="false" customHeight="true" outlineLevel="0" collapsed="false">
      <c r="A293" s="1" t="n">
        <v>1</v>
      </c>
      <c r="B293" s="10" t="n">
        <v>45597</v>
      </c>
      <c r="C293" s="11" t="s">
        <v>311</v>
      </c>
      <c r="D293" s="1" t="s">
        <v>8</v>
      </c>
      <c r="E293" s="1" t="s">
        <v>18</v>
      </c>
      <c r="F293" s="1" t="str">
        <f aca="false">TEXT(B293,"mmm-yyyy")</f>
        <v>Nov-2024</v>
      </c>
    </row>
    <row r="294" customFormat="false" ht="87" hidden="false" customHeight="true" outlineLevel="0" collapsed="false">
      <c r="A294" s="1" t="n">
        <v>1</v>
      </c>
      <c r="B294" s="10" t="n">
        <v>45627</v>
      </c>
      <c r="C294" s="11" t="s">
        <v>312</v>
      </c>
      <c r="D294" s="1" t="s">
        <v>8</v>
      </c>
      <c r="E294" s="1" t="s">
        <v>20</v>
      </c>
      <c r="F294" s="1" t="str">
        <f aca="false">TEXT(B294,"mmm-yyyy")</f>
        <v>Dec-2024</v>
      </c>
    </row>
    <row r="295" customFormat="false" ht="101.25" hidden="false" customHeight="true" outlineLevel="0" collapsed="false">
      <c r="A295" s="1" t="n">
        <v>1</v>
      </c>
      <c r="B295" s="10" t="n">
        <v>45610</v>
      </c>
      <c r="C295" s="11" t="s">
        <v>313</v>
      </c>
      <c r="D295" s="1" t="s">
        <v>8</v>
      </c>
      <c r="E295" s="1" t="s">
        <v>18</v>
      </c>
      <c r="F295" s="1" t="str">
        <f aca="false">TEXT(B295,"mmm-yyyy")</f>
        <v>Nov-2024</v>
      </c>
    </row>
    <row r="296" customFormat="false" ht="115.5" hidden="false" customHeight="true" outlineLevel="0" collapsed="false">
      <c r="A296" s="1" t="n">
        <v>1</v>
      </c>
      <c r="B296" s="10" t="n">
        <v>45619</v>
      </c>
      <c r="C296" s="11" t="s">
        <v>314</v>
      </c>
      <c r="D296" s="1" t="s">
        <v>8</v>
      </c>
      <c r="E296" s="1" t="s">
        <v>20</v>
      </c>
      <c r="F296" s="1" t="str">
        <f aca="false">TEXT(B296,"mmm-yyyy")</f>
        <v>Nov-2024</v>
      </c>
    </row>
    <row r="297" customFormat="false" ht="72" hidden="false" customHeight="true" outlineLevel="0" collapsed="false">
      <c r="A297" s="1" t="n">
        <v>1</v>
      </c>
      <c r="B297" s="10" t="n">
        <v>45615</v>
      </c>
      <c r="C297" s="11" t="s">
        <v>315</v>
      </c>
      <c r="D297" s="1" t="s">
        <v>8</v>
      </c>
      <c r="E297" s="1" t="s">
        <v>18</v>
      </c>
      <c r="F297" s="1" t="str">
        <f aca="false">TEXT(B297,"mmm-yyyy")</f>
        <v>Nov-2024</v>
      </c>
    </row>
    <row r="298" customFormat="false" ht="87" hidden="false" customHeight="true" outlineLevel="0" collapsed="false">
      <c r="A298" s="1" t="n">
        <v>2</v>
      </c>
      <c r="B298" s="10" t="n">
        <v>45598</v>
      </c>
      <c r="C298" s="11" t="s">
        <v>316</v>
      </c>
      <c r="D298" s="1" t="s">
        <v>8</v>
      </c>
      <c r="E298" s="1" t="s">
        <v>20</v>
      </c>
      <c r="F298" s="1" t="str">
        <f aca="false">TEXT(B298,"mmm-yyyy")</f>
        <v>Nov-2024</v>
      </c>
    </row>
    <row r="299" customFormat="false" ht="115.5" hidden="false" customHeight="true" outlineLevel="0" collapsed="false">
      <c r="A299" s="1" t="n">
        <v>1</v>
      </c>
      <c r="B299" s="10" t="n">
        <v>45644</v>
      </c>
      <c r="C299" s="11" t="s">
        <v>317</v>
      </c>
      <c r="D299" s="1" t="s">
        <v>8</v>
      </c>
      <c r="E299" s="1" t="s">
        <v>20</v>
      </c>
      <c r="F299" s="1" t="str">
        <f aca="false">TEXT(B299,"mmm-yyyy")</f>
        <v>Dec-2024</v>
      </c>
    </row>
    <row r="300" customFormat="false" ht="115.5" hidden="false" customHeight="true" outlineLevel="0" collapsed="false">
      <c r="A300" s="1" t="n">
        <v>1</v>
      </c>
      <c r="B300" s="10" t="n">
        <v>45613</v>
      </c>
      <c r="C300" s="11" t="s">
        <v>318</v>
      </c>
      <c r="D300" s="1" t="s">
        <v>8</v>
      </c>
      <c r="E300" s="1" t="s">
        <v>20</v>
      </c>
      <c r="F300" s="1" t="str">
        <f aca="false">TEXT(B300,"mmm-yyyy")</f>
        <v>Nov-2024</v>
      </c>
    </row>
    <row r="301" customFormat="false" ht="57.75" hidden="false" customHeight="true" outlineLevel="0" collapsed="false">
      <c r="A301" s="1" t="n">
        <v>4</v>
      </c>
      <c r="B301" s="10" t="n">
        <v>45656</v>
      </c>
      <c r="C301" s="11" t="s">
        <v>319</v>
      </c>
      <c r="D301" s="1" t="s">
        <v>8</v>
      </c>
      <c r="E301" s="1" t="s">
        <v>18</v>
      </c>
      <c r="F301" s="1" t="str">
        <f aca="false">TEXT(B301,"mmm-yyyy")</f>
        <v>Dec-2024</v>
      </c>
    </row>
    <row r="302" customFormat="false" ht="57.75" hidden="false" customHeight="true" outlineLevel="0" collapsed="false">
      <c r="A302" s="1" t="n">
        <v>1</v>
      </c>
      <c r="B302" s="10" t="n">
        <v>45653</v>
      </c>
      <c r="C302" s="11" t="s">
        <v>320</v>
      </c>
      <c r="D302" s="1" t="s">
        <v>8</v>
      </c>
      <c r="E302" s="1" t="s">
        <v>18</v>
      </c>
      <c r="F302" s="1" t="str">
        <f aca="false">TEXT(B302,"mmm-yyyy")</f>
        <v>Dec-2024</v>
      </c>
    </row>
    <row r="303" customFormat="false" ht="72" hidden="false" customHeight="true" outlineLevel="0" collapsed="false">
      <c r="A303" s="1" t="n">
        <v>2</v>
      </c>
      <c r="B303" s="10" t="n">
        <v>45633</v>
      </c>
      <c r="C303" s="11" t="s">
        <v>321</v>
      </c>
      <c r="D303" s="1" t="s">
        <v>8</v>
      </c>
      <c r="E303" s="1" t="s">
        <v>20</v>
      </c>
      <c r="F303" s="1" t="str">
        <f aca="false">TEXT(B303,"mmm-yyyy")</f>
        <v>Dec-2024</v>
      </c>
    </row>
    <row r="304" customFormat="false" ht="87" hidden="false" customHeight="true" outlineLevel="0" collapsed="false">
      <c r="A304" s="1" t="n">
        <v>1</v>
      </c>
      <c r="B304" s="10" t="n">
        <v>45594</v>
      </c>
      <c r="C304" s="11" t="s">
        <v>322</v>
      </c>
      <c r="D304" s="1" t="s">
        <v>8</v>
      </c>
      <c r="E304" s="1" t="s">
        <v>20</v>
      </c>
      <c r="F304" s="1" t="str">
        <f aca="false">TEXT(B304,"mmm-yyyy")</f>
        <v>Oct-2024</v>
      </c>
    </row>
    <row r="305" customFormat="false" ht="115.5" hidden="false" customHeight="true" outlineLevel="0" collapsed="false">
      <c r="A305" s="1" t="n">
        <v>1</v>
      </c>
      <c r="B305" s="10" t="n">
        <v>45621</v>
      </c>
      <c r="C305" s="11" t="s">
        <v>323</v>
      </c>
      <c r="D305" s="1" t="s">
        <v>8</v>
      </c>
      <c r="E305" s="1" t="s">
        <v>20</v>
      </c>
      <c r="F305" s="1" t="str">
        <f aca="false">TEXT(B305,"mmm-yyyy")</f>
        <v>Nov-2024</v>
      </c>
    </row>
    <row r="306" customFormat="false" ht="115.5" hidden="false" customHeight="true" outlineLevel="0" collapsed="false">
      <c r="A306" s="1" t="n">
        <v>1</v>
      </c>
      <c r="B306" s="10" t="n">
        <v>45648</v>
      </c>
      <c r="C306" s="11" t="s">
        <v>324</v>
      </c>
      <c r="D306" s="1" t="s">
        <v>8</v>
      </c>
      <c r="E306" s="1" t="s">
        <v>18</v>
      </c>
      <c r="F306" s="1" t="str">
        <f aca="false">TEXT(B306,"mmm-yyyy")</f>
        <v>Dec-2024</v>
      </c>
    </row>
    <row r="307" customFormat="false" ht="72" hidden="false" customHeight="true" outlineLevel="0" collapsed="false">
      <c r="A307" s="1" t="n">
        <v>1</v>
      </c>
      <c r="B307" s="10" t="n">
        <v>45621</v>
      </c>
      <c r="C307" s="11" t="s">
        <v>325</v>
      </c>
      <c r="D307" s="1" t="s">
        <v>8</v>
      </c>
      <c r="E307" s="1" t="s">
        <v>20</v>
      </c>
      <c r="F307" s="1" t="str">
        <f aca="false">TEXT(B307,"mmm-yyyy")</f>
        <v>Nov-2024</v>
      </c>
    </row>
    <row r="308" customFormat="false" ht="72" hidden="false" customHeight="true" outlineLevel="0" collapsed="false">
      <c r="A308" s="1" t="n">
        <v>5</v>
      </c>
      <c r="B308" s="10" t="n">
        <v>45647</v>
      </c>
      <c r="C308" s="11" t="s">
        <v>326</v>
      </c>
      <c r="D308" s="1" t="s">
        <v>8</v>
      </c>
      <c r="E308" s="1" t="s">
        <v>18</v>
      </c>
      <c r="F308" s="1" t="str">
        <f aca="false">TEXT(B308,"mmm-yyyy")</f>
        <v>Dec-2024</v>
      </c>
    </row>
    <row r="309" customFormat="false" ht="72" hidden="false" customHeight="true" outlineLevel="0" collapsed="false">
      <c r="A309" s="1" t="n">
        <v>4</v>
      </c>
      <c r="B309" s="10" t="n">
        <v>45639</v>
      </c>
      <c r="C309" s="11" t="s">
        <v>327</v>
      </c>
      <c r="D309" s="1" t="s">
        <v>8</v>
      </c>
      <c r="E309" s="1" t="s">
        <v>20</v>
      </c>
      <c r="F309" s="1" t="str">
        <f aca="false">TEXT(B309,"mmm-yyyy")</f>
        <v>Dec-2024</v>
      </c>
    </row>
    <row r="310" customFormat="false" ht="57.75" hidden="false" customHeight="true" outlineLevel="0" collapsed="false">
      <c r="A310" s="1" t="n">
        <v>5</v>
      </c>
      <c r="B310" s="10" t="n">
        <v>45650</v>
      </c>
      <c r="C310" s="11" t="s">
        <v>328</v>
      </c>
      <c r="D310" s="1" t="s">
        <v>8</v>
      </c>
      <c r="E310" s="1" t="s">
        <v>18</v>
      </c>
      <c r="F310" s="1" t="str">
        <f aca="false">TEXT(B310,"mmm-yyyy")</f>
        <v>Dec-2024</v>
      </c>
    </row>
    <row r="311" customFormat="false" ht="130.5" hidden="false" customHeight="true" outlineLevel="0" collapsed="false">
      <c r="A311" s="1" t="n">
        <v>1</v>
      </c>
      <c r="B311" s="10" t="n">
        <v>45629</v>
      </c>
      <c r="C311" s="11" t="s">
        <v>329</v>
      </c>
      <c r="D311" s="1" t="s">
        <v>8</v>
      </c>
      <c r="E311" s="1" t="s">
        <v>20</v>
      </c>
      <c r="F311" s="1" t="str">
        <f aca="false">TEXT(B311,"mmm-yyyy")</f>
        <v>Dec-2024</v>
      </c>
    </row>
    <row r="312" customFormat="false" ht="115.5" hidden="false" customHeight="true" outlineLevel="0" collapsed="false">
      <c r="A312" s="1" t="n">
        <v>1</v>
      </c>
      <c r="B312" s="10" t="n">
        <v>45586</v>
      </c>
      <c r="C312" s="11" t="s">
        <v>330</v>
      </c>
      <c r="D312" s="1" t="s">
        <v>8</v>
      </c>
      <c r="E312" s="1" t="s">
        <v>20</v>
      </c>
      <c r="F312" s="1" t="str">
        <f aca="false">TEXT(B312,"mmm-yyyy")</f>
        <v>Oct-2024</v>
      </c>
    </row>
    <row r="313" customFormat="false" ht="87" hidden="false" customHeight="true" outlineLevel="0" collapsed="false">
      <c r="A313" s="1" t="n">
        <v>1</v>
      </c>
      <c r="B313" s="10" t="n">
        <v>45636</v>
      </c>
      <c r="C313" s="11" t="s">
        <v>331</v>
      </c>
      <c r="D313" s="1" t="s">
        <v>8</v>
      </c>
      <c r="E313" s="1" t="s">
        <v>20</v>
      </c>
      <c r="F313" s="1" t="str">
        <f aca="false">TEXT(B313,"mmm-yyyy")</f>
        <v>Dec-2024</v>
      </c>
    </row>
    <row r="314" customFormat="false" ht="72" hidden="false" customHeight="true" outlineLevel="0" collapsed="false">
      <c r="A314" s="1" t="n">
        <v>5</v>
      </c>
      <c r="B314" s="10" t="n">
        <v>45637</v>
      </c>
      <c r="C314" s="11" t="s">
        <v>332</v>
      </c>
      <c r="D314" s="1" t="s">
        <v>8</v>
      </c>
      <c r="E314" s="1" t="s">
        <v>18</v>
      </c>
      <c r="F314" s="1" t="str">
        <f aca="false">TEXT(B314,"mmm-yyyy")</f>
        <v>Dec-2024</v>
      </c>
    </row>
    <row r="315" customFormat="false" ht="87" hidden="false" customHeight="true" outlineLevel="0" collapsed="false">
      <c r="A315" s="1" t="n">
        <v>1</v>
      </c>
      <c r="B315" s="10" t="n">
        <v>45656</v>
      </c>
      <c r="C315" s="11" t="s">
        <v>333</v>
      </c>
      <c r="D315" s="1" t="s">
        <v>8</v>
      </c>
      <c r="E315" s="1" t="s">
        <v>18</v>
      </c>
      <c r="F315" s="1" t="str">
        <f aca="false">TEXT(B315,"mmm-yyyy")</f>
        <v>Dec-2024</v>
      </c>
    </row>
    <row r="316" customFormat="false" ht="57.75" hidden="false" customHeight="true" outlineLevel="0" collapsed="false">
      <c r="A316" s="1" t="n">
        <v>5</v>
      </c>
      <c r="B316" s="10" t="n">
        <v>45639</v>
      </c>
      <c r="C316" s="11" t="s">
        <v>334</v>
      </c>
      <c r="D316" s="1" t="s">
        <v>8</v>
      </c>
      <c r="E316" s="1" t="s">
        <v>18</v>
      </c>
      <c r="F316" s="1" t="str">
        <f aca="false">TEXT(B316,"mmm-yyyy")</f>
        <v>Dec-2024</v>
      </c>
    </row>
    <row r="317" customFormat="false" ht="72" hidden="false" customHeight="true" outlineLevel="0" collapsed="false">
      <c r="A317" s="1" t="n">
        <v>1</v>
      </c>
      <c r="B317" s="10" t="n">
        <v>45636</v>
      </c>
      <c r="C317" s="11" t="s">
        <v>335</v>
      </c>
      <c r="D317" s="1" t="s">
        <v>8</v>
      </c>
      <c r="E317" s="1" t="s">
        <v>20</v>
      </c>
      <c r="F317" s="1" t="str">
        <f aca="false">TEXT(B317,"mmm-yyyy")</f>
        <v>Dec-2024</v>
      </c>
    </row>
    <row r="318" customFormat="false" ht="101.25" hidden="false" customHeight="true" outlineLevel="0" collapsed="false">
      <c r="A318" s="1" t="n">
        <v>4</v>
      </c>
      <c r="B318" s="10" t="n">
        <v>45603</v>
      </c>
      <c r="C318" s="11" t="s">
        <v>336</v>
      </c>
      <c r="D318" s="1" t="s">
        <v>8</v>
      </c>
      <c r="E318" s="1" t="s">
        <v>18</v>
      </c>
      <c r="F318" s="1" t="str">
        <f aca="false">TEXT(B318,"mmm-yyyy")</f>
        <v>Nov-2024</v>
      </c>
    </row>
    <row r="319" customFormat="false" ht="87" hidden="false" customHeight="true" outlineLevel="0" collapsed="false">
      <c r="A319" s="1" t="n">
        <v>1</v>
      </c>
      <c r="B319" s="10" t="n">
        <v>45580</v>
      </c>
      <c r="C319" s="11" t="s">
        <v>337</v>
      </c>
      <c r="D319" s="1" t="s">
        <v>8</v>
      </c>
      <c r="E319" s="1" t="s">
        <v>20</v>
      </c>
      <c r="F319" s="1" t="str">
        <f aca="false">TEXT(B319,"mmm-yyyy")</f>
        <v>Oct-2024</v>
      </c>
    </row>
    <row r="320" customFormat="false" ht="72" hidden="false" customHeight="true" outlineLevel="0" collapsed="false">
      <c r="A320" s="1" t="n">
        <v>1</v>
      </c>
      <c r="B320" s="10" t="n">
        <v>45649</v>
      </c>
      <c r="C320" s="11" t="s">
        <v>338</v>
      </c>
      <c r="D320" s="1" t="s">
        <v>8</v>
      </c>
      <c r="E320" s="1" t="s">
        <v>20</v>
      </c>
      <c r="F320" s="1" t="str">
        <f aca="false">TEXT(B320,"mmm-yyyy")</f>
        <v>Dec-2024</v>
      </c>
    </row>
    <row r="321" customFormat="false" ht="87" hidden="false" customHeight="true" outlineLevel="0" collapsed="false">
      <c r="A321" s="1" t="n">
        <v>1</v>
      </c>
      <c r="B321" s="10" t="n">
        <v>45643</v>
      </c>
      <c r="C321" s="11" t="s">
        <v>339</v>
      </c>
      <c r="D321" s="1" t="s">
        <v>8</v>
      </c>
      <c r="E321" s="1" t="s">
        <v>20</v>
      </c>
      <c r="F321" s="1" t="str">
        <f aca="false">TEXT(B321,"mmm-yyyy")</f>
        <v>Dec-2024</v>
      </c>
    </row>
    <row r="322" customFormat="false" ht="57.75" hidden="false" customHeight="true" outlineLevel="0" collapsed="false">
      <c r="A322" s="1" t="n">
        <v>5</v>
      </c>
      <c r="B322" s="10" t="n">
        <v>45651</v>
      </c>
      <c r="C322" s="11" t="s">
        <v>340</v>
      </c>
      <c r="D322" s="1" t="s">
        <v>8</v>
      </c>
      <c r="E322" s="1" t="s">
        <v>18</v>
      </c>
      <c r="F322" s="1" t="str">
        <f aca="false">TEXT(B322,"mmm-yyyy")</f>
        <v>Dec-2024</v>
      </c>
    </row>
    <row r="323" customFormat="false" ht="115.5" hidden="false" customHeight="true" outlineLevel="0" collapsed="false">
      <c r="A323" s="1" t="n">
        <v>4</v>
      </c>
      <c r="B323" s="10" t="n">
        <v>45634</v>
      </c>
      <c r="C323" s="11" t="s">
        <v>341</v>
      </c>
      <c r="D323" s="1" t="s">
        <v>8</v>
      </c>
      <c r="E323" s="1" t="s">
        <v>18</v>
      </c>
      <c r="F323" s="1" t="str">
        <f aca="false">TEXT(B323,"mmm-yyyy")</f>
        <v>Dec-2024</v>
      </c>
    </row>
    <row r="324" customFormat="false" ht="43.5" hidden="false" customHeight="true" outlineLevel="0" collapsed="false">
      <c r="A324" s="1" t="n">
        <v>1</v>
      </c>
      <c r="B324" s="10" t="n">
        <v>45644</v>
      </c>
      <c r="C324" s="11" t="s">
        <v>342</v>
      </c>
      <c r="D324" s="1" t="s">
        <v>8</v>
      </c>
      <c r="E324" s="1" t="s">
        <v>20</v>
      </c>
      <c r="F324" s="1" t="str">
        <f aca="false">TEXT(B324,"mmm-yyyy")</f>
        <v>Dec-2024</v>
      </c>
    </row>
    <row r="325" customFormat="false" ht="130.5" hidden="false" customHeight="true" outlineLevel="0" collapsed="false">
      <c r="A325" s="1" t="n">
        <v>1</v>
      </c>
      <c r="B325" s="10" t="n">
        <v>45642</v>
      </c>
      <c r="C325" s="11" t="s">
        <v>343</v>
      </c>
      <c r="D325" s="1" t="s">
        <v>8</v>
      </c>
      <c r="E325" s="1" t="s">
        <v>20</v>
      </c>
      <c r="F325" s="1" t="str">
        <f aca="false">TEXT(B325,"mmm-yyyy")</f>
        <v>Dec-2024</v>
      </c>
    </row>
    <row r="326" customFormat="false" ht="72" hidden="false" customHeight="true" outlineLevel="0" collapsed="false">
      <c r="A326" s="1" t="n">
        <v>1</v>
      </c>
      <c r="B326" s="10" t="n">
        <v>45611</v>
      </c>
      <c r="C326" s="11" t="s">
        <v>344</v>
      </c>
      <c r="D326" s="1" t="s">
        <v>8</v>
      </c>
      <c r="E326" s="1" t="s">
        <v>20</v>
      </c>
      <c r="F326" s="1" t="str">
        <f aca="false">TEXT(B326,"mmm-yyyy")</f>
        <v>Nov-2024</v>
      </c>
    </row>
    <row r="327" customFormat="false" ht="57.75" hidden="false" customHeight="true" outlineLevel="0" collapsed="false">
      <c r="A327" s="1" t="n">
        <v>4</v>
      </c>
      <c r="B327" s="10" t="n">
        <v>45646</v>
      </c>
      <c r="C327" s="11" t="s">
        <v>345</v>
      </c>
      <c r="D327" s="1" t="s">
        <v>8</v>
      </c>
      <c r="E327" s="1" t="s">
        <v>18</v>
      </c>
      <c r="F327" s="1" t="str">
        <f aca="false">TEXT(B327,"mmm-yyyy")</f>
        <v>Dec-2024</v>
      </c>
    </row>
    <row r="328" customFormat="false" ht="115.5" hidden="false" customHeight="true" outlineLevel="0" collapsed="false">
      <c r="A328" s="1" t="n">
        <v>3</v>
      </c>
      <c r="B328" s="10" t="n">
        <v>45633</v>
      </c>
      <c r="C328" s="11" t="s">
        <v>346</v>
      </c>
      <c r="D328" s="1" t="s">
        <v>8</v>
      </c>
      <c r="E328" s="1" t="s">
        <v>32</v>
      </c>
      <c r="F328" s="1" t="str">
        <f aca="false">TEXT(B328,"mmm-yyyy")</f>
        <v>Dec-2024</v>
      </c>
    </row>
    <row r="329" customFormat="false" ht="43.5" hidden="false" customHeight="true" outlineLevel="0" collapsed="false">
      <c r="A329" s="1" t="n">
        <v>1</v>
      </c>
      <c r="B329" s="10" t="n">
        <v>45646</v>
      </c>
      <c r="C329" s="11" t="s">
        <v>347</v>
      </c>
      <c r="D329" s="1" t="s">
        <v>8</v>
      </c>
      <c r="E329" s="1" t="s">
        <v>20</v>
      </c>
      <c r="F329" s="1" t="str">
        <f aca="false">TEXT(B329,"mmm-yyyy")</f>
        <v>Dec-2024</v>
      </c>
    </row>
    <row r="330" customFormat="false" ht="72" hidden="false" customHeight="true" outlineLevel="0" collapsed="false">
      <c r="A330" s="1" t="n">
        <v>2</v>
      </c>
      <c r="B330" s="10" t="n">
        <v>45651</v>
      </c>
      <c r="C330" s="11" t="s">
        <v>348</v>
      </c>
      <c r="D330" s="1" t="s">
        <v>8</v>
      </c>
      <c r="E330" s="1" t="s">
        <v>18</v>
      </c>
      <c r="F330" s="1" t="str">
        <f aca="false">TEXT(B330,"mmm-yyyy")</f>
        <v>Dec-2024</v>
      </c>
    </row>
    <row r="331" customFormat="false" ht="101.25" hidden="false" customHeight="true" outlineLevel="0" collapsed="false">
      <c r="A331" s="1" t="n">
        <v>1</v>
      </c>
      <c r="B331" s="10" t="n">
        <v>45650</v>
      </c>
      <c r="C331" s="11" t="s">
        <v>349</v>
      </c>
      <c r="D331" s="1" t="s">
        <v>8</v>
      </c>
      <c r="E331" s="1" t="s">
        <v>20</v>
      </c>
      <c r="F331" s="1" t="str">
        <f aca="false">TEXT(B331,"mmm-yyyy")</f>
        <v>Dec-2024</v>
      </c>
    </row>
    <row r="332" customFormat="false" ht="87" hidden="false" customHeight="true" outlineLevel="0" collapsed="false">
      <c r="A332" s="1" t="n">
        <v>1</v>
      </c>
      <c r="B332" s="10" t="n">
        <v>45607</v>
      </c>
      <c r="C332" s="11" t="s">
        <v>350</v>
      </c>
      <c r="D332" s="1" t="s">
        <v>8</v>
      </c>
      <c r="E332" s="1" t="s">
        <v>20</v>
      </c>
      <c r="F332" s="1" t="str">
        <f aca="false">TEXT(B332,"mmm-yyyy")</f>
        <v>Nov-2024</v>
      </c>
    </row>
    <row r="333" customFormat="false" ht="101.25" hidden="false" customHeight="true" outlineLevel="0" collapsed="false">
      <c r="A333" s="1" t="n">
        <v>1</v>
      </c>
      <c r="B333" s="10" t="n">
        <v>45616</v>
      </c>
      <c r="C333" s="11" t="s">
        <v>351</v>
      </c>
      <c r="D333" s="1" t="s">
        <v>8</v>
      </c>
      <c r="E333" s="1" t="s">
        <v>20</v>
      </c>
      <c r="F333" s="1" t="str">
        <f aca="false">TEXT(B333,"mmm-yyyy")</f>
        <v>Nov-2024</v>
      </c>
    </row>
    <row r="334" customFormat="false" ht="101.25" hidden="false" customHeight="true" outlineLevel="0" collapsed="false">
      <c r="A334" s="1" t="n">
        <v>3</v>
      </c>
      <c r="B334" s="10" t="n">
        <v>45601</v>
      </c>
      <c r="C334" s="11" t="s">
        <v>352</v>
      </c>
      <c r="D334" s="1" t="s">
        <v>8</v>
      </c>
      <c r="E334" s="1" t="s">
        <v>18</v>
      </c>
      <c r="F334" s="1" t="str">
        <f aca="false">TEXT(B334,"mmm-yyyy")</f>
        <v>Nov-2024</v>
      </c>
    </row>
    <row r="335" customFormat="false" ht="130.5" hidden="false" customHeight="true" outlineLevel="0" collapsed="false">
      <c r="A335" s="1" t="n">
        <v>1</v>
      </c>
      <c r="B335" s="10" t="n">
        <v>45584</v>
      </c>
      <c r="C335" s="11" t="s">
        <v>353</v>
      </c>
      <c r="D335" s="1" t="s">
        <v>8</v>
      </c>
      <c r="E335" s="1" t="s">
        <v>18</v>
      </c>
      <c r="F335" s="1" t="str">
        <f aca="false">TEXT(B335,"mmm-yyyy")</f>
        <v>Oct-2024</v>
      </c>
    </row>
    <row r="336" customFormat="false" ht="87" hidden="false" customHeight="true" outlineLevel="0" collapsed="false">
      <c r="A336" s="1" t="n">
        <v>1</v>
      </c>
      <c r="B336" s="10" t="n">
        <v>45618</v>
      </c>
      <c r="C336" s="11" t="s">
        <v>354</v>
      </c>
      <c r="D336" s="1" t="s">
        <v>8</v>
      </c>
      <c r="E336" s="1" t="s">
        <v>20</v>
      </c>
      <c r="F336" s="1" t="str">
        <f aca="false">TEXT(B336,"mmm-yyyy")</f>
        <v>Nov-2024</v>
      </c>
    </row>
    <row r="337" customFormat="false" ht="57.75" hidden="false" customHeight="true" outlineLevel="0" collapsed="false">
      <c r="A337" s="1" t="n">
        <v>3</v>
      </c>
      <c r="B337" s="10" t="n">
        <v>45642</v>
      </c>
      <c r="C337" s="11" t="s">
        <v>355</v>
      </c>
      <c r="D337" s="1" t="s">
        <v>8</v>
      </c>
      <c r="E337" s="1" t="s">
        <v>18</v>
      </c>
      <c r="F337" s="1" t="str">
        <f aca="false">TEXT(B337,"mmm-yyyy")</f>
        <v>Dec-2024</v>
      </c>
    </row>
    <row r="338" customFormat="false" ht="87" hidden="false" customHeight="true" outlineLevel="0" collapsed="false">
      <c r="A338" s="1" t="n">
        <v>1</v>
      </c>
      <c r="B338" s="10" t="n">
        <v>45643</v>
      </c>
      <c r="C338" s="11" t="s">
        <v>356</v>
      </c>
      <c r="D338" s="1" t="s">
        <v>8</v>
      </c>
      <c r="E338" s="1" t="s">
        <v>20</v>
      </c>
      <c r="F338" s="1" t="str">
        <f aca="false">TEXT(B338,"mmm-yyyy")</f>
        <v>Dec-2024</v>
      </c>
    </row>
    <row r="339" customFormat="false" ht="87" hidden="false" customHeight="true" outlineLevel="0" collapsed="false">
      <c r="A339" s="1" t="n">
        <v>1</v>
      </c>
      <c r="B339" s="10" t="n">
        <v>45627</v>
      </c>
      <c r="C339" s="11" t="s">
        <v>357</v>
      </c>
      <c r="D339" s="1" t="s">
        <v>8</v>
      </c>
      <c r="E339" s="1" t="s">
        <v>20</v>
      </c>
      <c r="F339" s="1" t="str">
        <f aca="false">TEXT(B339,"mmm-yyyy")</f>
        <v>Dec-2024</v>
      </c>
    </row>
    <row r="340" customFormat="false" ht="130.5" hidden="false" customHeight="true" outlineLevel="0" collapsed="false">
      <c r="A340" s="1" t="n">
        <v>4</v>
      </c>
      <c r="B340" s="10" t="n">
        <v>45635</v>
      </c>
      <c r="C340" s="11" t="s">
        <v>358</v>
      </c>
      <c r="D340" s="1" t="s">
        <v>8</v>
      </c>
      <c r="E340" s="1" t="s">
        <v>18</v>
      </c>
      <c r="F340" s="1" t="str">
        <f aca="false">TEXT(B340,"mmm-yyyy")</f>
        <v>Dec-2024</v>
      </c>
    </row>
    <row r="341" customFormat="false" ht="57.75" hidden="false" customHeight="true" outlineLevel="0" collapsed="false">
      <c r="A341" s="1" t="n">
        <v>1</v>
      </c>
      <c r="B341" s="10" t="n">
        <v>45657</v>
      </c>
      <c r="C341" s="11" t="s">
        <v>359</v>
      </c>
      <c r="D341" s="1" t="s">
        <v>8</v>
      </c>
      <c r="E341" s="1" t="s">
        <v>20</v>
      </c>
      <c r="F341" s="1" t="str">
        <f aca="false">TEXT(B341,"mmm-yyyy")</f>
        <v>Dec-2024</v>
      </c>
    </row>
    <row r="342" customFormat="false" ht="87" hidden="false" customHeight="true" outlineLevel="0" collapsed="false">
      <c r="A342" s="1" t="n">
        <v>1</v>
      </c>
      <c r="B342" s="10" t="n">
        <v>45644</v>
      </c>
      <c r="C342" s="11" t="s">
        <v>360</v>
      </c>
      <c r="D342" s="1" t="s">
        <v>8</v>
      </c>
      <c r="E342" s="1" t="s">
        <v>20</v>
      </c>
      <c r="F342" s="1" t="str">
        <f aca="false">TEXT(B342,"mmm-yyyy")</f>
        <v>Dec-2024</v>
      </c>
    </row>
    <row r="343" customFormat="false" ht="115.5" hidden="false" customHeight="true" outlineLevel="0" collapsed="false">
      <c r="A343" s="1" t="n">
        <v>1</v>
      </c>
      <c r="B343" s="10" t="n">
        <v>45634</v>
      </c>
      <c r="C343" s="11" t="s">
        <v>361</v>
      </c>
      <c r="D343" s="1" t="s">
        <v>8</v>
      </c>
      <c r="E343" s="1" t="s">
        <v>20</v>
      </c>
      <c r="F343" s="1" t="str">
        <f aca="false">TEXT(B343,"mmm-yyyy")</f>
        <v>Dec-2024</v>
      </c>
    </row>
    <row r="344" customFormat="false" ht="57.75" hidden="false" customHeight="true" outlineLevel="0" collapsed="false">
      <c r="A344" s="1" t="n">
        <v>1</v>
      </c>
      <c r="B344" s="10" t="n">
        <v>45646</v>
      </c>
      <c r="C344" s="11" t="s">
        <v>362</v>
      </c>
      <c r="D344" s="1" t="s">
        <v>8</v>
      </c>
      <c r="E344" s="1" t="s">
        <v>20</v>
      </c>
      <c r="F344" s="1" t="str">
        <f aca="false">TEXT(B344,"mmm-yyyy")</f>
        <v>Dec-2024</v>
      </c>
    </row>
    <row r="345" customFormat="false" ht="130.5" hidden="false" customHeight="true" outlineLevel="0" collapsed="false">
      <c r="A345" s="1" t="n">
        <v>5</v>
      </c>
      <c r="B345" s="10" t="n">
        <v>45624</v>
      </c>
      <c r="C345" s="11" t="s">
        <v>363</v>
      </c>
      <c r="D345" s="1" t="s">
        <v>8</v>
      </c>
      <c r="E345" s="1" t="s">
        <v>18</v>
      </c>
      <c r="F345" s="1" t="str">
        <f aca="false">TEXT(B345,"mmm-yyyy")</f>
        <v>Nov-2024</v>
      </c>
    </row>
    <row r="346" customFormat="false" ht="115.5" hidden="false" customHeight="true" outlineLevel="0" collapsed="false">
      <c r="A346" s="1" t="n">
        <v>3</v>
      </c>
      <c r="B346" s="10" t="n">
        <v>45590</v>
      </c>
      <c r="C346" s="11" t="s">
        <v>364</v>
      </c>
      <c r="D346" s="1" t="s">
        <v>8</v>
      </c>
      <c r="E346" s="1" t="s">
        <v>18</v>
      </c>
      <c r="F346" s="1" t="str">
        <f aca="false">TEXT(B346,"mmm-yyyy")</f>
        <v>Oct-2024</v>
      </c>
    </row>
    <row r="347" customFormat="false" ht="101.25" hidden="false" customHeight="true" outlineLevel="0" collapsed="false">
      <c r="A347" s="1" t="n">
        <v>1</v>
      </c>
      <c r="B347" s="10" t="n">
        <v>45599</v>
      </c>
      <c r="C347" s="11" t="s">
        <v>365</v>
      </c>
      <c r="D347" s="1" t="s">
        <v>8</v>
      </c>
      <c r="E347" s="1" t="s">
        <v>20</v>
      </c>
      <c r="F347" s="1" t="str">
        <f aca="false">TEXT(B347,"mmm-yyyy")</f>
        <v>Nov-2024</v>
      </c>
    </row>
    <row r="348" customFormat="false" ht="87" hidden="false" customHeight="true" outlineLevel="0" collapsed="false">
      <c r="A348" s="1" t="n">
        <v>1</v>
      </c>
      <c r="B348" s="10" t="n">
        <v>45606</v>
      </c>
      <c r="C348" s="11" t="s">
        <v>366</v>
      </c>
      <c r="D348" s="1" t="s">
        <v>8</v>
      </c>
      <c r="E348" s="1" t="s">
        <v>20</v>
      </c>
      <c r="F348" s="1" t="str">
        <f aca="false">TEXT(B348,"mmm-yyyy")</f>
        <v>Nov-2024</v>
      </c>
    </row>
    <row r="349" customFormat="false" ht="72" hidden="false" customHeight="true" outlineLevel="0" collapsed="false">
      <c r="A349" s="1" t="n">
        <v>5</v>
      </c>
      <c r="B349" s="10" t="n">
        <v>45585</v>
      </c>
      <c r="C349" s="11" t="s">
        <v>367</v>
      </c>
      <c r="D349" s="1" t="s">
        <v>8</v>
      </c>
      <c r="E349" s="1" t="s">
        <v>18</v>
      </c>
      <c r="F349" s="1" t="str">
        <f aca="false">TEXT(B349,"mmm-yyyy")</f>
        <v>Oct-2024</v>
      </c>
    </row>
    <row r="350" customFormat="false" ht="72" hidden="false" customHeight="true" outlineLevel="0" collapsed="false">
      <c r="A350" s="1" t="n">
        <v>1</v>
      </c>
      <c r="B350" s="10" t="n">
        <v>45590</v>
      </c>
      <c r="C350" s="11" t="s">
        <v>368</v>
      </c>
      <c r="D350" s="1" t="s">
        <v>8</v>
      </c>
      <c r="E350" s="1" t="s">
        <v>20</v>
      </c>
      <c r="F350" s="1" t="str">
        <f aca="false">TEXT(B350,"mmm-yyyy")</f>
        <v>Oct-2024</v>
      </c>
    </row>
    <row r="351" customFormat="false" ht="130.5" hidden="false" customHeight="true" outlineLevel="0" collapsed="false">
      <c r="A351" s="1" t="n">
        <v>4</v>
      </c>
      <c r="B351" s="10" t="n">
        <v>45651</v>
      </c>
      <c r="C351" s="11" t="s">
        <v>369</v>
      </c>
      <c r="D351" s="1" t="s">
        <v>8</v>
      </c>
      <c r="E351" s="1" t="s">
        <v>18</v>
      </c>
      <c r="F351" s="1" t="str">
        <f aca="false">TEXT(B351,"mmm-yyyy")</f>
        <v>Dec-2024</v>
      </c>
    </row>
    <row r="352" customFormat="false" ht="57.75" hidden="false" customHeight="true" outlineLevel="0" collapsed="false">
      <c r="A352" s="1" t="n">
        <v>1</v>
      </c>
      <c r="B352" s="10" t="n">
        <v>45648</v>
      </c>
      <c r="C352" s="11" t="s">
        <v>370</v>
      </c>
      <c r="D352" s="1" t="s">
        <v>8</v>
      </c>
      <c r="E352" s="1" t="s">
        <v>20</v>
      </c>
      <c r="F352" s="1" t="str">
        <f aca="false">TEXT(B352,"mmm-yyyy")</f>
        <v>Dec-2024</v>
      </c>
    </row>
    <row r="353" customFormat="false" ht="57.75" hidden="false" customHeight="true" outlineLevel="0" collapsed="false">
      <c r="A353" s="1" t="n">
        <v>1</v>
      </c>
      <c r="B353" s="10" t="n">
        <v>45585</v>
      </c>
      <c r="C353" s="11" t="s">
        <v>371</v>
      </c>
      <c r="D353" s="1" t="s">
        <v>8</v>
      </c>
      <c r="E353" s="1" t="s">
        <v>20</v>
      </c>
      <c r="F353" s="1" t="str">
        <f aca="false">TEXT(B353,"mmm-yyyy")</f>
        <v>Oct-2024</v>
      </c>
    </row>
    <row r="354" customFormat="false" ht="101.25" hidden="false" customHeight="true" outlineLevel="0" collapsed="false">
      <c r="A354" s="1" t="n">
        <v>5</v>
      </c>
      <c r="B354" s="10" t="n">
        <v>45620</v>
      </c>
      <c r="C354" s="11" t="s">
        <v>372</v>
      </c>
      <c r="D354" s="1" t="s">
        <v>8</v>
      </c>
      <c r="E354" s="1" t="s">
        <v>18</v>
      </c>
      <c r="F354" s="1" t="str">
        <f aca="false">TEXT(B354,"mmm-yyyy")</f>
        <v>Nov-2024</v>
      </c>
    </row>
    <row r="355" customFormat="false" ht="87" hidden="false" customHeight="true" outlineLevel="0" collapsed="false">
      <c r="A355" s="1" t="n">
        <v>1</v>
      </c>
      <c r="B355" s="10" t="n">
        <v>45646</v>
      </c>
      <c r="C355" s="11" t="s">
        <v>373</v>
      </c>
      <c r="D355" s="1" t="s">
        <v>8</v>
      </c>
      <c r="E355" s="1" t="s">
        <v>20</v>
      </c>
      <c r="F355" s="1" t="str">
        <f aca="false">TEXT(B355,"mmm-yyyy")</f>
        <v>Dec-2024</v>
      </c>
    </row>
    <row r="356" customFormat="false" ht="57.75" hidden="false" customHeight="true" outlineLevel="0" collapsed="false">
      <c r="A356" s="1" t="n">
        <v>1</v>
      </c>
      <c r="B356" s="10" t="n">
        <v>45656</v>
      </c>
      <c r="C356" s="11" t="s">
        <v>374</v>
      </c>
      <c r="D356" s="1" t="s">
        <v>8</v>
      </c>
      <c r="E356" s="1" t="s">
        <v>20</v>
      </c>
      <c r="F356" s="1" t="str">
        <f aca="false">TEXT(B356,"mmm-yyyy")</f>
        <v>Dec-2024</v>
      </c>
    </row>
    <row r="357" customFormat="false" ht="115.5" hidden="false" customHeight="true" outlineLevel="0" collapsed="false">
      <c r="A357" s="1" t="n">
        <v>1</v>
      </c>
      <c r="B357" s="10" t="n">
        <v>45627</v>
      </c>
      <c r="C357" s="11" t="s">
        <v>375</v>
      </c>
      <c r="D357" s="1" t="s">
        <v>8</v>
      </c>
      <c r="E357" s="1" t="s">
        <v>20</v>
      </c>
      <c r="F357" s="1" t="str">
        <f aca="false">TEXT(B357,"mmm-yyyy")</f>
        <v>Dec-2024</v>
      </c>
    </row>
    <row r="358" customFormat="false" ht="115.5" hidden="false" customHeight="true" outlineLevel="0" collapsed="false">
      <c r="A358" s="1" t="n">
        <v>2</v>
      </c>
      <c r="B358" s="10" t="n">
        <v>45655</v>
      </c>
      <c r="C358" s="11" t="s">
        <v>376</v>
      </c>
      <c r="D358" s="1" t="s">
        <v>8</v>
      </c>
      <c r="E358" s="1" t="s">
        <v>20</v>
      </c>
      <c r="F358" s="1" t="str">
        <f aca="false">TEXT(B358,"mmm-yyyy")</f>
        <v>Dec-2024</v>
      </c>
    </row>
    <row r="359" customFormat="false" ht="130.5" hidden="false" customHeight="true" outlineLevel="0" collapsed="false">
      <c r="A359" s="1" t="n">
        <v>2</v>
      </c>
      <c r="B359" s="10" t="n">
        <v>45640</v>
      </c>
      <c r="C359" s="11" t="s">
        <v>377</v>
      </c>
      <c r="D359" s="1" t="s">
        <v>8</v>
      </c>
      <c r="E359" s="1" t="s">
        <v>20</v>
      </c>
      <c r="F359" s="1" t="str">
        <f aca="false">TEXT(B359,"mmm-yyyy")</f>
        <v>Dec-2024</v>
      </c>
    </row>
    <row r="360" customFormat="false" ht="72" hidden="false" customHeight="true" outlineLevel="0" collapsed="false">
      <c r="A360" s="1" t="n">
        <v>4</v>
      </c>
      <c r="B360" s="10" t="n">
        <v>45645</v>
      </c>
      <c r="C360" s="11" t="s">
        <v>378</v>
      </c>
      <c r="D360" s="1" t="s">
        <v>8</v>
      </c>
      <c r="E360" s="1" t="s">
        <v>18</v>
      </c>
      <c r="F360" s="1" t="str">
        <f aca="false">TEXT(B360,"mmm-yyyy")</f>
        <v>Dec-2024</v>
      </c>
    </row>
    <row r="361" customFormat="false" ht="101.25" hidden="false" customHeight="true" outlineLevel="0" collapsed="false">
      <c r="A361" s="1" t="n">
        <v>1</v>
      </c>
      <c r="B361" s="10" t="n">
        <v>45633</v>
      </c>
      <c r="C361" s="11" t="s">
        <v>379</v>
      </c>
      <c r="D361" s="1" t="s">
        <v>8</v>
      </c>
      <c r="E361" s="1" t="s">
        <v>20</v>
      </c>
      <c r="F361" s="1" t="str">
        <f aca="false">TEXT(B361,"mmm-yyyy")</f>
        <v>Dec-2024</v>
      </c>
    </row>
    <row r="362" customFormat="false" ht="57.75" hidden="false" customHeight="true" outlineLevel="0" collapsed="false">
      <c r="A362" s="1" t="n">
        <v>1</v>
      </c>
      <c r="B362" s="10" t="n">
        <v>45620</v>
      </c>
      <c r="C362" s="11" t="s">
        <v>380</v>
      </c>
      <c r="D362" s="1" t="s">
        <v>8</v>
      </c>
      <c r="E362" s="1" t="s">
        <v>20</v>
      </c>
      <c r="F362" s="1" t="str">
        <f aca="false">TEXT(B362,"mmm-yyyy")</f>
        <v>Nov-2024</v>
      </c>
    </row>
    <row r="363" customFormat="false" ht="72" hidden="false" customHeight="true" outlineLevel="0" collapsed="false">
      <c r="A363" s="1" t="n">
        <v>5</v>
      </c>
      <c r="B363" s="10" t="n">
        <v>45645</v>
      </c>
      <c r="C363" s="11" t="s">
        <v>381</v>
      </c>
      <c r="D363" s="1" t="s">
        <v>8</v>
      </c>
      <c r="E363" s="1" t="s">
        <v>18</v>
      </c>
      <c r="F363" s="1" t="str">
        <f aca="false">TEXT(B363,"mmm-yyyy")</f>
        <v>Dec-2024</v>
      </c>
    </row>
    <row r="364" customFormat="false" ht="87" hidden="false" customHeight="true" outlineLevel="0" collapsed="false">
      <c r="A364" s="1" t="n">
        <v>5</v>
      </c>
      <c r="B364" s="10" t="n">
        <v>45634</v>
      </c>
      <c r="C364" s="11" t="s">
        <v>382</v>
      </c>
      <c r="D364" s="1" t="s">
        <v>8</v>
      </c>
      <c r="E364" s="1" t="s">
        <v>18</v>
      </c>
      <c r="F364" s="1" t="str">
        <f aca="false">TEXT(B364,"mmm-yyyy")</f>
        <v>Dec-2024</v>
      </c>
    </row>
    <row r="365" customFormat="false" ht="72" hidden="false" customHeight="true" outlineLevel="0" collapsed="false">
      <c r="A365" s="1" t="n">
        <v>3</v>
      </c>
      <c r="B365" s="10" t="n">
        <v>45589</v>
      </c>
      <c r="C365" s="11" t="s">
        <v>383</v>
      </c>
      <c r="D365" s="1" t="s">
        <v>8</v>
      </c>
      <c r="E365" s="1" t="s">
        <v>18</v>
      </c>
      <c r="F365" s="1" t="str">
        <f aca="false">TEXT(B365,"mmm-yyyy")</f>
        <v>Oct-2024</v>
      </c>
    </row>
    <row r="366" customFormat="false" ht="101.25" hidden="false" customHeight="true" outlineLevel="0" collapsed="false">
      <c r="A366" s="1" t="n">
        <v>1</v>
      </c>
      <c r="B366" s="10" t="n">
        <v>45596</v>
      </c>
      <c r="C366" s="11" t="s">
        <v>384</v>
      </c>
      <c r="D366" s="1" t="s">
        <v>8</v>
      </c>
      <c r="E366" s="1" t="s">
        <v>20</v>
      </c>
      <c r="F366" s="1" t="str">
        <f aca="false">TEXT(B366,"mmm-yyyy")</f>
        <v>Oct-2024</v>
      </c>
    </row>
    <row r="367" customFormat="false" ht="57.75" hidden="false" customHeight="true" outlineLevel="0" collapsed="false">
      <c r="A367" s="1" t="n">
        <v>1</v>
      </c>
      <c r="B367" s="10" t="n">
        <v>45613</v>
      </c>
      <c r="C367" s="11" t="s">
        <v>385</v>
      </c>
      <c r="D367" s="1" t="s">
        <v>8</v>
      </c>
      <c r="E367" s="1" t="s">
        <v>20</v>
      </c>
      <c r="F367" s="1" t="str">
        <f aca="false">TEXT(B367,"mmm-yyyy")</f>
        <v>Nov-2024</v>
      </c>
    </row>
    <row r="368" customFormat="false" ht="72" hidden="false" customHeight="true" outlineLevel="0" collapsed="false">
      <c r="A368" s="1" t="n">
        <v>1</v>
      </c>
      <c r="B368" s="10" t="n">
        <v>45585</v>
      </c>
      <c r="C368" s="11" t="s">
        <v>386</v>
      </c>
      <c r="D368" s="1" t="s">
        <v>8</v>
      </c>
      <c r="E368" s="1" t="s">
        <v>32</v>
      </c>
      <c r="F368" s="1" t="str">
        <f aca="false">TEXT(B368,"mmm-yyyy")</f>
        <v>Oct-2024</v>
      </c>
    </row>
    <row r="369" customFormat="false" ht="57.75" hidden="false" customHeight="true" outlineLevel="0" collapsed="false">
      <c r="A369" s="1" t="n">
        <v>1</v>
      </c>
      <c r="B369" s="10" t="n">
        <v>45590</v>
      </c>
      <c r="C369" s="11" t="s">
        <v>387</v>
      </c>
      <c r="D369" s="1" t="s">
        <v>8</v>
      </c>
      <c r="E369" s="1" t="s">
        <v>20</v>
      </c>
      <c r="F369" s="1" t="str">
        <f aca="false">TEXT(B369,"mmm-yyyy")</f>
        <v>Oct-2024</v>
      </c>
    </row>
    <row r="370" customFormat="false" ht="130.5" hidden="false" customHeight="true" outlineLevel="0" collapsed="false">
      <c r="A370" s="1" t="n">
        <v>5</v>
      </c>
      <c r="B370" s="10" t="n">
        <v>45576</v>
      </c>
      <c r="C370" s="11" t="s">
        <v>388</v>
      </c>
      <c r="D370" s="1" t="s">
        <v>8</v>
      </c>
      <c r="E370" s="1" t="s">
        <v>18</v>
      </c>
      <c r="F370" s="1" t="str">
        <f aca="false">TEXT(B370,"mmm-yyyy")</f>
        <v>Oct-2024</v>
      </c>
    </row>
    <row r="371" customFormat="false" ht="87" hidden="false" customHeight="true" outlineLevel="0" collapsed="false">
      <c r="A371" s="1" t="n">
        <v>4</v>
      </c>
      <c r="B371" s="10" t="n">
        <v>45579</v>
      </c>
      <c r="C371" s="11" t="s">
        <v>389</v>
      </c>
      <c r="D371" s="1" t="s">
        <v>8</v>
      </c>
      <c r="E371" s="1" t="s">
        <v>18</v>
      </c>
      <c r="F371" s="1" t="str">
        <f aca="false">TEXT(B371,"mmm-yyyy")</f>
        <v>Oct-2024</v>
      </c>
    </row>
    <row r="372" customFormat="false" ht="87" hidden="false" customHeight="true" outlineLevel="0" collapsed="false">
      <c r="A372" s="1" t="n">
        <v>5</v>
      </c>
      <c r="B372" s="10" t="n">
        <v>45616</v>
      </c>
      <c r="C372" s="11" t="s">
        <v>390</v>
      </c>
      <c r="D372" s="1" t="s">
        <v>8</v>
      </c>
      <c r="E372" s="1" t="s">
        <v>18</v>
      </c>
      <c r="F372" s="1" t="str">
        <f aca="false">TEXT(B372,"mmm-yyyy")</f>
        <v>Nov-2024</v>
      </c>
    </row>
    <row r="373" customFormat="false" ht="72" hidden="false" customHeight="true" outlineLevel="0" collapsed="false">
      <c r="A373" s="1" t="n">
        <v>1</v>
      </c>
      <c r="B373" s="10" t="n">
        <v>45652</v>
      </c>
      <c r="C373" s="11" t="s">
        <v>391</v>
      </c>
      <c r="D373" s="1" t="s">
        <v>8</v>
      </c>
      <c r="E373" s="1" t="s">
        <v>20</v>
      </c>
      <c r="F373" s="1" t="str">
        <f aca="false">TEXT(B373,"mmm-yyyy")</f>
        <v>Dec-2024</v>
      </c>
    </row>
    <row r="374" customFormat="false" ht="174" hidden="false" customHeight="true" outlineLevel="0" collapsed="false">
      <c r="A374" s="1" t="n">
        <v>1</v>
      </c>
      <c r="B374" s="10" t="n">
        <v>45609</v>
      </c>
      <c r="C374" s="11" t="s">
        <v>392</v>
      </c>
      <c r="D374" s="1" t="s">
        <v>8</v>
      </c>
      <c r="E374" s="1" t="s">
        <v>18</v>
      </c>
      <c r="F374" s="1" t="str">
        <f aca="false">TEXT(B374,"mmm-yyyy")</f>
        <v>Nov-2024</v>
      </c>
    </row>
    <row r="375" customFormat="false" ht="115.5" hidden="false" customHeight="true" outlineLevel="0" collapsed="false">
      <c r="A375" s="1" t="n">
        <v>1</v>
      </c>
      <c r="B375" s="10" t="n">
        <v>45584</v>
      </c>
      <c r="C375" s="11" t="s">
        <v>393</v>
      </c>
      <c r="D375" s="1" t="s">
        <v>8</v>
      </c>
      <c r="E375" s="1" t="s">
        <v>18</v>
      </c>
      <c r="F375" s="1" t="str">
        <f aca="false">TEXT(B375,"mmm-yyyy")</f>
        <v>Oct-2024</v>
      </c>
    </row>
    <row r="376" customFormat="false" ht="144.75" hidden="false" customHeight="true" outlineLevel="0" collapsed="false">
      <c r="A376" s="1" t="n">
        <v>1</v>
      </c>
      <c r="B376" s="10" t="n">
        <v>45603</v>
      </c>
      <c r="C376" s="11" t="s">
        <v>394</v>
      </c>
      <c r="D376" s="1" t="s">
        <v>8</v>
      </c>
      <c r="E376" s="1" t="s">
        <v>18</v>
      </c>
      <c r="F376" s="1" t="str">
        <f aca="false">TEXT(B376,"mmm-yyyy")</f>
        <v>Nov-2024</v>
      </c>
    </row>
    <row r="377" customFormat="false" ht="144.75" hidden="false" customHeight="true" outlineLevel="0" collapsed="false">
      <c r="A377" s="1" t="n">
        <v>1</v>
      </c>
      <c r="B377" s="10" t="n">
        <v>45599</v>
      </c>
      <c r="C377" s="11" t="s">
        <v>395</v>
      </c>
      <c r="D377" s="1" t="s">
        <v>8</v>
      </c>
      <c r="E377" s="1" t="s">
        <v>20</v>
      </c>
      <c r="F377" s="1" t="str">
        <f aca="false">TEXT(B377,"mmm-yyyy")</f>
        <v>Nov-2024</v>
      </c>
    </row>
    <row r="378" customFormat="false" ht="115.5" hidden="false" customHeight="true" outlineLevel="0" collapsed="false">
      <c r="A378" s="1" t="n">
        <v>1</v>
      </c>
      <c r="B378" s="10" t="n">
        <v>45641</v>
      </c>
      <c r="C378" s="11" t="s">
        <v>396</v>
      </c>
      <c r="D378" s="1" t="s">
        <v>8</v>
      </c>
      <c r="E378" s="1" t="s">
        <v>20</v>
      </c>
      <c r="F378" s="1" t="str">
        <f aca="false">TEXT(B378,"mmm-yyyy")</f>
        <v>Dec-2024</v>
      </c>
    </row>
    <row r="379" customFormat="false" ht="72" hidden="false" customHeight="true" outlineLevel="0" collapsed="false">
      <c r="A379" s="1" t="n">
        <v>1</v>
      </c>
      <c r="B379" s="10" t="n">
        <v>45586</v>
      </c>
      <c r="C379" s="11" t="s">
        <v>397</v>
      </c>
      <c r="D379" s="1" t="s">
        <v>8</v>
      </c>
      <c r="E379" s="1" t="s">
        <v>20</v>
      </c>
      <c r="F379" s="1" t="str">
        <f aca="false">TEXT(B379,"mmm-yyyy")</f>
        <v>Oct-2024</v>
      </c>
    </row>
    <row r="380" customFormat="false" ht="87" hidden="false" customHeight="true" outlineLevel="0" collapsed="false">
      <c r="A380" s="1" t="n">
        <v>4</v>
      </c>
      <c r="B380" s="10" t="n">
        <v>45598</v>
      </c>
      <c r="C380" s="11" t="s">
        <v>398</v>
      </c>
      <c r="D380" s="1" t="s">
        <v>8</v>
      </c>
      <c r="E380" s="1" t="s">
        <v>18</v>
      </c>
      <c r="F380" s="1" t="str">
        <f aca="false">TEXT(B380,"mmm-yyyy")</f>
        <v>Nov-2024</v>
      </c>
    </row>
    <row r="381" customFormat="false" ht="115.5" hidden="false" customHeight="true" outlineLevel="0" collapsed="false">
      <c r="A381" s="1" t="n">
        <v>1</v>
      </c>
      <c r="B381" s="10" t="n">
        <v>45586</v>
      </c>
      <c r="C381" s="11" t="s">
        <v>399</v>
      </c>
      <c r="D381" s="1" t="s">
        <v>8</v>
      </c>
      <c r="E381" s="1" t="s">
        <v>18</v>
      </c>
      <c r="F381" s="1" t="str">
        <f aca="false">TEXT(B381,"mmm-yyyy")</f>
        <v>Oct-2024</v>
      </c>
    </row>
    <row r="382" customFormat="false" ht="72" hidden="false" customHeight="true" outlineLevel="0" collapsed="false">
      <c r="A382" s="1" t="n">
        <v>1</v>
      </c>
      <c r="B382" s="10" t="n">
        <v>45637</v>
      </c>
      <c r="C382" s="11" t="s">
        <v>400</v>
      </c>
      <c r="D382" s="1" t="s">
        <v>8</v>
      </c>
      <c r="E382" s="1" t="s">
        <v>20</v>
      </c>
      <c r="F382" s="1" t="str">
        <f aca="false">TEXT(B382,"mmm-yyyy")</f>
        <v>Dec-2024</v>
      </c>
    </row>
    <row r="383" customFormat="false" ht="87" hidden="false" customHeight="true" outlineLevel="0" collapsed="false">
      <c r="A383" s="1" t="n">
        <v>1</v>
      </c>
      <c r="B383" s="10" t="n">
        <v>45641</v>
      </c>
      <c r="C383" s="11" t="s">
        <v>401</v>
      </c>
      <c r="D383" s="1" t="s">
        <v>8</v>
      </c>
      <c r="E383" s="1" t="s">
        <v>20</v>
      </c>
      <c r="F383" s="1" t="str">
        <f aca="false">TEXT(B383,"mmm-yyyy")</f>
        <v>Dec-2024</v>
      </c>
    </row>
    <row r="384" customFormat="false" ht="72" hidden="false" customHeight="true" outlineLevel="0" collapsed="false">
      <c r="A384" s="1" t="n">
        <v>1</v>
      </c>
      <c r="B384" s="10" t="n">
        <v>45638</v>
      </c>
      <c r="C384" s="11" t="s">
        <v>402</v>
      </c>
      <c r="D384" s="1" t="s">
        <v>8</v>
      </c>
      <c r="E384" s="1" t="s">
        <v>20</v>
      </c>
      <c r="F384" s="1" t="str">
        <f aca="false">TEXT(B384,"mmm-yyyy")</f>
        <v>Dec-2024</v>
      </c>
    </row>
    <row r="385" customFormat="false" ht="72" hidden="false" customHeight="true" outlineLevel="0" collapsed="false">
      <c r="A385" s="1" t="n">
        <v>4</v>
      </c>
      <c r="B385" s="10" t="n">
        <v>45595</v>
      </c>
      <c r="C385" s="11" t="s">
        <v>403</v>
      </c>
      <c r="D385" s="1" t="s">
        <v>8</v>
      </c>
      <c r="E385" s="1" t="s">
        <v>18</v>
      </c>
      <c r="F385" s="1" t="str">
        <f aca="false">TEXT(B385,"mmm-yyyy")</f>
        <v>Oct-2024</v>
      </c>
    </row>
    <row r="386" customFormat="false" ht="144.75" hidden="false" customHeight="true" outlineLevel="0" collapsed="false">
      <c r="A386" s="1" t="n">
        <v>1</v>
      </c>
      <c r="B386" s="10" t="n">
        <v>45640</v>
      </c>
      <c r="C386" s="11" t="s">
        <v>404</v>
      </c>
      <c r="D386" s="1" t="s">
        <v>8</v>
      </c>
      <c r="E386" s="1" t="s">
        <v>18</v>
      </c>
      <c r="F386" s="1" t="str">
        <f aca="false">TEXT(B386,"mmm-yyyy")</f>
        <v>Dec-2024</v>
      </c>
    </row>
    <row r="387" customFormat="false" ht="87" hidden="false" customHeight="true" outlineLevel="0" collapsed="false">
      <c r="A387" s="1" t="n">
        <v>2</v>
      </c>
      <c r="B387" s="10" t="n">
        <v>45612</v>
      </c>
      <c r="C387" s="11" t="s">
        <v>405</v>
      </c>
      <c r="D387" s="1" t="s">
        <v>8</v>
      </c>
      <c r="E387" s="1" t="s">
        <v>20</v>
      </c>
      <c r="F387" s="1" t="str">
        <f aca="false">TEXT(B387,"mmm-yyyy")</f>
        <v>Nov-2024</v>
      </c>
    </row>
    <row r="388" customFormat="false" ht="72" hidden="false" customHeight="true" outlineLevel="0" collapsed="false">
      <c r="A388" s="1" t="n">
        <v>1</v>
      </c>
      <c r="B388" s="10" t="n">
        <v>45650</v>
      </c>
      <c r="C388" s="11" t="s">
        <v>406</v>
      </c>
      <c r="D388" s="1" t="s">
        <v>8</v>
      </c>
      <c r="E388" s="1" t="s">
        <v>20</v>
      </c>
      <c r="F388" s="1" t="str">
        <f aca="false">TEXT(B388,"mmm-yyyy")</f>
        <v>Dec-2024</v>
      </c>
    </row>
    <row r="389" customFormat="false" ht="115.5" hidden="false" customHeight="true" outlineLevel="0" collapsed="false">
      <c r="A389" s="1" t="n">
        <v>1</v>
      </c>
      <c r="B389" s="10" t="n">
        <v>45591</v>
      </c>
      <c r="C389" s="11" t="s">
        <v>407</v>
      </c>
      <c r="D389" s="1" t="s">
        <v>8</v>
      </c>
      <c r="E389" s="1" t="s">
        <v>20</v>
      </c>
      <c r="F389" s="1" t="str">
        <f aca="false">TEXT(B389,"mmm-yyyy")</f>
        <v>Oct-2024</v>
      </c>
    </row>
    <row r="390" customFormat="false" ht="87" hidden="false" customHeight="true" outlineLevel="0" collapsed="false">
      <c r="A390" s="1" t="n">
        <v>1</v>
      </c>
      <c r="B390" s="10" t="n">
        <v>45629</v>
      </c>
      <c r="C390" s="11" t="s">
        <v>408</v>
      </c>
      <c r="D390" s="1" t="s">
        <v>8</v>
      </c>
      <c r="E390" s="1" t="s">
        <v>18</v>
      </c>
      <c r="F390" s="1" t="str">
        <f aca="false">TEXT(B390,"mmm-yyyy")</f>
        <v>Dec-2024</v>
      </c>
    </row>
    <row r="391" customFormat="false" ht="57.75" hidden="false" customHeight="true" outlineLevel="0" collapsed="false">
      <c r="A391" s="1" t="n">
        <v>5</v>
      </c>
      <c r="B391" s="10" t="n">
        <v>45594</v>
      </c>
      <c r="C391" s="11" t="s">
        <v>409</v>
      </c>
      <c r="D391" s="1" t="s">
        <v>8</v>
      </c>
      <c r="E391" s="1" t="s">
        <v>18</v>
      </c>
      <c r="F391" s="1" t="str">
        <f aca="false">TEXT(B391,"mmm-yyyy")</f>
        <v>Oct-2024</v>
      </c>
    </row>
    <row r="392" customFormat="false" ht="43.5" hidden="false" customHeight="true" outlineLevel="0" collapsed="false">
      <c r="A392" s="1" t="n">
        <v>5</v>
      </c>
      <c r="B392" s="10" t="n">
        <v>45654</v>
      </c>
      <c r="C392" s="11" t="s">
        <v>410</v>
      </c>
      <c r="D392" s="1" t="s">
        <v>8</v>
      </c>
      <c r="E392" s="1" t="s">
        <v>18</v>
      </c>
      <c r="F392" s="1" t="str">
        <f aca="false">TEXT(B392,"mmm-yyyy")</f>
        <v>Dec-2024</v>
      </c>
    </row>
    <row r="393" customFormat="false" ht="57.75" hidden="false" customHeight="true" outlineLevel="0" collapsed="false">
      <c r="A393" s="1" t="n">
        <v>5</v>
      </c>
      <c r="B393" s="10" t="n">
        <v>45650</v>
      </c>
      <c r="C393" s="11" t="s">
        <v>411</v>
      </c>
      <c r="D393" s="1" t="s">
        <v>8</v>
      </c>
      <c r="E393" s="1" t="s">
        <v>18</v>
      </c>
      <c r="F393" s="1" t="str">
        <f aca="false">TEXT(B393,"mmm-yyyy")</f>
        <v>Dec-2024</v>
      </c>
    </row>
    <row r="394" customFormat="false" ht="72" hidden="false" customHeight="true" outlineLevel="0" collapsed="false">
      <c r="A394" s="1" t="n">
        <v>5</v>
      </c>
      <c r="B394" s="10" t="n">
        <v>45595</v>
      </c>
      <c r="C394" s="11" t="s">
        <v>412</v>
      </c>
      <c r="D394" s="1" t="s">
        <v>8</v>
      </c>
      <c r="E394" s="1" t="s">
        <v>18</v>
      </c>
      <c r="F394" s="1" t="str">
        <f aca="false">TEXT(B394,"mmm-yyyy")</f>
        <v>Oct-2024</v>
      </c>
    </row>
    <row r="395" customFormat="false" ht="57.75" hidden="false" customHeight="true" outlineLevel="0" collapsed="false">
      <c r="A395" s="1" t="n">
        <v>3</v>
      </c>
      <c r="B395" s="10" t="n">
        <v>45609</v>
      </c>
      <c r="C395" s="11" t="s">
        <v>413</v>
      </c>
      <c r="D395" s="1" t="s">
        <v>8</v>
      </c>
      <c r="E395" s="1" t="s">
        <v>20</v>
      </c>
      <c r="F395" s="1" t="str">
        <f aca="false">TEXT(B395,"mmm-yyyy")</f>
        <v>Nov-2024</v>
      </c>
    </row>
    <row r="396" customFormat="false" ht="115.5" hidden="false" customHeight="true" outlineLevel="0" collapsed="false">
      <c r="A396" s="1" t="n">
        <v>1</v>
      </c>
      <c r="B396" s="10" t="n">
        <v>45599</v>
      </c>
      <c r="C396" s="11" t="s">
        <v>414</v>
      </c>
      <c r="D396" s="1" t="s">
        <v>8</v>
      </c>
      <c r="E396" s="1" t="s">
        <v>20</v>
      </c>
      <c r="F396" s="1" t="str">
        <f aca="false">TEXT(B396,"mmm-yyyy")</f>
        <v>Nov-2024</v>
      </c>
    </row>
    <row r="397" customFormat="false" ht="72" hidden="false" customHeight="true" outlineLevel="0" collapsed="false">
      <c r="A397" s="1" t="n">
        <v>1</v>
      </c>
      <c r="B397" s="10" t="n">
        <v>45650</v>
      </c>
      <c r="C397" s="11" t="s">
        <v>415</v>
      </c>
      <c r="D397" s="1" t="s">
        <v>8</v>
      </c>
      <c r="E397" s="1" t="s">
        <v>20</v>
      </c>
      <c r="F397" s="1" t="str">
        <f aca="false">TEXT(B397,"mmm-yyyy")</f>
        <v>Dec-2024</v>
      </c>
    </row>
    <row r="398" customFormat="false" ht="57.75" hidden="false" customHeight="true" outlineLevel="0" collapsed="false">
      <c r="A398" s="1" t="n">
        <v>1</v>
      </c>
      <c r="B398" s="10" t="n">
        <v>45651</v>
      </c>
      <c r="C398" s="11" t="s">
        <v>416</v>
      </c>
      <c r="D398" s="1" t="s">
        <v>8</v>
      </c>
      <c r="E398" s="1" t="s">
        <v>20</v>
      </c>
      <c r="F398" s="1" t="str">
        <f aca="false">TEXT(B398,"mmm-yyyy")</f>
        <v>Dec-2024</v>
      </c>
    </row>
    <row r="399" customFormat="false" ht="72" hidden="false" customHeight="true" outlineLevel="0" collapsed="false">
      <c r="A399" s="1" t="n">
        <v>1</v>
      </c>
      <c r="B399" s="10" t="n">
        <v>45646</v>
      </c>
      <c r="C399" s="11" t="s">
        <v>417</v>
      </c>
      <c r="D399" s="1" t="s">
        <v>8</v>
      </c>
      <c r="E399" s="1" t="s">
        <v>20</v>
      </c>
      <c r="F399" s="1" t="str">
        <f aca="false">TEXT(B399,"mmm-yyyy")</f>
        <v>Dec-2024</v>
      </c>
    </row>
    <row r="400" customFormat="false" ht="87" hidden="false" customHeight="true" outlineLevel="0" collapsed="false">
      <c r="A400" s="1" t="n">
        <v>5</v>
      </c>
      <c r="B400" s="10" t="n">
        <v>45634</v>
      </c>
      <c r="C400" s="11" t="s">
        <v>418</v>
      </c>
      <c r="D400" s="1" t="s">
        <v>8</v>
      </c>
      <c r="E400" s="1" t="s">
        <v>18</v>
      </c>
      <c r="F400" s="1" t="str">
        <f aca="false">TEXT(B400,"mmm-yyyy")</f>
        <v>Dec-2024</v>
      </c>
    </row>
    <row r="401" customFormat="false" ht="101.25" hidden="false" customHeight="true" outlineLevel="0" collapsed="false">
      <c r="A401" s="1" t="n">
        <v>1</v>
      </c>
      <c r="B401" s="10" t="n">
        <v>45584</v>
      </c>
      <c r="C401" s="11" t="s">
        <v>419</v>
      </c>
      <c r="D401" s="1" t="s">
        <v>8</v>
      </c>
      <c r="E401" s="1" t="s">
        <v>20</v>
      </c>
      <c r="F401" s="1" t="str">
        <f aca="false">TEXT(B401,"mmm-yyyy")</f>
        <v>Oct-2024</v>
      </c>
    </row>
    <row r="402" customFormat="false" ht="57.75" hidden="false" customHeight="true" outlineLevel="0" collapsed="false">
      <c r="A402" s="1" t="n">
        <v>5</v>
      </c>
      <c r="B402" s="10" t="n">
        <v>45650</v>
      </c>
      <c r="C402" s="11" t="s">
        <v>420</v>
      </c>
      <c r="D402" s="1" t="s">
        <v>8</v>
      </c>
      <c r="E402" s="1" t="s">
        <v>18</v>
      </c>
      <c r="F402" s="1" t="str">
        <f aca="false">TEXT(B402,"mmm-yyyy")</f>
        <v>Dec-2024</v>
      </c>
    </row>
    <row r="403" customFormat="false" ht="72" hidden="false" customHeight="true" outlineLevel="0" collapsed="false">
      <c r="A403" s="1" t="n">
        <v>1</v>
      </c>
      <c r="B403" s="10" t="n">
        <v>45652</v>
      </c>
      <c r="C403" s="11" t="s">
        <v>421</v>
      </c>
      <c r="D403" s="1" t="s">
        <v>8</v>
      </c>
      <c r="E403" s="1" t="s">
        <v>18</v>
      </c>
      <c r="F403" s="1" t="str">
        <f aca="false">TEXT(B403,"mmm-yyyy")</f>
        <v>Dec-2024</v>
      </c>
    </row>
    <row r="404" customFormat="false" ht="72" hidden="false" customHeight="true" outlineLevel="0" collapsed="false">
      <c r="A404" s="1" t="n">
        <v>5</v>
      </c>
      <c r="B404" s="10" t="n">
        <v>45637</v>
      </c>
      <c r="C404" s="11" t="s">
        <v>422</v>
      </c>
      <c r="D404" s="1" t="s">
        <v>8</v>
      </c>
      <c r="E404" s="1" t="s">
        <v>18</v>
      </c>
      <c r="F404" s="1" t="str">
        <f aca="false">TEXT(B404,"mmm-yyyy")</f>
        <v>Dec-2024</v>
      </c>
    </row>
    <row r="405" customFormat="false" ht="130.5" hidden="false" customHeight="true" outlineLevel="0" collapsed="false">
      <c r="A405" s="1" t="n">
        <v>1</v>
      </c>
      <c r="B405" s="10" t="n">
        <v>45601</v>
      </c>
      <c r="C405" s="11" t="s">
        <v>423</v>
      </c>
      <c r="D405" s="1" t="s">
        <v>8</v>
      </c>
      <c r="E405" s="1" t="s">
        <v>20</v>
      </c>
      <c r="F405" s="1" t="str">
        <f aca="false">TEXT(B405,"mmm-yyyy")</f>
        <v>Nov-2024</v>
      </c>
    </row>
    <row r="406" customFormat="false" ht="72" hidden="false" customHeight="true" outlineLevel="0" collapsed="false">
      <c r="A406" s="1" t="n">
        <v>1</v>
      </c>
      <c r="B406" s="10" t="n">
        <v>45594</v>
      </c>
      <c r="C406" s="11" t="s">
        <v>424</v>
      </c>
      <c r="D406" s="1" t="s">
        <v>8</v>
      </c>
      <c r="E406" s="1" t="s">
        <v>20</v>
      </c>
      <c r="F406" s="1" t="str">
        <f aca="false">TEXT(B406,"mmm-yyyy")</f>
        <v>Oct-2024</v>
      </c>
    </row>
    <row r="407" customFormat="false" ht="72" hidden="false" customHeight="true" outlineLevel="0" collapsed="false">
      <c r="A407" s="1" t="n">
        <v>1</v>
      </c>
      <c r="B407" s="10" t="n">
        <v>45648</v>
      </c>
      <c r="C407" s="11" t="s">
        <v>425</v>
      </c>
      <c r="D407" s="1" t="s">
        <v>8</v>
      </c>
      <c r="E407" s="1" t="s">
        <v>20</v>
      </c>
      <c r="F407" s="1" t="str">
        <f aca="false">TEXT(B407,"mmm-yyyy")</f>
        <v>Dec-2024</v>
      </c>
    </row>
    <row r="408" customFormat="false" ht="57.75" hidden="false" customHeight="true" outlineLevel="0" collapsed="false">
      <c r="A408" s="1" t="n">
        <v>1</v>
      </c>
      <c r="B408" s="10" t="n">
        <v>45615</v>
      </c>
      <c r="C408" s="11" t="s">
        <v>426</v>
      </c>
      <c r="D408" s="1" t="s">
        <v>8</v>
      </c>
      <c r="E408" s="1" t="s">
        <v>20</v>
      </c>
      <c r="F408" s="1" t="str">
        <f aca="false">TEXT(B408,"mmm-yyyy")</f>
        <v>Nov-2024</v>
      </c>
    </row>
    <row r="409" customFormat="false" ht="72" hidden="false" customHeight="true" outlineLevel="0" collapsed="false">
      <c r="A409" s="1" t="n">
        <v>5</v>
      </c>
      <c r="B409" s="10" t="n">
        <v>45654</v>
      </c>
      <c r="C409" s="11" t="s">
        <v>427</v>
      </c>
      <c r="D409" s="1" t="s">
        <v>8</v>
      </c>
      <c r="E409" s="1" t="s">
        <v>18</v>
      </c>
      <c r="F409" s="1" t="str">
        <f aca="false">TEXT(B409,"mmm-yyyy")</f>
        <v>Dec-2024</v>
      </c>
    </row>
    <row r="410" customFormat="false" ht="72" hidden="false" customHeight="true" outlineLevel="0" collapsed="false">
      <c r="A410" s="1" t="n">
        <v>5</v>
      </c>
      <c r="B410" s="10" t="n">
        <v>45635</v>
      </c>
      <c r="C410" s="11" t="s">
        <v>428</v>
      </c>
      <c r="D410" s="1" t="s">
        <v>8</v>
      </c>
      <c r="E410" s="1" t="s">
        <v>18</v>
      </c>
      <c r="F410" s="1" t="str">
        <f aca="false">TEXT(B410,"mmm-yyyy")</f>
        <v>Dec-2024</v>
      </c>
    </row>
    <row r="411" customFormat="false" ht="130.5" hidden="false" customHeight="true" outlineLevel="0" collapsed="false">
      <c r="A411" s="1" t="n">
        <v>3</v>
      </c>
      <c r="B411" s="10" t="n">
        <v>45617</v>
      </c>
      <c r="C411" s="11" t="s">
        <v>429</v>
      </c>
      <c r="D411" s="1" t="s">
        <v>8</v>
      </c>
      <c r="E411" s="1" t="s">
        <v>20</v>
      </c>
      <c r="F411" s="1" t="str">
        <f aca="false">TEXT(B411,"mmm-yyyy")</f>
        <v>Nov-2024</v>
      </c>
    </row>
    <row r="412" customFormat="false" ht="101.25" hidden="false" customHeight="true" outlineLevel="0" collapsed="false">
      <c r="A412" s="1" t="n">
        <v>1</v>
      </c>
      <c r="B412" s="10" t="n">
        <v>45638</v>
      </c>
      <c r="C412" s="11" t="s">
        <v>430</v>
      </c>
      <c r="D412" s="1" t="s">
        <v>8</v>
      </c>
      <c r="E412" s="1" t="s">
        <v>20</v>
      </c>
      <c r="F412" s="1" t="str">
        <f aca="false">TEXT(B412,"mmm-yyyy")</f>
        <v>Dec-2024</v>
      </c>
    </row>
    <row r="413" customFormat="false" ht="144.75" hidden="false" customHeight="true" outlineLevel="0" collapsed="false">
      <c r="A413" s="1" t="n">
        <v>1</v>
      </c>
      <c r="B413" s="10" t="n">
        <v>45641</v>
      </c>
      <c r="C413" s="11" t="s">
        <v>431</v>
      </c>
      <c r="D413" s="1" t="s">
        <v>8</v>
      </c>
      <c r="E413" s="1" t="s">
        <v>18</v>
      </c>
      <c r="F413" s="1" t="str">
        <f aca="false">TEXT(B413,"mmm-yyyy")</f>
        <v>Dec-2024</v>
      </c>
    </row>
    <row r="414" customFormat="false" ht="72" hidden="false" customHeight="true" outlineLevel="0" collapsed="false">
      <c r="A414" s="1" t="n">
        <v>5</v>
      </c>
      <c r="B414" s="10" t="n">
        <v>45635</v>
      </c>
      <c r="C414" s="11" t="s">
        <v>432</v>
      </c>
      <c r="D414" s="1" t="s">
        <v>8</v>
      </c>
      <c r="E414" s="1" t="s">
        <v>18</v>
      </c>
      <c r="F414" s="1" t="str">
        <f aca="false">TEXT(B414,"mmm-yyyy")</f>
        <v>Dec-2024</v>
      </c>
    </row>
    <row r="415" customFormat="false" ht="87" hidden="false" customHeight="true" outlineLevel="0" collapsed="false">
      <c r="A415" s="1" t="n">
        <v>1</v>
      </c>
      <c r="B415" s="10" t="n">
        <v>45575</v>
      </c>
      <c r="C415" s="11" t="s">
        <v>433</v>
      </c>
      <c r="D415" s="1" t="s">
        <v>8</v>
      </c>
      <c r="E415" s="1" t="s">
        <v>20</v>
      </c>
      <c r="F415" s="1" t="str">
        <f aca="false">TEXT(B415,"mmm-yyyy")</f>
        <v>Oct-2024</v>
      </c>
    </row>
    <row r="416" customFormat="false" ht="87" hidden="false" customHeight="true" outlineLevel="0" collapsed="false">
      <c r="A416" s="1" t="n">
        <v>4</v>
      </c>
      <c r="B416" s="10" t="n">
        <v>45600</v>
      </c>
      <c r="C416" s="11" t="s">
        <v>434</v>
      </c>
      <c r="D416" s="1" t="s">
        <v>8</v>
      </c>
      <c r="E416" s="1" t="s">
        <v>18</v>
      </c>
      <c r="F416" s="1" t="str">
        <f aca="false">TEXT(B416,"mmm-yyyy")</f>
        <v>Nov-2024</v>
      </c>
    </row>
    <row r="417" customFormat="false" ht="101.25" hidden="false" customHeight="true" outlineLevel="0" collapsed="false">
      <c r="A417" s="1" t="n">
        <v>1</v>
      </c>
      <c r="B417" s="10" t="n">
        <v>45619</v>
      </c>
      <c r="C417" s="11" t="s">
        <v>435</v>
      </c>
      <c r="D417" s="1" t="s">
        <v>8</v>
      </c>
      <c r="E417" s="1" t="s">
        <v>20</v>
      </c>
      <c r="F417" s="1" t="str">
        <f aca="false">TEXT(B417,"mmm-yyyy")</f>
        <v>Nov-2024</v>
      </c>
    </row>
    <row r="418" customFormat="false" ht="72" hidden="false" customHeight="true" outlineLevel="0" collapsed="false">
      <c r="A418" s="1" t="n">
        <v>5</v>
      </c>
      <c r="B418" s="10" t="n">
        <v>45640</v>
      </c>
      <c r="C418" s="11" t="s">
        <v>436</v>
      </c>
      <c r="D418" s="1" t="s">
        <v>8</v>
      </c>
      <c r="E418" s="1" t="s">
        <v>18</v>
      </c>
      <c r="F418" s="1" t="str">
        <f aca="false">TEXT(B418,"mmm-yyyy")</f>
        <v>Dec-2024</v>
      </c>
    </row>
    <row r="419" customFormat="false" ht="115.5" hidden="false" customHeight="true" outlineLevel="0" collapsed="false">
      <c r="A419" s="1" t="n">
        <v>1</v>
      </c>
      <c r="B419" s="10" t="n">
        <v>45585</v>
      </c>
      <c r="C419" s="11" t="s">
        <v>437</v>
      </c>
      <c r="D419" s="1" t="s">
        <v>8</v>
      </c>
      <c r="E419" s="1" t="s">
        <v>18</v>
      </c>
      <c r="F419" s="1" t="str">
        <f aca="false">TEXT(B419,"mmm-yyyy")</f>
        <v>Oct-2024</v>
      </c>
    </row>
    <row r="420" customFormat="false" ht="72" hidden="false" customHeight="true" outlineLevel="0" collapsed="false">
      <c r="A420" s="1" t="n">
        <v>4</v>
      </c>
      <c r="B420" s="10" t="n">
        <v>45640</v>
      </c>
      <c r="C420" s="11" t="s">
        <v>438</v>
      </c>
      <c r="D420" s="1" t="s">
        <v>8</v>
      </c>
      <c r="E420" s="1" t="s">
        <v>18</v>
      </c>
      <c r="F420" s="1" t="str">
        <f aca="false">TEXT(B420,"mmm-yyyy")</f>
        <v>Dec-2024</v>
      </c>
    </row>
    <row r="421" customFormat="false" ht="72" hidden="false" customHeight="true" outlineLevel="0" collapsed="false">
      <c r="A421" s="1" t="n">
        <v>3</v>
      </c>
      <c r="B421" s="10" t="n">
        <v>45592</v>
      </c>
      <c r="C421" s="11" t="s">
        <v>439</v>
      </c>
      <c r="D421" s="1" t="s">
        <v>8</v>
      </c>
      <c r="E421" s="1" t="s">
        <v>18</v>
      </c>
      <c r="F421" s="1" t="str">
        <f aca="false">TEXT(B421,"mmm-yyyy")</f>
        <v>Oct-2024</v>
      </c>
    </row>
    <row r="422" customFormat="false" ht="72" hidden="false" customHeight="true" outlineLevel="0" collapsed="false">
      <c r="A422" s="1" t="n">
        <v>1</v>
      </c>
      <c r="B422" s="10" t="n">
        <v>45653</v>
      </c>
      <c r="C422" s="11" t="s">
        <v>440</v>
      </c>
      <c r="D422" s="1" t="s">
        <v>8</v>
      </c>
      <c r="E422" s="1" t="s">
        <v>20</v>
      </c>
      <c r="F422" s="1" t="str">
        <f aca="false">TEXT(B422,"mmm-yyyy")</f>
        <v>Dec-2024</v>
      </c>
    </row>
    <row r="423" customFormat="false" ht="43.5" hidden="false" customHeight="true" outlineLevel="0" collapsed="false">
      <c r="A423" s="1" t="n">
        <v>1</v>
      </c>
      <c r="B423" s="10" t="n">
        <v>45642</v>
      </c>
      <c r="C423" s="11" t="s">
        <v>441</v>
      </c>
      <c r="D423" s="1" t="s">
        <v>8</v>
      </c>
      <c r="E423" s="1" t="s">
        <v>20</v>
      </c>
      <c r="F423" s="1" t="str">
        <f aca="false">TEXT(B423,"mmm-yyyy")</f>
        <v>Dec-2024</v>
      </c>
    </row>
    <row r="424" customFormat="false" ht="57.75" hidden="false" customHeight="true" outlineLevel="0" collapsed="false">
      <c r="A424" s="1" t="n">
        <v>5</v>
      </c>
      <c r="B424" s="10" t="n">
        <v>45620</v>
      </c>
      <c r="C424" s="11" t="s">
        <v>442</v>
      </c>
      <c r="D424" s="1" t="s">
        <v>8</v>
      </c>
      <c r="E424" s="1" t="s">
        <v>18</v>
      </c>
      <c r="F424" s="1" t="str">
        <f aca="false">TEXT(B424,"mmm-yyyy")</f>
        <v>Nov-2024</v>
      </c>
    </row>
    <row r="425" customFormat="false" ht="57.75" hidden="false" customHeight="true" outlineLevel="0" collapsed="false">
      <c r="A425" s="1" t="n">
        <v>2</v>
      </c>
      <c r="B425" s="10" t="n">
        <v>45640</v>
      </c>
      <c r="C425" s="11" t="s">
        <v>443</v>
      </c>
      <c r="D425" s="1" t="s">
        <v>8</v>
      </c>
      <c r="E425" s="1" t="s">
        <v>20</v>
      </c>
      <c r="F425" s="1" t="str">
        <f aca="false">TEXT(B425,"mmm-yyyy")</f>
        <v>Dec-2024</v>
      </c>
    </row>
    <row r="426" customFormat="false" ht="87" hidden="false" customHeight="true" outlineLevel="0" collapsed="false">
      <c r="A426" s="1" t="n">
        <v>1</v>
      </c>
      <c r="B426" s="10" t="n">
        <v>45609</v>
      </c>
      <c r="C426" s="11" t="s">
        <v>444</v>
      </c>
      <c r="D426" s="1" t="s">
        <v>8</v>
      </c>
      <c r="E426" s="1" t="s">
        <v>20</v>
      </c>
      <c r="F426" s="1" t="str">
        <f aca="false">TEXT(B426,"mmm-yyyy")</f>
        <v>Nov-2024</v>
      </c>
    </row>
    <row r="427" customFormat="false" ht="87" hidden="false" customHeight="true" outlineLevel="0" collapsed="false">
      <c r="A427" s="1" t="n">
        <v>1</v>
      </c>
      <c r="B427" s="10" t="n">
        <v>45646</v>
      </c>
      <c r="C427" s="11" t="s">
        <v>445</v>
      </c>
      <c r="D427" s="1" t="s">
        <v>8</v>
      </c>
      <c r="E427" s="1" t="s">
        <v>20</v>
      </c>
      <c r="F427" s="1" t="str">
        <f aca="false">TEXT(B427,"mmm-yyyy")</f>
        <v>Dec-2024</v>
      </c>
    </row>
    <row r="428" customFormat="false" ht="72" hidden="false" customHeight="true" outlineLevel="0" collapsed="false">
      <c r="A428" s="1" t="n">
        <v>1</v>
      </c>
      <c r="B428" s="10" t="n">
        <v>45594</v>
      </c>
      <c r="C428" s="11" t="s">
        <v>446</v>
      </c>
      <c r="D428" s="1" t="s">
        <v>8</v>
      </c>
      <c r="E428" s="1" t="s">
        <v>20</v>
      </c>
      <c r="F428" s="1" t="str">
        <f aca="false">TEXT(B428,"mmm-yyyy")</f>
        <v>Oct-2024</v>
      </c>
    </row>
    <row r="429" customFormat="false" ht="57.75" hidden="false" customHeight="true" outlineLevel="0" collapsed="false">
      <c r="A429" s="1" t="n">
        <v>1</v>
      </c>
      <c r="B429" s="10" t="n">
        <v>45645</v>
      </c>
      <c r="C429" s="11" t="s">
        <v>447</v>
      </c>
      <c r="D429" s="1" t="s">
        <v>8</v>
      </c>
      <c r="E429" s="1" t="s">
        <v>20</v>
      </c>
      <c r="F429" s="1" t="str">
        <f aca="false">TEXT(B429,"mmm-yyyy")</f>
        <v>Dec-2024</v>
      </c>
    </row>
    <row r="430" customFormat="false" ht="57.75" hidden="false" customHeight="true" outlineLevel="0" collapsed="false">
      <c r="A430" s="1" t="n">
        <v>5</v>
      </c>
      <c r="B430" s="10" t="n">
        <v>45581</v>
      </c>
      <c r="C430" s="11" t="s">
        <v>448</v>
      </c>
      <c r="D430" s="1" t="s">
        <v>8</v>
      </c>
      <c r="E430" s="1" t="s">
        <v>18</v>
      </c>
      <c r="F430" s="1" t="str">
        <f aca="false">TEXT(B430,"mmm-yyyy")</f>
        <v>Oct-2024</v>
      </c>
    </row>
    <row r="431" customFormat="false" ht="115.5" hidden="false" customHeight="true" outlineLevel="0" collapsed="false">
      <c r="A431" s="1" t="n">
        <v>1</v>
      </c>
      <c r="B431" s="10" t="n">
        <v>45605</v>
      </c>
      <c r="C431" s="11" t="s">
        <v>449</v>
      </c>
      <c r="D431" s="1" t="s">
        <v>8</v>
      </c>
      <c r="E431" s="1" t="s">
        <v>18</v>
      </c>
      <c r="F431" s="1" t="str">
        <f aca="false">TEXT(B431,"mmm-yyyy")</f>
        <v>Nov-2024</v>
      </c>
    </row>
    <row r="432" customFormat="false" ht="57.75" hidden="false" customHeight="true" outlineLevel="0" collapsed="false">
      <c r="A432" s="1" t="n">
        <v>2</v>
      </c>
      <c r="B432" s="10" t="n">
        <v>45582</v>
      </c>
      <c r="C432" s="11" t="s">
        <v>450</v>
      </c>
      <c r="D432" s="1" t="s">
        <v>8</v>
      </c>
      <c r="E432" s="1" t="s">
        <v>20</v>
      </c>
      <c r="F432" s="1" t="str">
        <f aca="false">TEXT(B432,"mmm-yyyy")</f>
        <v>Oct-2024</v>
      </c>
    </row>
    <row r="433" customFormat="false" ht="72" hidden="false" customHeight="true" outlineLevel="0" collapsed="false">
      <c r="A433" s="1" t="n">
        <v>4</v>
      </c>
      <c r="B433" s="10" t="n">
        <v>45627</v>
      </c>
      <c r="C433" s="11" t="s">
        <v>451</v>
      </c>
      <c r="D433" s="1" t="s">
        <v>8</v>
      </c>
      <c r="E433" s="1" t="s">
        <v>18</v>
      </c>
      <c r="F433" s="1" t="str">
        <f aca="false">TEXT(B433,"mmm-yyyy")</f>
        <v>Dec-2024</v>
      </c>
    </row>
    <row r="434" customFormat="false" ht="57.75" hidden="false" customHeight="true" outlineLevel="0" collapsed="false">
      <c r="A434" s="1" t="n">
        <v>5</v>
      </c>
      <c r="B434" s="10" t="n">
        <v>45643</v>
      </c>
      <c r="C434" s="11" t="s">
        <v>452</v>
      </c>
      <c r="D434" s="1" t="s">
        <v>8</v>
      </c>
      <c r="E434" s="1" t="s">
        <v>18</v>
      </c>
      <c r="F434" s="1" t="str">
        <f aca="false">TEXT(B434,"mmm-yyyy")</f>
        <v>Dec-2024</v>
      </c>
    </row>
    <row r="435" customFormat="false" ht="57.75" hidden="false" customHeight="true" outlineLevel="0" collapsed="false">
      <c r="A435" s="1" t="n">
        <v>1</v>
      </c>
      <c r="B435" s="10" t="n">
        <v>45599</v>
      </c>
      <c r="C435" s="11" t="s">
        <v>453</v>
      </c>
      <c r="D435" s="1" t="s">
        <v>8</v>
      </c>
      <c r="E435" s="1" t="s">
        <v>20</v>
      </c>
      <c r="F435" s="1" t="str">
        <f aca="false">TEXT(B435,"mmm-yyyy")</f>
        <v>Nov-2024</v>
      </c>
    </row>
    <row r="436" customFormat="false" ht="115.5" hidden="false" customHeight="true" outlineLevel="0" collapsed="false">
      <c r="A436" s="1" t="n">
        <v>5</v>
      </c>
      <c r="B436" s="10" t="n">
        <v>45606</v>
      </c>
      <c r="C436" s="11" t="s">
        <v>454</v>
      </c>
      <c r="D436" s="1" t="s">
        <v>8</v>
      </c>
      <c r="E436" s="1" t="s">
        <v>18</v>
      </c>
      <c r="F436" s="1" t="str">
        <f aca="false">TEXT(B436,"mmm-yyyy")</f>
        <v>Nov-2024</v>
      </c>
    </row>
    <row r="437" customFormat="false" ht="115.5" hidden="false" customHeight="true" outlineLevel="0" collapsed="false">
      <c r="A437" s="1" t="n">
        <v>1</v>
      </c>
      <c r="B437" s="10" t="n">
        <v>45591</v>
      </c>
      <c r="C437" s="11" t="s">
        <v>455</v>
      </c>
      <c r="D437" s="1" t="s">
        <v>8</v>
      </c>
      <c r="E437" s="1" t="s">
        <v>20</v>
      </c>
      <c r="F437" s="1" t="str">
        <f aca="false">TEXT(B437,"mmm-yyyy")</f>
        <v>Oct-2024</v>
      </c>
    </row>
    <row r="438" customFormat="false" ht="115.5" hidden="false" customHeight="true" outlineLevel="0" collapsed="false">
      <c r="A438" s="1" t="n">
        <v>1</v>
      </c>
      <c r="B438" s="10" t="n">
        <v>45619</v>
      </c>
      <c r="C438" s="11" t="s">
        <v>456</v>
      </c>
      <c r="D438" s="1" t="s">
        <v>8</v>
      </c>
      <c r="E438" s="1" t="s">
        <v>18</v>
      </c>
      <c r="F438" s="1" t="str">
        <f aca="false">TEXT(B438,"mmm-yyyy")</f>
        <v>Nov-2024</v>
      </c>
    </row>
    <row r="439" customFormat="false" ht="87" hidden="false" customHeight="true" outlineLevel="0" collapsed="false">
      <c r="A439" s="1" t="n">
        <v>1</v>
      </c>
      <c r="B439" s="10" t="n">
        <v>45636</v>
      </c>
      <c r="C439" s="11" t="s">
        <v>457</v>
      </c>
      <c r="D439" s="1" t="s">
        <v>8</v>
      </c>
      <c r="E439" s="1" t="s">
        <v>20</v>
      </c>
      <c r="F439" s="1" t="str">
        <f aca="false">TEXT(B439,"mmm-yyyy")</f>
        <v>Dec-2024</v>
      </c>
    </row>
    <row r="440" customFormat="false" ht="144.75" hidden="false" customHeight="true" outlineLevel="0" collapsed="false">
      <c r="A440" s="1" t="n">
        <v>2</v>
      </c>
      <c r="B440" s="10" t="n">
        <v>45618</v>
      </c>
      <c r="C440" s="11" t="s">
        <v>458</v>
      </c>
      <c r="D440" s="1" t="s">
        <v>8</v>
      </c>
      <c r="E440" s="1" t="s">
        <v>20</v>
      </c>
      <c r="F440" s="1" t="str">
        <f aca="false">TEXT(B440,"mmm-yyyy")</f>
        <v>Nov-2024</v>
      </c>
    </row>
    <row r="441" customFormat="false" ht="72" hidden="false" customHeight="true" outlineLevel="0" collapsed="false">
      <c r="A441" s="1" t="n">
        <v>1</v>
      </c>
      <c r="B441" s="10" t="n">
        <v>45612</v>
      </c>
      <c r="C441" s="11" t="s">
        <v>459</v>
      </c>
      <c r="D441" s="1" t="s">
        <v>8</v>
      </c>
      <c r="E441" s="1" t="s">
        <v>20</v>
      </c>
      <c r="F441" s="1" t="str">
        <f aca="false">TEXT(B441,"mmm-yyyy")</f>
        <v>Nov-2024</v>
      </c>
    </row>
    <row r="442" customFormat="false" ht="57.75" hidden="false" customHeight="true" outlineLevel="0" collapsed="false">
      <c r="A442" s="1" t="n">
        <v>1</v>
      </c>
      <c r="B442" s="10" t="n">
        <v>45589</v>
      </c>
      <c r="C442" s="11" t="s">
        <v>460</v>
      </c>
      <c r="D442" s="1" t="s">
        <v>8</v>
      </c>
      <c r="E442" s="1" t="s">
        <v>20</v>
      </c>
      <c r="F442" s="1" t="str">
        <f aca="false">TEXT(B442,"mmm-yyyy")</f>
        <v>Oct-2024</v>
      </c>
    </row>
    <row r="443" customFormat="false" ht="87" hidden="false" customHeight="true" outlineLevel="0" collapsed="false">
      <c r="A443" s="1" t="n">
        <v>1</v>
      </c>
      <c r="B443" s="10" t="n">
        <v>45627</v>
      </c>
      <c r="C443" s="11" t="s">
        <v>461</v>
      </c>
      <c r="D443" s="1" t="s">
        <v>8</v>
      </c>
      <c r="E443" s="1" t="s">
        <v>20</v>
      </c>
      <c r="F443" s="1" t="str">
        <f aca="false">TEXT(B443,"mmm-yyyy")</f>
        <v>Dec-2024</v>
      </c>
    </row>
    <row r="444" customFormat="false" ht="57.75" hidden="false" customHeight="true" outlineLevel="0" collapsed="false">
      <c r="A444" s="1" t="n">
        <v>1</v>
      </c>
      <c r="B444" s="10" t="n">
        <v>45628</v>
      </c>
      <c r="C444" s="11" t="s">
        <v>462</v>
      </c>
      <c r="D444" s="1" t="s">
        <v>8</v>
      </c>
      <c r="E444" s="1" t="s">
        <v>20</v>
      </c>
      <c r="F444" s="1" t="str">
        <f aca="false">TEXT(B444,"mmm-yyyy")</f>
        <v>Dec-2024</v>
      </c>
    </row>
    <row r="445" customFormat="false" ht="87" hidden="false" customHeight="true" outlineLevel="0" collapsed="false">
      <c r="A445" s="1" t="n">
        <v>2</v>
      </c>
      <c r="B445" s="10" t="n">
        <v>45618</v>
      </c>
      <c r="C445" s="11" t="s">
        <v>463</v>
      </c>
      <c r="D445" s="1" t="s">
        <v>8</v>
      </c>
      <c r="E445" s="1" t="s">
        <v>20</v>
      </c>
      <c r="F445" s="1" t="str">
        <f aca="false">TEXT(B445,"mmm-yyyy")</f>
        <v>Nov-2024</v>
      </c>
    </row>
    <row r="446" customFormat="false" ht="57.75" hidden="false" customHeight="true" outlineLevel="0" collapsed="false">
      <c r="A446" s="1" t="n">
        <v>1</v>
      </c>
      <c r="B446" s="10" t="n">
        <v>45599</v>
      </c>
      <c r="C446" s="11" t="s">
        <v>464</v>
      </c>
      <c r="D446" s="1" t="s">
        <v>8</v>
      </c>
      <c r="E446" s="1" t="s">
        <v>20</v>
      </c>
      <c r="F446" s="1" t="str">
        <f aca="false">TEXT(B446,"mmm-yyyy")</f>
        <v>Nov-2024</v>
      </c>
    </row>
    <row r="447" customFormat="false" ht="57.75" hidden="false" customHeight="true" outlineLevel="0" collapsed="false">
      <c r="A447" s="1" t="n">
        <v>1</v>
      </c>
      <c r="B447" s="10" t="n">
        <v>45654</v>
      </c>
      <c r="C447" s="11" t="s">
        <v>465</v>
      </c>
      <c r="D447" s="1" t="s">
        <v>8</v>
      </c>
      <c r="E447" s="1" t="s">
        <v>20</v>
      </c>
      <c r="F447" s="1" t="str">
        <f aca="false">TEXT(B447,"mmm-yyyy")</f>
        <v>Dec-2024</v>
      </c>
    </row>
    <row r="448" customFormat="false" ht="101.25" hidden="false" customHeight="true" outlineLevel="0" collapsed="false">
      <c r="A448" s="1" t="n">
        <v>1</v>
      </c>
      <c r="B448" s="10" t="n">
        <v>45598</v>
      </c>
      <c r="C448" s="11" t="s">
        <v>466</v>
      </c>
      <c r="D448" s="1" t="s">
        <v>8</v>
      </c>
      <c r="E448" s="1" t="s">
        <v>32</v>
      </c>
      <c r="F448" s="1" t="str">
        <f aca="false">TEXT(B448,"mmm-yyyy")</f>
        <v>Nov-2024</v>
      </c>
    </row>
    <row r="449" customFormat="false" ht="115.5" hidden="false" customHeight="true" outlineLevel="0" collapsed="false">
      <c r="A449" s="1" t="n">
        <v>5</v>
      </c>
      <c r="B449" s="10" t="n">
        <v>45627</v>
      </c>
      <c r="C449" s="11" t="s">
        <v>467</v>
      </c>
      <c r="D449" s="1" t="s">
        <v>8</v>
      </c>
      <c r="E449" s="1" t="s">
        <v>18</v>
      </c>
      <c r="F449" s="1" t="str">
        <f aca="false">TEXT(B449,"mmm-yyyy")</f>
        <v>Dec-2024</v>
      </c>
    </row>
    <row r="450" customFormat="false" ht="87" hidden="false" customHeight="true" outlineLevel="0" collapsed="false">
      <c r="A450" s="1" t="n">
        <v>1</v>
      </c>
      <c r="B450" s="10" t="n">
        <v>45586</v>
      </c>
      <c r="C450" s="11" t="s">
        <v>468</v>
      </c>
      <c r="D450" s="1" t="s">
        <v>8</v>
      </c>
      <c r="E450" s="1" t="s">
        <v>20</v>
      </c>
      <c r="F450" s="1" t="str">
        <f aca="false">TEXT(B450,"mmm-yyyy")</f>
        <v>Oct-2024</v>
      </c>
    </row>
    <row r="451" customFormat="false" ht="72" hidden="false" customHeight="true" outlineLevel="0" collapsed="false">
      <c r="A451" s="1" t="n">
        <v>1</v>
      </c>
      <c r="B451" s="10" t="n">
        <v>45594</v>
      </c>
      <c r="C451" s="11" t="s">
        <v>469</v>
      </c>
      <c r="D451" s="1" t="s">
        <v>8</v>
      </c>
      <c r="E451" s="1" t="s">
        <v>20</v>
      </c>
      <c r="F451" s="1" t="str">
        <f aca="false">TEXT(B451,"mmm-yyyy")</f>
        <v>Oct-2024</v>
      </c>
    </row>
    <row r="452" customFormat="false" ht="130.5" hidden="false" customHeight="true" outlineLevel="0" collapsed="false">
      <c r="A452" s="1" t="n">
        <v>1</v>
      </c>
      <c r="B452" s="10" t="n">
        <v>45581</v>
      </c>
      <c r="C452" s="11" t="s">
        <v>470</v>
      </c>
      <c r="D452" s="1" t="s">
        <v>8</v>
      </c>
      <c r="E452" s="1" t="s">
        <v>20</v>
      </c>
      <c r="F452" s="1" t="str">
        <f aca="false">TEXT(B452,"mmm-yyyy")</f>
        <v>Oct-2024</v>
      </c>
    </row>
    <row r="453" customFormat="false" ht="87" hidden="false" customHeight="true" outlineLevel="0" collapsed="false">
      <c r="A453" s="1" t="n">
        <v>5</v>
      </c>
      <c r="B453" s="10" t="n">
        <v>45651</v>
      </c>
      <c r="C453" s="11" t="s">
        <v>471</v>
      </c>
      <c r="D453" s="1" t="s">
        <v>8</v>
      </c>
      <c r="E453" s="1" t="s">
        <v>20</v>
      </c>
      <c r="F453" s="1" t="str">
        <f aca="false">TEXT(B453,"mmm-yyyy")</f>
        <v>Dec-2024</v>
      </c>
    </row>
    <row r="454" customFormat="false" ht="87" hidden="false" customHeight="true" outlineLevel="0" collapsed="false">
      <c r="A454" s="1" t="n">
        <v>1</v>
      </c>
      <c r="B454" s="10" t="n">
        <v>45591</v>
      </c>
      <c r="C454" s="11" t="s">
        <v>472</v>
      </c>
      <c r="D454" s="1" t="s">
        <v>8</v>
      </c>
      <c r="E454" s="1" t="s">
        <v>20</v>
      </c>
      <c r="F454" s="1" t="str">
        <f aca="false">TEXT(B454,"mmm-yyyy")</f>
        <v>Oct-2024</v>
      </c>
    </row>
    <row r="455" customFormat="false" ht="43.5" hidden="false" customHeight="true" outlineLevel="0" collapsed="false">
      <c r="A455" s="1" t="n">
        <v>4</v>
      </c>
      <c r="B455" s="10" t="n">
        <v>45641</v>
      </c>
      <c r="C455" s="11" t="s">
        <v>473</v>
      </c>
      <c r="D455" s="1" t="s">
        <v>8</v>
      </c>
      <c r="E455" s="1" t="s">
        <v>18</v>
      </c>
      <c r="F455" s="1" t="str">
        <f aca="false">TEXT(B455,"mmm-yyyy")</f>
        <v>Dec-2024</v>
      </c>
    </row>
    <row r="456" customFormat="false" ht="101.25" hidden="false" customHeight="true" outlineLevel="0" collapsed="false">
      <c r="A456" s="1" t="n">
        <v>2</v>
      </c>
      <c r="B456" s="10" t="n">
        <v>45632</v>
      </c>
      <c r="C456" s="11" t="s">
        <v>474</v>
      </c>
      <c r="D456" s="1" t="s">
        <v>8</v>
      </c>
      <c r="E456" s="1" t="s">
        <v>20</v>
      </c>
      <c r="F456" s="1" t="str">
        <f aca="false">TEXT(B456,"mmm-yyyy")</f>
        <v>Dec-2024</v>
      </c>
    </row>
    <row r="457" customFormat="false" ht="101.25" hidden="false" customHeight="true" outlineLevel="0" collapsed="false">
      <c r="A457" s="1" t="n">
        <v>1</v>
      </c>
      <c r="B457" s="10" t="n">
        <v>45623</v>
      </c>
      <c r="C457" s="11" t="s">
        <v>475</v>
      </c>
      <c r="D457" s="1" t="s">
        <v>8</v>
      </c>
      <c r="E457" s="1" t="s">
        <v>18</v>
      </c>
      <c r="F457" s="1" t="str">
        <f aca="false">TEXT(B457,"mmm-yyyy")</f>
        <v>Nov-2024</v>
      </c>
    </row>
    <row r="458" customFormat="false" ht="72" hidden="false" customHeight="true" outlineLevel="0" collapsed="false">
      <c r="A458" s="1" t="n">
        <v>5</v>
      </c>
      <c r="B458" s="10" t="n">
        <v>45615</v>
      </c>
      <c r="C458" s="11" t="s">
        <v>476</v>
      </c>
      <c r="D458" s="1" t="s">
        <v>8</v>
      </c>
      <c r="E458" s="1" t="s">
        <v>20</v>
      </c>
      <c r="F458" s="1" t="str">
        <f aca="false">TEXT(B458,"mmm-yyyy")</f>
        <v>Nov-2024</v>
      </c>
    </row>
    <row r="459" customFormat="false" ht="57.75" hidden="false" customHeight="true" outlineLevel="0" collapsed="false">
      <c r="A459" s="1" t="n">
        <v>4</v>
      </c>
      <c r="B459" s="10" t="n">
        <v>45633</v>
      </c>
      <c r="C459" s="11" t="s">
        <v>477</v>
      </c>
      <c r="D459" s="1" t="s">
        <v>8</v>
      </c>
      <c r="E459" s="1" t="s">
        <v>18</v>
      </c>
      <c r="F459" s="1" t="str">
        <f aca="false">TEXT(B459,"mmm-yyyy")</f>
        <v>Dec-2024</v>
      </c>
    </row>
    <row r="460" customFormat="false" ht="115.5" hidden="false" customHeight="true" outlineLevel="0" collapsed="false">
      <c r="A460" s="1" t="n">
        <v>3</v>
      </c>
      <c r="B460" s="10" t="n">
        <v>45597</v>
      </c>
      <c r="C460" s="11" t="s">
        <v>478</v>
      </c>
      <c r="D460" s="1" t="s">
        <v>8</v>
      </c>
      <c r="E460" s="1" t="s">
        <v>18</v>
      </c>
      <c r="F460" s="1" t="str">
        <f aca="false">TEXT(B460,"mmm-yyyy")</f>
        <v>Nov-2024</v>
      </c>
    </row>
    <row r="461" customFormat="false" ht="115.5" hidden="false" customHeight="true" outlineLevel="0" collapsed="false">
      <c r="A461" s="1" t="n">
        <v>1</v>
      </c>
      <c r="B461" s="10" t="n">
        <v>45580</v>
      </c>
      <c r="C461" s="11" t="s">
        <v>479</v>
      </c>
      <c r="D461" s="1" t="s">
        <v>8</v>
      </c>
      <c r="E461" s="1" t="s">
        <v>18</v>
      </c>
      <c r="F461" s="1" t="str">
        <f aca="false">TEXT(B461,"mmm-yyyy")</f>
        <v>Oct-2024</v>
      </c>
    </row>
    <row r="462" customFormat="false" ht="43.5" hidden="false" customHeight="true" outlineLevel="0" collapsed="false">
      <c r="A462" s="1" t="n">
        <v>1</v>
      </c>
      <c r="B462" s="10" t="n">
        <v>45651</v>
      </c>
      <c r="C462" s="11" t="s">
        <v>480</v>
      </c>
      <c r="D462" s="1" t="s">
        <v>8</v>
      </c>
      <c r="E462" s="1" t="s">
        <v>20</v>
      </c>
      <c r="F462" s="1" t="str">
        <f aca="false">TEXT(B462,"mmm-yyyy")</f>
        <v>Dec-2024</v>
      </c>
    </row>
    <row r="463" customFormat="false" ht="144.75" hidden="false" customHeight="true" outlineLevel="0" collapsed="false">
      <c r="A463" s="1" t="n">
        <v>1</v>
      </c>
      <c r="B463" s="10" t="n">
        <v>45595</v>
      </c>
      <c r="C463" s="11" t="s">
        <v>481</v>
      </c>
      <c r="D463" s="1" t="s">
        <v>8</v>
      </c>
      <c r="E463" s="1" t="s">
        <v>18</v>
      </c>
      <c r="F463" s="1" t="str">
        <f aca="false">TEXT(B463,"mmm-yyyy")</f>
        <v>Oct-2024</v>
      </c>
    </row>
    <row r="464" customFormat="false" ht="72" hidden="false" customHeight="true" outlineLevel="0" collapsed="false">
      <c r="A464" s="1" t="n">
        <v>5</v>
      </c>
      <c r="B464" s="10" t="n">
        <v>45579</v>
      </c>
      <c r="C464" s="11" t="s">
        <v>482</v>
      </c>
      <c r="D464" s="1" t="s">
        <v>8</v>
      </c>
      <c r="E464" s="1" t="s">
        <v>18</v>
      </c>
      <c r="F464" s="1" t="str">
        <f aca="false">TEXT(B464,"mmm-yyyy")</f>
        <v>Oct-2024</v>
      </c>
    </row>
    <row r="465" customFormat="false" ht="57.75" hidden="false" customHeight="true" outlineLevel="0" collapsed="false">
      <c r="A465" s="1" t="n">
        <v>2</v>
      </c>
      <c r="B465" s="10" t="n">
        <v>45646</v>
      </c>
      <c r="C465" s="11" t="s">
        <v>483</v>
      </c>
      <c r="D465" s="1" t="s">
        <v>8</v>
      </c>
      <c r="E465" s="1" t="s">
        <v>20</v>
      </c>
      <c r="F465" s="1" t="str">
        <f aca="false">TEXT(B465,"mmm-yyyy")</f>
        <v>Dec-2024</v>
      </c>
    </row>
    <row r="466" customFormat="false" ht="43.5" hidden="false" customHeight="true" outlineLevel="0" collapsed="false">
      <c r="A466" s="1" t="n">
        <v>2</v>
      </c>
      <c r="B466" s="10" t="n">
        <v>45644</v>
      </c>
      <c r="C466" s="11" t="s">
        <v>484</v>
      </c>
      <c r="D466" s="1" t="s">
        <v>8</v>
      </c>
      <c r="E466" s="1" t="s">
        <v>20</v>
      </c>
      <c r="F466" s="1" t="str">
        <f aca="false">TEXT(B466,"mmm-yyyy")</f>
        <v>Dec-2024</v>
      </c>
    </row>
    <row r="467" customFormat="false" ht="101.25" hidden="false" customHeight="true" outlineLevel="0" collapsed="false">
      <c r="A467" s="1" t="n">
        <v>1</v>
      </c>
      <c r="B467" s="10" t="n">
        <v>45606</v>
      </c>
      <c r="C467" s="11" t="s">
        <v>485</v>
      </c>
      <c r="D467" s="1" t="s">
        <v>8</v>
      </c>
      <c r="E467" s="1" t="s">
        <v>20</v>
      </c>
      <c r="F467" s="1" t="str">
        <f aca="false">TEXT(B467,"mmm-yyyy")</f>
        <v>Nov-2024</v>
      </c>
    </row>
    <row r="468" customFormat="false" ht="43.5" hidden="false" customHeight="true" outlineLevel="0" collapsed="false">
      <c r="A468" s="1" t="n">
        <v>2</v>
      </c>
      <c r="B468" s="10" t="n">
        <v>45649</v>
      </c>
      <c r="C468" s="11" t="s">
        <v>486</v>
      </c>
      <c r="D468" s="1" t="s">
        <v>8</v>
      </c>
      <c r="E468" s="1" t="s">
        <v>20</v>
      </c>
      <c r="F468" s="1" t="str">
        <f aca="false">TEXT(B468,"mmm-yyyy")</f>
        <v>Dec-2024</v>
      </c>
    </row>
    <row r="469" customFormat="false" ht="130.5" hidden="false" customHeight="true" outlineLevel="0" collapsed="false">
      <c r="A469" s="1" t="n">
        <v>1</v>
      </c>
      <c r="B469" s="10" t="n">
        <v>45619</v>
      </c>
      <c r="C469" s="11" t="s">
        <v>487</v>
      </c>
      <c r="D469" s="1" t="s">
        <v>8</v>
      </c>
      <c r="E469" s="1" t="s">
        <v>20</v>
      </c>
      <c r="F469" s="1" t="str">
        <f aca="false">TEXT(B469,"mmm-yyyy")</f>
        <v>Nov-2024</v>
      </c>
    </row>
    <row r="470" customFormat="false" ht="72" hidden="false" customHeight="true" outlineLevel="0" collapsed="false">
      <c r="A470" s="1" t="n">
        <v>5</v>
      </c>
      <c r="B470" s="10" t="n">
        <v>45590</v>
      </c>
      <c r="C470" s="11" t="s">
        <v>488</v>
      </c>
      <c r="D470" s="1" t="s">
        <v>8</v>
      </c>
      <c r="E470" s="1" t="s">
        <v>20</v>
      </c>
      <c r="F470" s="1" t="str">
        <f aca="false">TEXT(B470,"mmm-yyyy")</f>
        <v>Oct-2024</v>
      </c>
    </row>
    <row r="471" customFormat="false" ht="87" hidden="false" customHeight="true" outlineLevel="0" collapsed="false">
      <c r="A471" s="1" t="n">
        <v>2</v>
      </c>
      <c r="B471" s="10" t="n">
        <v>45587</v>
      </c>
      <c r="C471" s="11" t="s">
        <v>489</v>
      </c>
      <c r="D471" s="1" t="s">
        <v>8</v>
      </c>
      <c r="E471" s="1" t="s">
        <v>18</v>
      </c>
      <c r="F471" s="1" t="str">
        <f aca="false">TEXT(B471,"mmm-yyyy")</f>
        <v>Oct-2024</v>
      </c>
    </row>
    <row r="472" customFormat="false" ht="72" hidden="false" customHeight="true" outlineLevel="0" collapsed="false">
      <c r="A472" s="1" t="n">
        <v>1</v>
      </c>
      <c r="B472" s="10" t="n">
        <v>45606</v>
      </c>
      <c r="C472" s="11" t="s">
        <v>490</v>
      </c>
      <c r="D472" s="1" t="s">
        <v>8</v>
      </c>
      <c r="E472" s="1" t="s">
        <v>18</v>
      </c>
      <c r="F472" s="1" t="str">
        <f aca="false">TEXT(B472,"mmm-yyyy")</f>
        <v>Nov-2024</v>
      </c>
    </row>
    <row r="473" customFormat="false" ht="101.25" hidden="false" customHeight="true" outlineLevel="0" collapsed="false">
      <c r="A473" s="1" t="n">
        <v>1</v>
      </c>
      <c r="B473" s="10" t="n">
        <v>45595</v>
      </c>
      <c r="C473" s="11" t="s">
        <v>491</v>
      </c>
      <c r="D473" s="1" t="s">
        <v>8</v>
      </c>
      <c r="E473" s="1" t="s">
        <v>18</v>
      </c>
      <c r="F473" s="1" t="str">
        <f aca="false">TEXT(B473,"mmm-yyyy")</f>
        <v>Oct-2024</v>
      </c>
    </row>
    <row r="474" customFormat="false" ht="57.75" hidden="false" customHeight="true" outlineLevel="0" collapsed="false">
      <c r="A474" s="1" t="n">
        <v>5</v>
      </c>
      <c r="B474" s="10" t="n">
        <v>45637</v>
      </c>
      <c r="C474" s="11" t="s">
        <v>492</v>
      </c>
      <c r="D474" s="1" t="s">
        <v>8</v>
      </c>
      <c r="E474" s="1" t="s">
        <v>18</v>
      </c>
      <c r="F474" s="1" t="str">
        <f aca="false">TEXT(B474,"mmm-yyyy")</f>
        <v>Dec-2024</v>
      </c>
    </row>
    <row r="475" customFormat="false" ht="43.5" hidden="false" customHeight="true" outlineLevel="0" collapsed="false">
      <c r="A475" s="1" t="n">
        <v>3</v>
      </c>
      <c r="B475" s="10" t="n">
        <v>45644</v>
      </c>
      <c r="C475" s="11" t="s">
        <v>493</v>
      </c>
      <c r="D475" s="1" t="s">
        <v>8</v>
      </c>
      <c r="E475" s="1" t="s">
        <v>18</v>
      </c>
      <c r="F475" s="1" t="str">
        <f aca="false">TEXT(B475,"mmm-yyyy")</f>
        <v>Dec-2024</v>
      </c>
    </row>
    <row r="476" customFormat="false" ht="130.5" hidden="false" customHeight="true" outlineLevel="0" collapsed="false">
      <c r="A476" s="1" t="n">
        <v>1</v>
      </c>
      <c r="B476" s="10" t="n">
        <v>45581</v>
      </c>
      <c r="C476" s="11" t="s">
        <v>494</v>
      </c>
      <c r="D476" s="1" t="s">
        <v>8</v>
      </c>
      <c r="E476" s="1" t="s">
        <v>20</v>
      </c>
      <c r="F476" s="1" t="str">
        <f aca="false">TEXT(B476,"mmm-yyyy")</f>
        <v>Oct-2024</v>
      </c>
    </row>
    <row r="477" customFormat="false" ht="115.5" hidden="false" customHeight="true" outlineLevel="0" collapsed="false">
      <c r="A477" s="1" t="n">
        <v>1</v>
      </c>
      <c r="B477" s="10" t="n">
        <v>45623</v>
      </c>
      <c r="C477" s="11" t="s">
        <v>495</v>
      </c>
      <c r="D477" s="1" t="s">
        <v>8</v>
      </c>
      <c r="E477" s="1" t="s">
        <v>20</v>
      </c>
      <c r="F477" s="1" t="str">
        <f aca="false">TEXT(B477,"mmm-yyyy")</f>
        <v>Nov-2024</v>
      </c>
    </row>
    <row r="478" customFormat="false" ht="101.25" hidden="false" customHeight="true" outlineLevel="0" collapsed="false">
      <c r="A478" s="1" t="n">
        <v>4</v>
      </c>
      <c r="B478" s="10" t="n">
        <v>45577</v>
      </c>
      <c r="C478" s="11" t="s">
        <v>496</v>
      </c>
      <c r="D478" s="1" t="s">
        <v>8</v>
      </c>
      <c r="E478" s="1" t="s">
        <v>20</v>
      </c>
      <c r="F478" s="1" t="str">
        <f aca="false">TEXT(B478,"mmm-yyyy")</f>
        <v>Oct-2024</v>
      </c>
    </row>
    <row r="479" customFormat="false" ht="57.75" hidden="false" customHeight="true" outlineLevel="0" collapsed="false">
      <c r="A479" s="1" t="n">
        <v>1</v>
      </c>
      <c r="B479" s="10" t="n">
        <v>45583</v>
      </c>
      <c r="C479" s="11" t="s">
        <v>497</v>
      </c>
      <c r="D479" s="1" t="s">
        <v>8</v>
      </c>
      <c r="E479" s="1" t="s">
        <v>20</v>
      </c>
      <c r="F479" s="1" t="str">
        <f aca="false">TEXT(B479,"mmm-yyyy")</f>
        <v>Oct-2024</v>
      </c>
    </row>
    <row r="480" customFormat="false" ht="115.5" hidden="false" customHeight="true" outlineLevel="0" collapsed="false">
      <c r="A480" s="1" t="n">
        <v>5</v>
      </c>
      <c r="B480" s="10" t="n">
        <v>45649</v>
      </c>
      <c r="C480" s="11" t="s">
        <v>498</v>
      </c>
      <c r="D480" s="1" t="s">
        <v>8</v>
      </c>
      <c r="E480" s="1" t="s">
        <v>20</v>
      </c>
      <c r="F480" s="1" t="str">
        <f aca="false">TEXT(B480,"mmm-yyyy")</f>
        <v>Dec-2024</v>
      </c>
    </row>
    <row r="481" customFormat="false" ht="57.75" hidden="false" customHeight="true" outlineLevel="0" collapsed="false">
      <c r="A481" s="1" t="n">
        <v>1</v>
      </c>
      <c r="B481" s="10" t="n">
        <v>45595</v>
      </c>
      <c r="C481" s="11" t="s">
        <v>499</v>
      </c>
      <c r="D481" s="1" t="s">
        <v>8</v>
      </c>
      <c r="E481" s="1" t="s">
        <v>20</v>
      </c>
      <c r="F481" s="1" t="str">
        <f aca="false">TEXT(B481,"mmm-yyyy")</f>
        <v>Oct-2024</v>
      </c>
    </row>
    <row r="482" customFormat="false" ht="72" hidden="false" customHeight="true" outlineLevel="0" collapsed="false">
      <c r="A482" s="1" t="n">
        <v>1</v>
      </c>
      <c r="B482" s="10" t="n">
        <v>45654</v>
      </c>
      <c r="C482" s="11" t="s">
        <v>500</v>
      </c>
      <c r="D482" s="1" t="s">
        <v>8</v>
      </c>
      <c r="E482" s="1" t="s">
        <v>20</v>
      </c>
      <c r="F482" s="1" t="str">
        <f aca="false">TEXT(B482,"mmm-yyyy")</f>
        <v>Dec-2024</v>
      </c>
    </row>
    <row r="483" customFormat="false" ht="57.75" hidden="false" customHeight="true" outlineLevel="0" collapsed="false">
      <c r="A483" s="1" t="n">
        <v>5</v>
      </c>
      <c r="B483" s="10" t="n">
        <v>45621</v>
      </c>
      <c r="C483" s="11" t="s">
        <v>501</v>
      </c>
      <c r="D483" s="1" t="s">
        <v>8</v>
      </c>
      <c r="E483" s="1" t="s">
        <v>18</v>
      </c>
      <c r="F483" s="1" t="str">
        <f aca="false">TEXT(B483,"mmm-yyyy")</f>
        <v>Nov-2024</v>
      </c>
    </row>
    <row r="484" customFormat="false" ht="28.5" hidden="false" customHeight="true" outlineLevel="0" collapsed="false">
      <c r="A484" s="1" t="n">
        <v>5</v>
      </c>
      <c r="B484" s="10" t="n">
        <v>45643</v>
      </c>
      <c r="C484" s="11" t="s">
        <v>502</v>
      </c>
      <c r="D484" s="1" t="s">
        <v>8</v>
      </c>
      <c r="E484" s="1" t="s">
        <v>18</v>
      </c>
      <c r="F484" s="1" t="str">
        <f aca="false">TEXT(B484,"mmm-yyyy")</f>
        <v>Dec-2024</v>
      </c>
    </row>
    <row r="485" customFormat="false" ht="57.75" hidden="false" customHeight="true" outlineLevel="0" collapsed="false">
      <c r="A485" s="1" t="n">
        <v>3</v>
      </c>
      <c r="B485" s="10" t="n">
        <v>45642</v>
      </c>
      <c r="C485" s="11" t="s">
        <v>503</v>
      </c>
      <c r="D485" s="1" t="s">
        <v>8</v>
      </c>
      <c r="E485" s="1" t="s">
        <v>18</v>
      </c>
      <c r="F485" s="1" t="str">
        <f aca="false">TEXT(B485,"mmm-yyyy")</f>
        <v>Dec-2024</v>
      </c>
    </row>
    <row r="486" customFormat="false" ht="87" hidden="false" customHeight="true" outlineLevel="0" collapsed="false">
      <c r="A486" s="1" t="n">
        <v>1</v>
      </c>
      <c r="B486" s="10" t="n">
        <v>45592</v>
      </c>
      <c r="C486" s="11" t="s">
        <v>504</v>
      </c>
      <c r="D486" s="1" t="s">
        <v>8</v>
      </c>
      <c r="E486" s="1" t="s">
        <v>20</v>
      </c>
      <c r="F486" s="1" t="str">
        <f aca="false">TEXT(B486,"mmm-yyyy")</f>
        <v>Oct-2024</v>
      </c>
    </row>
    <row r="487" customFormat="false" ht="72" hidden="false" customHeight="true" outlineLevel="0" collapsed="false">
      <c r="A487" s="1" t="n">
        <v>1</v>
      </c>
      <c r="B487" s="10" t="n">
        <v>45600</v>
      </c>
      <c r="C487" s="11" t="s">
        <v>505</v>
      </c>
      <c r="D487" s="1" t="s">
        <v>8</v>
      </c>
      <c r="E487" s="1" t="s">
        <v>20</v>
      </c>
      <c r="F487" s="1" t="str">
        <f aca="false">TEXT(B487,"mmm-yyyy")</f>
        <v>Nov-2024</v>
      </c>
    </row>
    <row r="488" customFormat="false" ht="57.75" hidden="false" customHeight="true" outlineLevel="0" collapsed="false">
      <c r="A488" s="1" t="n">
        <v>5</v>
      </c>
      <c r="B488" s="10" t="n">
        <v>45606</v>
      </c>
      <c r="C488" s="11" t="s">
        <v>506</v>
      </c>
      <c r="D488" s="1" t="s">
        <v>8</v>
      </c>
      <c r="E488" s="1" t="s">
        <v>18</v>
      </c>
      <c r="F488" s="1" t="str">
        <f aca="false">TEXT(B488,"mmm-yyyy")</f>
        <v>Nov-2024</v>
      </c>
    </row>
    <row r="489" customFormat="false" ht="87" hidden="false" customHeight="true" outlineLevel="0" collapsed="false">
      <c r="A489" s="1" t="n">
        <v>5</v>
      </c>
      <c r="B489" s="10" t="n">
        <v>45582</v>
      </c>
      <c r="C489" s="11" t="s">
        <v>507</v>
      </c>
      <c r="D489" s="1" t="s">
        <v>8</v>
      </c>
      <c r="E489" s="1" t="s">
        <v>18</v>
      </c>
      <c r="F489" s="1" t="str">
        <f aca="false">TEXT(B489,"mmm-yyyy")</f>
        <v>Oct-2024</v>
      </c>
    </row>
    <row r="490" customFormat="false" ht="101.25" hidden="false" customHeight="true" outlineLevel="0" collapsed="false">
      <c r="A490" s="1" t="n">
        <v>1</v>
      </c>
      <c r="B490" s="10" t="n">
        <v>45639</v>
      </c>
      <c r="C490" s="11" t="s">
        <v>508</v>
      </c>
      <c r="D490" s="1" t="s">
        <v>8</v>
      </c>
      <c r="E490" s="1" t="s">
        <v>20</v>
      </c>
      <c r="F490" s="1" t="str">
        <f aca="false">TEXT(B490,"mmm-yyyy")</f>
        <v>Dec-2024</v>
      </c>
    </row>
    <row r="491" customFormat="false" ht="72" hidden="false" customHeight="true" outlineLevel="0" collapsed="false">
      <c r="A491" s="1" t="n">
        <v>1</v>
      </c>
      <c r="B491" s="10" t="n">
        <v>45592</v>
      </c>
      <c r="C491" s="11" t="s">
        <v>509</v>
      </c>
      <c r="D491" s="1" t="s">
        <v>8</v>
      </c>
      <c r="E491" s="1" t="s">
        <v>18</v>
      </c>
      <c r="F491" s="1" t="str">
        <f aca="false">TEXT(B491,"mmm-yyyy")</f>
        <v>Oct-2024</v>
      </c>
    </row>
    <row r="492" customFormat="false" ht="72" hidden="false" customHeight="true" outlineLevel="0" collapsed="false">
      <c r="A492" s="1" t="n">
        <v>1</v>
      </c>
      <c r="B492" s="10" t="n">
        <v>45587</v>
      </c>
      <c r="C492" s="11" t="s">
        <v>510</v>
      </c>
      <c r="D492" s="1" t="s">
        <v>8</v>
      </c>
      <c r="E492" s="1" t="s">
        <v>18</v>
      </c>
      <c r="F492" s="1" t="str">
        <f aca="false">TEXT(B492,"mmm-yyyy")</f>
        <v>Oct-2024</v>
      </c>
    </row>
    <row r="493" customFormat="false" ht="57.75" hidden="false" customHeight="true" outlineLevel="0" collapsed="false">
      <c r="A493" s="1" t="n">
        <v>3</v>
      </c>
      <c r="B493" s="10" t="n">
        <v>45587</v>
      </c>
      <c r="C493" s="11" t="s">
        <v>511</v>
      </c>
      <c r="D493" s="1" t="s">
        <v>8</v>
      </c>
      <c r="E493" s="1" t="s">
        <v>20</v>
      </c>
      <c r="F493" s="1" t="str">
        <f aca="false">TEXT(B493,"mmm-yyyy")</f>
        <v>Oct-2024</v>
      </c>
    </row>
    <row r="494" customFormat="false" ht="87" hidden="false" customHeight="true" outlineLevel="0" collapsed="false">
      <c r="A494" s="1" t="n">
        <v>5</v>
      </c>
      <c r="B494" s="10" t="n">
        <v>45635</v>
      </c>
      <c r="C494" s="11" t="s">
        <v>512</v>
      </c>
      <c r="D494" s="1" t="s">
        <v>8</v>
      </c>
      <c r="E494" s="1" t="s">
        <v>18</v>
      </c>
      <c r="F494" s="1" t="str">
        <f aca="false">TEXT(B494,"mmm-yyyy")</f>
        <v>Dec-2024</v>
      </c>
    </row>
    <row r="495" customFormat="false" ht="43.5" hidden="false" customHeight="true" outlineLevel="0" collapsed="false">
      <c r="A495" s="1" t="n">
        <v>4</v>
      </c>
      <c r="B495" s="10" t="n">
        <v>45646</v>
      </c>
      <c r="C495" s="11" t="s">
        <v>513</v>
      </c>
      <c r="D495" s="1" t="s">
        <v>8</v>
      </c>
      <c r="E495" s="1" t="s">
        <v>18</v>
      </c>
      <c r="F495" s="1" t="str">
        <f aca="false">TEXT(B495,"mmm-yyyy")</f>
        <v>Dec-2024</v>
      </c>
    </row>
    <row r="496" customFormat="false" ht="101.25" hidden="false" customHeight="true" outlineLevel="0" collapsed="false">
      <c r="A496" s="1" t="n">
        <v>2</v>
      </c>
      <c r="B496" s="10" t="n">
        <v>45610</v>
      </c>
      <c r="C496" s="11" t="s">
        <v>514</v>
      </c>
      <c r="D496" s="1" t="s">
        <v>8</v>
      </c>
      <c r="E496" s="1" t="s">
        <v>20</v>
      </c>
      <c r="F496" s="1" t="str">
        <f aca="false">TEXT(B496,"mmm-yyyy")</f>
        <v>Nov-2024</v>
      </c>
    </row>
    <row r="497" customFormat="false" ht="101.25" hidden="false" customHeight="true" outlineLevel="0" collapsed="false">
      <c r="A497" s="1" t="n">
        <v>1</v>
      </c>
      <c r="B497" s="10" t="n">
        <v>45592</v>
      </c>
      <c r="C497" s="11" t="s">
        <v>515</v>
      </c>
      <c r="D497" s="1" t="s">
        <v>8</v>
      </c>
      <c r="E497" s="1" t="s">
        <v>20</v>
      </c>
      <c r="F497" s="1" t="str">
        <f aca="false">TEXT(B497,"mmm-yyyy")</f>
        <v>Oct-2024</v>
      </c>
    </row>
    <row r="498" customFormat="false" ht="72" hidden="false" customHeight="true" outlineLevel="0" collapsed="false">
      <c r="A498" s="1" t="n">
        <v>1</v>
      </c>
      <c r="B498" s="10" t="n">
        <v>45605</v>
      </c>
      <c r="C498" s="11" t="s">
        <v>516</v>
      </c>
      <c r="D498" s="1" t="s">
        <v>8</v>
      </c>
      <c r="E498" s="1" t="s">
        <v>20</v>
      </c>
      <c r="F498" s="1" t="str">
        <f aca="false">TEXT(B498,"mmm-yyyy")</f>
        <v>Nov-2024</v>
      </c>
    </row>
    <row r="499" customFormat="false" ht="101.25" hidden="false" customHeight="true" outlineLevel="0" collapsed="false">
      <c r="A499" s="1" t="n">
        <v>5</v>
      </c>
      <c r="B499" s="10" t="n">
        <v>45593</v>
      </c>
      <c r="C499" s="11" t="s">
        <v>517</v>
      </c>
      <c r="D499" s="1" t="s">
        <v>8</v>
      </c>
      <c r="E499" s="1" t="s">
        <v>18</v>
      </c>
      <c r="F499" s="1" t="str">
        <f aca="false">TEXT(B499,"mmm-yyyy")</f>
        <v>Oct-2024</v>
      </c>
    </row>
    <row r="500" customFormat="false" ht="130.5" hidden="false" customHeight="true" outlineLevel="0" collapsed="false">
      <c r="A500" s="1" t="n">
        <v>1</v>
      </c>
      <c r="B500" s="10" t="n">
        <v>45595</v>
      </c>
      <c r="C500" s="11" t="s">
        <v>518</v>
      </c>
      <c r="D500" s="1" t="s">
        <v>8</v>
      </c>
      <c r="E500" s="1" t="s">
        <v>18</v>
      </c>
      <c r="F500" s="1" t="str">
        <f aca="false">TEXT(B500,"mmm-yyyy")</f>
        <v>Oct-2024</v>
      </c>
    </row>
    <row r="501" customFormat="false" ht="144.75" hidden="false" customHeight="true" outlineLevel="0" collapsed="false">
      <c r="A501" s="1" t="n">
        <v>1</v>
      </c>
      <c r="B501" s="10" t="n">
        <v>45635</v>
      </c>
      <c r="C501" s="11" t="s">
        <v>519</v>
      </c>
      <c r="D501" s="1" t="s">
        <v>8</v>
      </c>
      <c r="E501" s="1" t="s">
        <v>20</v>
      </c>
      <c r="F501" s="1" t="str">
        <f aca="false">TEXT(B501,"mmm-yyyy")</f>
        <v>Dec-2024</v>
      </c>
    </row>
    <row r="502" customFormat="false" ht="57.75" hidden="false" customHeight="true" outlineLevel="0" collapsed="false">
      <c r="A502" s="1" t="n">
        <v>5</v>
      </c>
      <c r="B502" s="10" t="n">
        <v>45651</v>
      </c>
      <c r="C502" s="11" t="s">
        <v>520</v>
      </c>
      <c r="D502" s="1" t="s">
        <v>8</v>
      </c>
      <c r="E502" s="1" t="s">
        <v>18</v>
      </c>
      <c r="F502" s="1" t="str">
        <f aca="false">TEXT(B502,"mmm-yyyy")</f>
        <v>Dec-2024</v>
      </c>
    </row>
    <row r="503" customFormat="false" ht="43.5" hidden="false" customHeight="true" outlineLevel="0" collapsed="false">
      <c r="A503" s="1" t="n">
        <v>1</v>
      </c>
      <c r="B503" s="10" t="n">
        <v>45579</v>
      </c>
      <c r="C503" s="11" t="s">
        <v>521</v>
      </c>
      <c r="D503" s="1" t="s">
        <v>8</v>
      </c>
      <c r="E503" s="1" t="s">
        <v>20</v>
      </c>
      <c r="F503" s="1" t="str">
        <f aca="false">TEXT(B503,"mmm-yyyy")</f>
        <v>Oct-2024</v>
      </c>
    </row>
    <row r="504" customFormat="false" ht="130.5" hidden="false" customHeight="true" outlineLevel="0" collapsed="false">
      <c r="A504" s="1" t="n">
        <v>5</v>
      </c>
      <c r="B504" s="10" t="n">
        <v>45608</v>
      </c>
      <c r="C504" s="11" t="s">
        <v>522</v>
      </c>
      <c r="D504" s="1" t="s">
        <v>8</v>
      </c>
      <c r="E504" s="1" t="s">
        <v>18</v>
      </c>
      <c r="F504" s="1" t="str">
        <f aca="false">TEXT(B504,"mmm-yyyy")</f>
        <v>Nov-2024</v>
      </c>
    </row>
    <row r="505" customFormat="false" ht="87" hidden="false" customHeight="true" outlineLevel="0" collapsed="false">
      <c r="A505" s="1" t="n">
        <v>5</v>
      </c>
      <c r="B505" s="10" t="n">
        <v>45586</v>
      </c>
      <c r="C505" s="11" t="s">
        <v>523</v>
      </c>
      <c r="D505" s="1" t="s">
        <v>8</v>
      </c>
      <c r="E505" s="1" t="s">
        <v>18</v>
      </c>
      <c r="F505" s="1" t="str">
        <f aca="false">TEXT(B505,"mmm-yyyy")</f>
        <v>Oct-2024</v>
      </c>
    </row>
    <row r="506" customFormat="false" ht="115.5" hidden="false" customHeight="true" outlineLevel="0" collapsed="false">
      <c r="A506" s="1" t="n">
        <v>1</v>
      </c>
      <c r="B506" s="10" t="n">
        <v>45608</v>
      </c>
      <c r="C506" s="11" t="s">
        <v>524</v>
      </c>
      <c r="D506" s="1" t="s">
        <v>8</v>
      </c>
      <c r="E506" s="1" t="s">
        <v>20</v>
      </c>
      <c r="F506" s="1" t="str">
        <f aca="false">TEXT(B506,"mmm-yyyy")</f>
        <v>Nov-2024</v>
      </c>
    </row>
    <row r="507" customFormat="false" ht="57.75" hidden="false" customHeight="true" outlineLevel="0" collapsed="false">
      <c r="A507" s="1" t="n">
        <v>1</v>
      </c>
      <c r="B507" s="10" t="n">
        <v>45636</v>
      </c>
      <c r="C507" s="11" t="s">
        <v>525</v>
      </c>
      <c r="D507" s="1" t="s">
        <v>8</v>
      </c>
      <c r="E507" s="1" t="s">
        <v>20</v>
      </c>
      <c r="F507" s="1" t="str">
        <f aca="false">TEXT(B507,"mmm-yyyy")</f>
        <v>Dec-2024</v>
      </c>
    </row>
    <row r="508" customFormat="false" ht="115.5" hidden="false" customHeight="true" outlineLevel="0" collapsed="false">
      <c r="A508" s="1" t="n">
        <v>1</v>
      </c>
      <c r="B508" s="10" t="n">
        <v>45617</v>
      </c>
      <c r="C508" s="11" t="s">
        <v>526</v>
      </c>
      <c r="D508" s="1" t="s">
        <v>8</v>
      </c>
      <c r="E508" s="1" t="s">
        <v>20</v>
      </c>
      <c r="F508" s="1" t="str">
        <f aca="false">TEXT(B508,"mmm-yyyy")</f>
        <v>Nov-2024</v>
      </c>
    </row>
    <row r="509" customFormat="false" ht="101.25" hidden="false" customHeight="true" outlineLevel="0" collapsed="false">
      <c r="A509" s="1" t="n">
        <v>1</v>
      </c>
      <c r="B509" s="10" t="n">
        <v>45606</v>
      </c>
      <c r="C509" s="11" t="s">
        <v>527</v>
      </c>
      <c r="D509" s="1" t="s">
        <v>8</v>
      </c>
      <c r="E509" s="1" t="s">
        <v>20</v>
      </c>
      <c r="F509" s="1" t="str">
        <f aca="false">TEXT(B509,"mmm-yyyy")</f>
        <v>Nov-2024</v>
      </c>
    </row>
    <row r="510" customFormat="false" ht="57.75" hidden="false" customHeight="true" outlineLevel="0" collapsed="false">
      <c r="A510" s="1" t="n">
        <v>2</v>
      </c>
      <c r="B510" s="10" t="n">
        <v>45574</v>
      </c>
      <c r="C510" s="11" t="s">
        <v>528</v>
      </c>
      <c r="D510" s="1" t="s">
        <v>8</v>
      </c>
      <c r="E510" s="1" t="s">
        <v>20</v>
      </c>
      <c r="F510" s="1" t="str">
        <f aca="false">TEXT(B510,"mmm-yyyy")</f>
        <v>Oct-2024</v>
      </c>
    </row>
    <row r="511" customFormat="false" ht="43.5" hidden="false" customHeight="true" outlineLevel="0" collapsed="false">
      <c r="A511" s="1" t="n">
        <v>5</v>
      </c>
      <c r="B511" s="10" t="n">
        <v>45630</v>
      </c>
      <c r="C511" s="11" t="s">
        <v>529</v>
      </c>
      <c r="D511" s="1" t="s">
        <v>8</v>
      </c>
      <c r="E511" s="1" t="s">
        <v>18</v>
      </c>
      <c r="F511" s="1" t="str">
        <f aca="false">TEXT(B511,"mmm-yyyy")</f>
        <v>Dec-2024</v>
      </c>
    </row>
    <row r="512" customFormat="false" ht="87" hidden="false" customHeight="true" outlineLevel="0" collapsed="false">
      <c r="A512" s="1" t="n">
        <v>4</v>
      </c>
      <c r="B512" s="10" t="n">
        <v>45622</v>
      </c>
      <c r="C512" s="11" t="s">
        <v>530</v>
      </c>
      <c r="D512" s="1" t="s">
        <v>8</v>
      </c>
      <c r="E512" s="1" t="s">
        <v>18</v>
      </c>
      <c r="F512" s="1" t="str">
        <f aca="false">TEXT(B512,"mmm-yyyy")</f>
        <v>Nov-2024</v>
      </c>
    </row>
    <row r="513" customFormat="false" ht="57.75" hidden="false" customHeight="true" outlineLevel="0" collapsed="false">
      <c r="A513" s="1" t="n">
        <v>1</v>
      </c>
      <c r="B513" s="10" t="n">
        <v>45613</v>
      </c>
      <c r="C513" s="11" t="s">
        <v>531</v>
      </c>
      <c r="D513" s="1" t="s">
        <v>8</v>
      </c>
      <c r="E513" s="1" t="s">
        <v>20</v>
      </c>
      <c r="F513" s="1" t="str">
        <f aca="false">TEXT(B513,"mmm-yyyy")</f>
        <v>Nov-2024</v>
      </c>
    </row>
    <row r="514" customFormat="false" ht="130.5" hidden="false" customHeight="true" outlineLevel="0" collapsed="false">
      <c r="A514" s="1" t="n">
        <v>1</v>
      </c>
      <c r="B514" s="10" t="n">
        <v>45614</v>
      </c>
      <c r="C514" s="11" t="s">
        <v>532</v>
      </c>
      <c r="D514" s="1" t="s">
        <v>8</v>
      </c>
      <c r="E514" s="1" t="s">
        <v>20</v>
      </c>
      <c r="F514" s="1" t="str">
        <f aca="false">TEXT(B514,"mmm-yyyy")</f>
        <v>Nov-2024</v>
      </c>
    </row>
    <row r="515" customFormat="false" ht="130.5" hidden="false" customHeight="true" outlineLevel="0" collapsed="false">
      <c r="A515" s="1" t="n">
        <v>1</v>
      </c>
      <c r="B515" s="10" t="n">
        <v>45605</v>
      </c>
      <c r="C515" s="11" t="s">
        <v>533</v>
      </c>
      <c r="D515" s="1" t="s">
        <v>8</v>
      </c>
      <c r="E515" s="1" t="s">
        <v>20</v>
      </c>
      <c r="F515" s="1" t="str">
        <f aca="false">TEXT(B515,"mmm-yyyy")</f>
        <v>Nov-2024</v>
      </c>
    </row>
    <row r="516" customFormat="false" ht="101.25" hidden="false" customHeight="true" outlineLevel="0" collapsed="false">
      <c r="A516" s="1" t="n">
        <v>5</v>
      </c>
      <c r="B516" s="10" t="n">
        <v>45616</v>
      </c>
      <c r="C516" s="11" t="s">
        <v>534</v>
      </c>
      <c r="D516" s="1" t="s">
        <v>8</v>
      </c>
      <c r="E516" s="1" t="s">
        <v>18</v>
      </c>
      <c r="F516" s="1" t="str">
        <f aca="false">TEXT(B516,"mmm-yyyy")</f>
        <v>Nov-2024</v>
      </c>
    </row>
    <row r="517" customFormat="false" ht="57.75" hidden="false" customHeight="true" outlineLevel="0" collapsed="false">
      <c r="A517" s="1" t="n">
        <v>5</v>
      </c>
      <c r="B517" s="10" t="n">
        <v>45587</v>
      </c>
      <c r="C517" s="11" t="s">
        <v>535</v>
      </c>
      <c r="D517" s="1" t="s">
        <v>8</v>
      </c>
      <c r="E517" s="1" t="s">
        <v>18</v>
      </c>
      <c r="F517" s="1" t="str">
        <f aca="false">TEXT(B517,"mmm-yyyy")</f>
        <v>Oct-2024</v>
      </c>
    </row>
    <row r="518" customFormat="false" ht="57.75" hidden="false" customHeight="true" outlineLevel="0" collapsed="false">
      <c r="A518" s="1" t="n">
        <v>5</v>
      </c>
      <c r="B518" s="10" t="n">
        <v>45624</v>
      </c>
      <c r="C518" s="11" t="s">
        <v>536</v>
      </c>
      <c r="D518" s="1" t="s">
        <v>8</v>
      </c>
      <c r="E518" s="1" t="s">
        <v>18</v>
      </c>
      <c r="F518" s="1" t="str">
        <f aca="false">TEXT(B518,"mmm-yyyy")</f>
        <v>Nov-2024</v>
      </c>
    </row>
    <row r="519" customFormat="false" ht="87" hidden="false" customHeight="true" outlineLevel="0" collapsed="false">
      <c r="A519" s="1" t="n">
        <v>5</v>
      </c>
      <c r="B519" s="10" t="n">
        <v>45613</v>
      </c>
      <c r="C519" s="11" t="s">
        <v>537</v>
      </c>
      <c r="D519" s="1" t="s">
        <v>8</v>
      </c>
      <c r="E519" s="1" t="s">
        <v>20</v>
      </c>
      <c r="F519" s="1" t="str">
        <f aca="false">TEXT(B519,"mmm-yyyy")</f>
        <v>Nov-2024</v>
      </c>
    </row>
    <row r="520" customFormat="false" ht="72" hidden="false" customHeight="true" outlineLevel="0" collapsed="false">
      <c r="A520" s="1" t="n">
        <v>4</v>
      </c>
      <c r="B520" s="10" t="n">
        <v>45620</v>
      </c>
      <c r="C520" s="11" t="s">
        <v>538</v>
      </c>
      <c r="D520" s="1" t="s">
        <v>8</v>
      </c>
      <c r="E520" s="1" t="s">
        <v>18</v>
      </c>
      <c r="F520" s="1" t="str">
        <f aca="false">TEXT(B520,"mmm-yyyy")</f>
        <v>Nov-2024</v>
      </c>
    </row>
    <row r="521" customFormat="false" ht="101.25" hidden="false" customHeight="true" outlineLevel="0" collapsed="false">
      <c r="A521" s="1" t="n">
        <v>1</v>
      </c>
      <c r="B521" s="10" t="n">
        <v>45579</v>
      </c>
      <c r="C521" s="11" t="s">
        <v>539</v>
      </c>
      <c r="D521" s="1" t="s">
        <v>8</v>
      </c>
      <c r="E521" s="1" t="s">
        <v>18</v>
      </c>
      <c r="F521" s="1" t="str">
        <f aca="false">TEXT(B521,"mmm-yyyy")</f>
        <v>Oct-2024</v>
      </c>
    </row>
    <row r="522" customFormat="false" ht="43.5" hidden="false" customHeight="true" outlineLevel="0" collapsed="false">
      <c r="A522" s="1" t="n">
        <v>1</v>
      </c>
      <c r="B522" s="10" t="n">
        <v>45583</v>
      </c>
      <c r="C522" s="11" t="s">
        <v>540</v>
      </c>
      <c r="D522" s="1" t="s">
        <v>8</v>
      </c>
      <c r="E522" s="1" t="s">
        <v>20</v>
      </c>
      <c r="F522" s="1" t="str">
        <f aca="false">TEXT(B522,"mmm-yyyy")</f>
        <v>Oct-2024</v>
      </c>
    </row>
    <row r="523" customFormat="false" ht="43.5" hidden="false" customHeight="true" outlineLevel="0" collapsed="false">
      <c r="A523" s="1" t="n">
        <v>4</v>
      </c>
      <c r="B523" s="10" t="n">
        <v>45649</v>
      </c>
      <c r="C523" s="11" t="s">
        <v>541</v>
      </c>
      <c r="D523" s="1" t="s">
        <v>8</v>
      </c>
      <c r="E523" s="1" t="s">
        <v>18</v>
      </c>
      <c r="F523" s="1" t="str">
        <f aca="false">TEXT(B523,"mmm-yyyy")</f>
        <v>Dec-2024</v>
      </c>
    </row>
    <row r="524" customFormat="false" ht="115.5" hidden="false" customHeight="true" outlineLevel="0" collapsed="false">
      <c r="A524" s="1" t="n">
        <v>4</v>
      </c>
      <c r="B524" s="10" t="n">
        <v>45597</v>
      </c>
      <c r="C524" s="11" t="s">
        <v>542</v>
      </c>
      <c r="D524" s="1" t="s">
        <v>8</v>
      </c>
      <c r="E524" s="1" t="s">
        <v>20</v>
      </c>
      <c r="F524" s="1" t="str">
        <f aca="false">TEXT(B524,"mmm-yyyy")</f>
        <v>Nov-2024</v>
      </c>
    </row>
    <row r="525" customFormat="false" ht="72" hidden="false" customHeight="true" outlineLevel="0" collapsed="false">
      <c r="A525" s="1" t="n">
        <v>1</v>
      </c>
      <c r="B525" s="10" t="n">
        <v>45617</v>
      </c>
      <c r="C525" s="11" t="s">
        <v>543</v>
      </c>
      <c r="D525" s="1" t="s">
        <v>8</v>
      </c>
      <c r="E525" s="1" t="s">
        <v>20</v>
      </c>
      <c r="F525" s="1" t="str">
        <f aca="false">TEXT(B525,"mmm-yyyy")</f>
        <v>Nov-2024</v>
      </c>
    </row>
    <row r="526" customFormat="false" ht="72" hidden="false" customHeight="true" outlineLevel="0" collapsed="false">
      <c r="A526" s="1" t="n">
        <v>5</v>
      </c>
      <c r="B526" s="10" t="n">
        <v>45625</v>
      </c>
      <c r="C526" s="11" t="s">
        <v>544</v>
      </c>
      <c r="D526" s="1" t="s">
        <v>8</v>
      </c>
      <c r="E526" s="1" t="s">
        <v>20</v>
      </c>
      <c r="F526" s="1" t="str">
        <f aca="false">TEXT(B526,"mmm-yyyy")</f>
        <v>Nov-2024</v>
      </c>
    </row>
    <row r="527" customFormat="false" ht="101.25" hidden="false" customHeight="true" outlineLevel="0" collapsed="false">
      <c r="A527" s="1" t="n">
        <v>1</v>
      </c>
      <c r="B527" s="10" t="n">
        <v>45608</v>
      </c>
      <c r="C527" s="11" t="s">
        <v>545</v>
      </c>
      <c r="D527" s="1" t="s">
        <v>8</v>
      </c>
      <c r="E527" s="1" t="s">
        <v>20</v>
      </c>
      <c r="F527" s="1" t="str">
        <f aca="false">TEXT(B527,"mmm-yyyy")</f>
        <v>Nov-2024</v>
      </c>
    </row>
    <row r="528" customFormat="false" ht="130.5" hidden="false" customHeight="true" outlineLevel="0" collapsed="false">
      <c r="A528" s="1" t="n">
        <v>1</v>
      </c>
      <c r="B528" s="10" t="n">
        <v>45579</v>
      </c>
      <c r="C528" s="11" t="s">
        <v>546</v>
      </c>
      <c r="D528" s="1" t="s">
        <v>8</v>
      </c>
      <c r="E528" s="1" t="s">
        <v>18</v>
      </c>
      <c r="F528" s="1" t="str">
        <f aca="false">TEXT(B528,"mmm-yyyy")</f>
        <v>Oct-2024</v>
      </c>
    </row>
    <row r="529" customFormat="false" ht="57.75" hidden="false" customHeight="true" outlineLevel="0" collapsed="false">
      <c r="A529" s="1" t="n">
        <v>1</v>
      </c>
      <c r="B529" s="10" t="n">
        <v>45582</v>
      </c>
      <c r="C529" s="11" t="s">
        <v>547</v>
      </c>
      <c r="D529" s="1" t="s">
        <v>8</v>
      </c>
      <c r="E529" s="1" t="s">
        <v>18</v>
      </c>
      <c r="F529" s="1" t="str">
        <f aca="false">TEXT(B529,"mmm-yyyy")</f>
        <v>Oct-2024</v>
      </c>
    </row>
    <row r="530" customFormat="false" ht="101.25" hidden="false" customHeight="true" outlineLevel="0" collapsed="false">
      <c r="A530" s="1" t="n">
        <v>1</v>
      </c>
      <c r="B530" s="10" t="n">
        <v>45601</v>
      </c>
      <c r="C530" s="11" t="s">
        <v>548</v>
      </c>
      <c r="D530" s="1" t="s">
        <v>8</v>
      </c>
      <c r="E530" s="1" t="s">
        <v>20</v>
      </c>
      <c r="F530" s="1" t="str">
        <f aca="false">TEXT(B530,"mmm-yyyy")</f>
        <v>Nov-2024</v>
      </c>
    </row>
    <row r="531" customFormat="false" ht="115.5" hidden="false" customHeight="true" outlineLevel="0" collapsed="false">
      <c r="A531" s="1" t="n">
        <v>1</v>
      </c>
      <c r="B531" s="10" t="n">
        <v>45585</v>
      </c>
      <c r="C531" s="11" t="s">
        <v>549</v>
      </c>
      <c r="D531" s="1" t="s">
        <v>8</v>
      </c>
      <c r="E531" s="1" t="s">
        <v>32</v>
      </c>
      <c r="F531" s="1" t="str">
        <f aca="false">TEXT(B531,"mmm-yyyy")</f>
        <v>Oct-2024</v>
      </c>
    </row>
    <row r="532" customFormat="false" ht="57.75" hidden="false" customHeight="true" outlineLevel="0" collapsed="false">
      <c r="A532" s="1" t="n">
        <v>5</v>
      </c>
      <c r="B532" s="10" t="n">
        <v>45580</v>
      </c>
      <c r="C532" s="11" t="s">
        <v>550</v>
      </c>
      <c r="D532" s="1" t="s">
        <v>8</v>
      </c>
      <c r="E532" s="1" t="s">
        <v>20</v>
      </c>
      <c r="F532" s="1" t="str">
        <f aca="false">TEXT(B532,"mmm-yyyy")</f>
        <v>Oct-2024</v>
      </c>
    </row>
    <row r="533" customFormat="false" ht="72" hidden="false" customHeight="true" outlineLevel="0" collapsed="false">
      <c r="A533" s="1" t="n">
        <v>5</v>
      </c>
      <c r="B533" s="10" t="n">
        <v>45583</v>
      </c>
      <c r="C533" s="11" t="s">
        <v>551</v>
      </c>
      <c r="D533" s="1" t="s">
        <v>8</v>
      </c>
      <c r="E533" s="1" t="s">
        <v>20</v>
      </c>
      <c r="F533" s="1" t="str">
        <f aca="false">TEXT(B533,"mmm-yyyy")</f>
        <v>Oct-2024</v>
      </c>
    </row>
    <row r="534" customFormat="false" ht="115.5" hidden="false" customHeight="true" outlineLevel="0" collapsed="false">
      <c r="A534" s="1" t="n">
        <v>1</v>
      </c>
      <c r="B534" s="10" t="n">
        <v>45635</v>
      </c>
      <c r="C534" s="11" t="s">
        <v>552</v>
      </c>
      <c r="D534" s="1" t="s">
        <v>8</v>
      </c>
      <c r="E534" s="1" t="s">
        <v>20</v>
      </c>
      <c r="F534" s="1" t="str">
        <f aca="false">TEXT(B534,"mmm-yyyy")</f>
        <v>Dec-2024</v>
      </c>
    </row>
    <row r="535" customFormat="false" ht="101.25" hidden="false" customHeight="true" outlineLevel="0" collapsed="false">
      <c r="A535" s="1" t="n">
        <v>1</v>
      </c>
      <c r="B535" s="10" t="n">
        <v>45615</v>
      </c>
      <c r="C535" s="11" t="s">
        <v>553</v>
      </c>
      <c r="D535" s="1" t="s">
        <v>8</v>
      </c>
      <c r="E535" s="1" t="s">
        <v>20</v>
      </c>
      <c r="F535" s="1" t="str">
        <f aca="false">TEXT(B535,"mmm-yyyy")</f>
        <v>Nov-2024</v>
      </c>
    </row>
    <row r="536" customFormat="false" ht="72" hidden="false" customHeight="true" outlineLevel="0" collapsed="false">
      <c r="A536" s="1" t="n">
        <v>5</v>
      </c>
      <c r="B536" s="10" t="n">
        <v>45639</v>
      </c>
      <c r="C536" s="11" t="s">
        <v>554</v>
      </c>
      <c r="D536" s="1" t="s">
        <v>8</v>
      </c>
      <c r="E536" s="1" t="s">
        <v>18</v>
      </c>
      <c r="F536" s="1" t="str">
        <f aca="false">TEXT(B536,"mmm-yyyy")</f>
        <v>Dec-2024</v>
      </c>
    </row>
    <row r="537" customFormat="false" ht="115.5" hidden="false" customHeight="true" outlineLevel="0" collapsed="false">
      <c r="A537" s="1" t="n">
        <v>1</v>
      </c>
      <c r="B537" s="10" t="n">
        <v>45581</v>
      </c>
      <c r="C537" s="11" t="s">
        <v>555</v>
      </c>
      <c r="D537" s="1" t="s">
        <v>8</v>
      </c>
      <c r="E537" s="1" t="s">
        <v>20</v>
      </c>
      <c r="F537" s="1" t="str">
        <f aca="false">TEXT(B537,"mmm-yyyy")</f>
        <v>Oct-2024</v>
      </c>
    </row>
    <row r="538" customFormat="false" ht="87" hidden="false" customHeight="true" outlineLevel="0" collapsed="false">
      <c r="A538" s="1" t="n">
        <v>4</v>
      </c>
      <c r="B538" s="10" t="n">
        <v>45612</v>
      </c>
      <c r="C538" s="11" t="s">
        <v>556</v>
      </c>
      <c r="D538" s="1" t="s">
        <v>8</v>
      </c>
      <c r="E538" s="1" t="s">
        <v>18</v>
      </c>
      <c r="F538" s="1" t="str">
        <f aca="false">TEXT(B538,"mmm-yyyy")</f>
        <v>Nov-2024</v>
      </c>
    </row>
    <row r="539" customFormat="false" ht="130.5" hidden="false" customHeight="true" outlineLevel="0" collapsed="false">
      <c r="A539" s="1" t="n">
        <v>1</v>
      </c>
      <c r="B539" s="10" t="n">
        <v>45575</v>
      </c>
      <c r="C539" s="11" t="s">
        <v>557</v>
      </c>
      <c r="D539" s="1" t="s">
        <v>8</v>
      </c>
      <c r="E539" s="1" t="s">
        <v>18</v>
      </c>
      <c r="F539" s="1" t="str">
        <f aca="false">TEXT(B539,"mmm-yyyy")</f>
        <v>Oct-2024</v>
      </c>
    </row>
    <row r="540" customFormat="false" ht="115.5" hidden="false" customHeight="true" outlineLevel="0" collapsed="false">
      <c r="A540" s="1" t="n">
        <v>2</v>
      </c>
      <c r="B540" s="10" t="n">
        <v>45607</v>
      </c>
      <c r="C540" s="11" t="s">
        <v>558</v>
      </c>
      <c r="D540" s="1" t="s">
        <v>8</v>
      </c>
      <c r="E540" s="1" t="s">
        <v>20</v>
      </c>
      <c r="F540" s="1" t="str">
        <f aca="false">TEXT(B540,"mmm-yyyy")</f>
        <v>Nov-2024</v>
      </c>
    </row>
    <row r="541" customFormat="false" ht="72" hidden="false" customHeight="true" outlineLevel="0" collapsed="false">
      <c r="A541" s="1" t="n">
        <v>2</v>
      </c>
      <c r="B541" s="10" t="n">
        <v>45575</v>
      </c>
      <c r="C541" s="11" t="s">
        <v>559</v>
      </c>
      <c r="D541" s="1" t="s">
        <v>8</v>
      </c>
      <c r="E541" s="1" t="s">
        <v>18</v>
      </c>
      <c r="F541" s="1" t="str">
        <f aca="false">TEXT(B541,"mmm-yyyy")</f>
        <v>Oct-2024</v>
      </c>
    </row>
    <row r="542" customFormat="false" ht="130.5" hidden="false" customHeight="true" outlineLevel="0" collapsed="false">
      <c r="A542" s="1" t="n">
        <v>5</v>
      </c>
      <c r="B542" s="10" t="n">
        <v>45631</v>
      </c>
      <c r="C542" s="11" t="s">
        <v>560</v>
      </c>
      <c r="D542" s="1" t="s">
        <v>8</v>
      </c>
      <c r="E542" s="1" t="s">
        <v>18</v>
      </c>
      <c r="F542" s="1" t="str">
        <f aca="false">TEXT(B542,"mmm-yyyy")</f>
        <v>Dec-2024</v>
      </c>
    </row>
    <row r="543" customFormat="false" ht="101.25" hidden="false" customHeight="true" outlineLevel="0" collapsed="false">
      <c r="A543" s="1" t="n">
        <v>1</v>
      </c>
      <c r="B543" s="10" t="n">
        <v>45594</v>
      </c>
      <c r="C543" s="11" t="s">
        <v>561</v>
      </c>
      <c r="D543" s="1" t="s">
        <v>8</v>
      </c>
      <c r="E543" s="1" t="s">
        <v>20</v>
      </c>
      <c r="F543" s="1" t="str">
        <f aca="false">TEXT(B543,"mmm-yyyy")</f>
        <v>Oct-2024</v>
      </c>
    </row>
    <row r="544" customFormat="false" ht="57.75" hidden="false" customHeight="true" outlineLevel="0" collapsed="false">
      <c r="A544" s="1" t="n">
        <v>5</v>
      </c>
      <c r="B544" s="10" t="n">
        <v>45617</v>
      </c>
      <c r="C544" s="11" t="s">
        <v>562</v>
      </c>
      <c r="D544" s="1" t="s">
        <v>8</v>
      </c>
      <c r="E544" s="1" t="s">
        <v>18</v>
      </c>
      <c r="F544" s="1" t="str">
        <f aca="false">TEXT(B544,"mmm-yyyy")</f>
        <v>Nov-2024</v>
      </c>
    </row>
    <row r="545" customFormat="false" ht="115.5" hidden="false" customHeight="true" outlineLevel="0" collapsed="false">
      <c r="A545" s="1" t="n">
        <v>1</v>
      </c>
      <c r="B545" s="10" t="n">
        <v>45577</v>
      </c>
      <c r="C545" s="11" t="s">
        <v>563</v>
      </c>
      <c r="D545" s="1" t="s">
        <v>8</v>
      </c>
      <c r="E545" s="1" t="s">
        <v>20</v>
      </c>
      <c r="F545" s="1" t="str">
        <f aca="false">TEXT(B545,"mmm-yyyy")</f>
        <v>Oct-2024</v>
      </c>
    </row>
    <row r="546" customFormat="false" ht="144.75" hidden="false" customHeight="true" outlineLevel="0" collapsed="false">
      <c r="A546" s="1" t="n">
        <v>5</v>
      </c>
      <c r="B546" s="10" t="n">
        <v>45600</v>
      </c>
      <c r="C546" s="11" t="s">
        <v>564</v>
      </c>
      <c r="D546" s="1" t="s">
        <v>8</v>
      </c>
      <c r="E546" s="1" t="s">
        <v>18</v>
      </c>
      <c r="F546" s="1" t="str">
        <f aca="false">TEXT(B546,"mmm-yyyy")</f>
        <v>Nov-2024</v>
      </c>
    </row>
    <row r="547" customFormat="false" ht="101.25" hidden="false" customHeight="true" outlineLevel="0" collapsed="false">
      <c r="A547" s="1" t="n">
        <v>1</v>
      </c>
      <c r="B547" s="10" t="n">
        <v>45631</v>
      </c>
      <c r="C547" s="11" t="s">
        <v>565</v>
      </c>
      <c r="D547" s="1" t="s">
        <v>8</v>
      </c>
      <c r="E547" s="1" t="s">
        <v>20</v>
      </c>
      <c r="F547" s="1" t="str">
        <f aca="false">TEXT(B547,"mmm-yyyy")</f>
        <v>Dec-2024</v>
      </c>
    </row>
    <row r="548" customFormat="false" ht="130.5" hidden="false" customHeight="true" outlineLevel="0" collapsed="false">
      <c r="A548" s="1" t="n">
        <v>3</v>
      </c>
      <c r="B548" s="10" t="n">
        <v>45587</v>
      </c>
      <c r="C548" s="11" t="s">
        <v>566</v>
      </c>
      <c r="D548" s="1" t="s">
        <v>8</v>
      </c>
      <c r="E548" s="1" t="s">
        <v>20</v>
      </c>
      <c r="F548" s="1" t="str">
        <f aca="false">TEXT(B548,"mmm-yyyy")</f>
        <v>Oct-2024</v>
      </c>
    </row>
    <row r="549" customFormat="false" ht="72" hidden="false" customHeight="true" outlineLevel="0" collapsed="false">
      <c r="A549" s="1" t="n">
        <v>1</v>
      </c>
      <c r="B549" s="10" t="n">
        <v>45610</v>
      </c>
      <c r="C549" s="11" t="s">
        <v>567</v>
      </c>
      <c r="D549" s="1" t="s">
        <v>8</v>
      </c>
      <c r="E549" s="1" t="s">
        <v>20</v>
      </c>
      <c r="F549" s="1" t="str">
        <f aca="false">TEXT(B549,"mmm-yyyy")</f>
        <v>Nov-2024</v>
      </c>
    </row>
    <row r="550" customFormat="false" ht="115.5" hidden="false" customHeight="true" outlineLevel="0" collapsed="false">
      <c r="A550" s="1" t="n">
        <v>1</v>
      </c>
      <c r="B550" s="10" t="n">
        <v>45636</v>
      </c>
      <c r="C550" s="11" t="s">
        <v>568</v>
      </c>
      <c r="D550" s="1" t="s">
        <v>8</v>
      </c>
      <c r="E550" s="1" t="s">
        <v>20</v>
      </c>
      <c r="F550" s="1" t="str">
        <f aca="false">TEXT(B550,"mmm-yyyy")</f>
        <v>Dec-2024</v>
      </c>
    </row>
    <row r="551" customFormat="false" ht="43.5" hidden="false" customHeight="true" outlineLevel="0" collapsed="false">
      <c r="A551" s="1" t="n">
        <v>5</v>
      </c>
      <c r="B551" s="10" t="n">
        <v>45590</v>
      </c>
      <c r="C551" s="11" t="s">
        <v>569</v>
      </c>
      <c r="D551" s="1" t="s">
        <v>8</v>
      </c>
      <c r="E551" s="1" t="s">
        <v>18</v>
      </c>
      <c r="F551" s="1" t="str">
        <f aca="false">TEXT(B551,"mmm-yyyy")</f>
        <v>Oct-2024</v>
      </c>
    </row>
    <row r="552" customFormat="false" ht="72" hidden="false" customHeight="true" outlineLevel="0" collapsed="false">
      <c r="A552" s="1" t="n">
        <v>1</v>
      </c>
      <c r="B552" s="10" t="n">
        <v>45578</v>
      </c>
      <c r="C552" s="11" t="s">
        <v>570</v>
      </c>
      <c r="D552" s="1" t="s">
        <v>8</v>
      </c>
      <c r="E552" s="1" t="s">
        <v>32</v>
      </c>
      <c r="F552" s="1" t="str">
        <f aca="false">TEXT(B552,"mmm-yyyy")</f>
        <v>Oct-2024</v>
      </c>
    </row>
    <row r="553" customFormat="false" ht="115.5" hidden="false" customHeight="true" outlineLevel="0" collapsed="false">
      <c r="A553" s="1" t="n">
        <v>1</v>
      </c>
      <c r="B553" s="10" t="n">
        <v>45589</v>
      </c>
      <c r="C553" s="11" t="s">
        <v>571</v>
      </c>
      <c r="D553" s="1" t="s">
        <v>8</v>
      </c>
      <c r="E553" s="1" t="s">
        <v>20</v>
      </c>
      <c r="F553" s="1" t="str">
        <f aca="false">TEXT(B553,"mmm-yyyy")</f>
        <v>Oct-2024</v>
      </c>
    </row>
    <row r="554" customFormat="false" ht="101.25" hidden="false" customHeight="true" outlineLevel="0" collapsed="false">
      <c r="A554" s="1" t="n">
        <v>1</v>
      </c>
      <c r="B554" s="10" t="n">
        <v>45635</v>
      </c>
      <c r="C554" s="11" t="s">
        <v>572</v>
      </c>
      <c r="D554" s="1" t="s">
        <v>8</v>
      </c>
      <c r="E554" s="1" t="s">
        <v>20</v>
      </c>
      <c r="F554" s="1" t="str">
        <f aca="false">TEXT(B554,"mmm-yyyy")</f>
        <v>Dec-2024</v>
      </c>
    </row>
    <row r="555" customFormat="false" ht="57.75" hidden="false" customHeight="true" outlineLevel="0" collapsed="false">
      <c r="A555" s="1" t="n">
        <v>1</v>
      </c>
      <c r="B555" s="10" t="n">
        <v>45594</v>
      </c>
      <c r="C555" s="11" t="s">
        <v>573</v>
      </c>
      <c r="D555" s="1" t="s">
        <v>8</v>
      </c>
      <c r="E555" s="1" t="s">
        <v>20</v>
      </c>
      <c r="F555" s="1" t="str">
        <f aca="false">TEXT(B555,"mmm-yyyy")</f>
        <v>Oct-2024</v>
      </c>
    </row>
    <row r="556" customFormat="false" ht="43.5" hidden="false" customHeight="true" outlineLevel="0" collapsed="false">
      <c r="A556" s="1" t="n">
        <v>5</v>
      </c>
      <c r="B556" s="10" t="n">
        <v>45585</v>
      </c>
      <c r="C556" s="11" t="s">
        <v>574</v>
      </c>
      <c r="D556" s="1" t="s">
        <v>8</v>
      </c>
      <c r="E556" s="1" t="s">
        <v>18</v>
      </c>
      <c r="F556" s="1" t="str">
        <f aca="false">TEXT(B556,"mmm-yyyy")</f>
        <v>Oct-2024</v>
      </c>
    </row>
    <row r="557" customFormat="false" ht="87" hidden="false" customHeight="true" outlineLevel="0" collapsed="false">
      <c r="A557" s="1" t="n">
        <v>3</v>
      </c>
      <c r="B557" s="10" t="n">
        <v>45620</v>
      </c>
      <c r="C557" s="11" t="s">
        <v>575</v>
      </c>
      <c r="D557" s="1" t="s">
        <v>8</v>
      </c>
      <c r="E557" s="1" t="s">
        <v>18</v>
      </c>
      <c r="F557" s="1" t="str">
        <f aca="false">TEXT(B557,"mmm-yyyy")</f>
        <v>Nov-2024</v>
      </c>
    </row>
    <row r="558" customFormat="false" ht="115.5" hidden="false" customHeight="true" outlineLevel="0" collapsed="false">
      <c r="A558" s="1" t="n">
        <v>1</v>
      </c>
      <c r="B558" s="10" t="n">
        <v>45628</v>
      </c>
      <c r="C558" s="11" t="s">
        <v>576</v>
      </c>
      <c r="D558" s="1" t="s">
        <v>8</v>
      </c>
      <c r="E558" s="1" t="s">
        <v>20</v>
      </c>
      <c r="F558" s="1" t="str">
        <f aca="false">TEXT(B558,"mmm-yyyy")</f>
        <v>Dec-2024</v>
      </c>
    </row>
    <row r="559" customFormat="false" ht="72" hidden="false" customHeight="true" outlineLevel="0" collapsed="false">
      <c r="A559" s="1" t="n">
        <v>4</v>
      </c>
      <c r="B559" s="10" t="n">
        <v>45609</v>
      </c>
      <c r="C559" s="11" t="s">
        <v>577</v>
      </c>
      <c r="D559" s="1" t="s">
        <v>8</v>
      </c>
      <c r="E559" s="1" t="s">
        <v>18</v>
      </c>
      <c r="F559" s="1" t="str">
        <f aca="false">TEXT(B559,"mmm-yyyy")</f>
        <v>Nov-2024</v>
      </c>
    </row>
    <row r="560" customFormat="false" ht="57.75" hidden="false" customHeight="true" outlineLevel="0" collapsed="false">
      <c r="A560" s="1" t="n">
        <v>5</v>
      </c>
      <c r="B560" s="10" t="n">
        <v>45622</v>
      </c>
      <c r="C560" s="11" t="s">
        <v>578</v>
      </c>
      <c r="D560" s="1" t="s">
        <v>8</v>
      </c>
      <c r="E560" s="1" t="s">
        <v>18</v>
      </c>
      <c r="F560" s="1" t="str">
        <f aca="false">TEXT(B560,"mmm-yyyy")</f>
        <v>Nov-2024</v>
      </c>
    </row>
    <row r="561" customFormat="false" ht="115.5" hidden="false" customHeight="true" outlineLevel="0" collapsed="false">
      <c r="A561" s="1" t="n">
        <v>1</v>
      </c>
      <c r="B561" s="10" t="n">
        <v>45591</v>
      </c>
      <c r="C561" s="11" t="s">
        <v>579</v>
      </c>
      <c r="D561" s="1" t="s">
        <v>8</v>
      </c>
      <c r="E561" s="1" t="s">
        <v>18</v>
      </c>
      <c r="F561" s="1" t="str">
        <f aca="false">TEXT(B561,"mmm-yyyy")</f>
        <v>Oct-2024</v>
      </c>
    </row>
    <row r="562" customFormat="false" ht="87" hidden="false" customHeight="true" outlineLevel="0" collapsed="false">
      <c r="A562" s="1" t="n">
        <v>5</v>
      </c>
      <c r="B562" s="10" t="n">
        <v>45623</v>
      </c>
      <c r="C562" s="11" t="s">
        <v>580</v>
      </c>
      <c r="D562" s="1" t="s">
        <v>8</v>
      </c>
      <c r="E562" s="1" t="s">
        <v>18</v>
      </c>
      <c r="F562" s="1" t="str">
        <f aca="false">TEXT(B562,"mmm-yyyy")</f>
        <v>Nov-2024</v>
      </c>
    </row>
    <row r="563" customFormat="false" ht="57.75" hidden="false" customHeight="true" outlineLevel="0" collapsed="false">
      <c r="A563" s="1" t="n">
        <v>5</v>
      </c>
      <c r="B563" s="10" t="n">
        <v>45588</v>
      </c>
      <c r="C563" s="11" t="s">
        <v>581</v>
      </c>
      <c r="D563" s="1" t="s">
        <v>8</v>
      </c>
      <c r="E563" s="1" t="s">
        <v>18</v>
      </c>
      <c r="F563" s="1" t="str">
        <f aca="false">TEXT(B563,"mmm-yyyy")</f>
        <v>Oct-2024</v>
      </c>
    </row>
    <row r="564" customFormat="false" ht="101.25" hidden="false" customHeight="true" outlineLevel="0" collapsed="false">
      <c r="A564" s="1" t="n">
        <v>3</v>
      </c>
      <c r="B564" s="10" t="n">
        <v>45590</v>
      </c>
      <c r="C564" s="11" t="s">
        <v>582</v>
      </c>
      <c r="D564" s="1" t="s">
        <v>8</v>
      </c>
      <c r="E564" s="1" t="s">
        <v>18</v>
      </c>
      <c r="F564" s="1" t="str">
        <f aca="false">TEXT(B564,"mmm-yyyy")</f>
        <v>Oct-2024</v>
      </c>
    </row>
    <row r="565" customFormat="false" ht="57.75" hidden="false" customHeight="true" outlineLevel="0" collapsed="false">
      <c r="A565" s="1" t="n">
        <v>5</v>
      </c>
      <c r="B565" s="10" t="n">
        <v>45610</v>
      </c>
      <c r="C565" s="11" t="s">
        <v>583</v>
      </c>
      <c r="D565" s="1" t="s">
        <v>8</v>
      </c>
      <c r="E565" s="1" t="s">
        <v>18</v>
      </c>
      <c r="F565" s="1" t="str">
        <f aca="false">TEXT(B565,"mmm-yyyy")</f>
        <v>Nov-2024</v>
      </c>
    </row>
    <row r="566" customFormat="false" ht="57.75" hidden="false" customHeight="true" outlineLevel="0" collapsed="false">
      <c r="A566" s="1" t="n">
        <v>5</v>
      </c>
      <c r="B566" s="10" t="n">
        <v>45636</v>
      </c>
      <c r="C566" s="11" t="s">
        <v>584</v>
      </c>
      <c r="D566" s="1" t="s">
        <v>8</v>
      </c>
      <c r="E566" s="1" t="s">
        <v>18</v>
      </c>
      <c r="F566" s="1" t="str">
        <f aca="false">TEXT(B566,"mmm-yyyy")</f>
        <v>Dec-2024</v>
      </c>
    </row>
    <row r="567" customFormat="false" ht="101.25" hidden="false" customHeight="true" outlineLevel="0" collapsed="false">
      <c r="A567" s="1" t="n">
        <v>1</v>
      </c>
      <c r="B567" s="10" t="n">
        <v>45592</v>
      </c>
      <c r="C567" s="11" t="s">
        <v>585</v>
      </c>
      <c r="D567" s="1" t="s">
        <v>8</v>
      </c>
      <c r="E567" s="1" t="s">
        <v>20</v>
      </c>
      <c r="F567" s="1" t="str">
        <f aca="false">TEXT(B567,"mmm-yyyy")</f>
        <v>Oct-2024</v>
      </c>
    </row>
    <row r="568" customFormat="false" ht="115.5" hidden="false" customHeight="true" outlineLevel="0" collapsed="false">
      <c r="A568" s="1" t="n">
        <v>1</v>
      </c>
      <c r="B568" s="10" t="n">
        <v>45575</v>
      </c>
      <c r="C568" s="11" t="s">
        <v>586</v>
      </c>
      <c r="D568" s="1" t="s">
        <v>8</v>
      </c>
      <c r="E568" s="1" t="s">
        <v>18</v>
      </c>
      <c r="F568" s="1" t="str">
        <f aca="false">TEXT(B568,"mmm-yyyy")</f>
        <v>Oct-2024</v>
      </c>
    </row>
    <row r="569" customFormat="false" ht="101.25" hidden="false" customHeight="true" outlineLevel="0" collapsed="false">
      <c r="A569" s="1" t="n">
        <v>2</v>
      </c>
      <c r="B569" s="10" t="n">
        <v>45618</v>
      </c>
      <c r="C569" s="11" t="s">
        <v>587</v>
      </c>
      <c r="D569" s="1" t="s">
        <v>8</v>
      </c>
      <c r="E569" s="1" t="s">
        <v>20</v>
      </c>
      <c r="F569" s="1" t="str">
        <f aca="false">TEXT(B569,"mmm-yyyy")</f>
        <v>Nov-2024</v>
      </c>
    </row>
    <row r="570" customFormat="false" ht="72" hidden="false" customHeight="true" outlineLevel="0" collapsed="false">
      <c r="A570" s="1" t="n">
        <v>3</v>
      </c>
      <c r="B570" s="10" t="n">
        <v>45582</v>
      </c>
      <c r="C570" s="11" t="s">
        <v>588</v>
      </c>
      <c r="D570" s="1" t="s">
        <v>8</v>
      </c>
      <c r="E570" s="1" t="s">
        <v>20</v>
      </c>
      <c r="F570" s="1" t="str">
        <f aca="false">TEXT(B570,"mmm-yyyy")</f>
        <v>Oct-2024</v>
      </c>
    </row>
    <row r="571" customFormat="false" ht="87" hidden="false" customHeight="true" outlineLevel="0" collapsed="false">
      <c r="A571" s="1" t="n">
        <v>1</v>
      </c>
      <c r="B571" s="10" t="n">
        <v>45612</v>
      </c>
      <c r="C571" s="11" t="s">
        <v>589</v>
      </c>
      <c r="D571" s="1" t="s">
        <v>8</v>
      </c>
      <c r="E571" s="1" t="s">
        <v>20</v>
      </c>
      <c r="F571" s="1" t="str">
        <f aca="false">TEXT(B571,"mmm-yyyy")</f>
        <v>Nov-2024</v>
      </c>
    </row>
    <row r="572" customFormat="false" ht="57.75" hidden="false" customHeight="true" outlineLevel="0" collapsed="false">
      <c r="A572" s="1" t="n">
        <v>5</v>
      </c>
      <c r="B572" s="10" t="n">
        <v>45599</v>
      </c>
      <c r="C572" s="11" t="s">
        <v>590</v>
      </c>
      <c r="D572" s="1" t="s">
        <v>8</v>
      </c>
      <c r="E572" s="1" t="s">
        <v>18</v>
      </c>
      <c r="F572" s="1" t="str">
        <f aca="false">TEXT(B572,"mmm-yyyy")</f>
        <v>Nov-2024</v>
      </c>
    </row>
    <row r="573" customFormat="false" ht="115.5" hidden="false" customHeight="true" outlineLevel="0" collapsed="false">
      <c r="A573" s="1" t="n">
        <v>3</v>
      </c>
      <c r="B573" s="10" t="n">
        <v>45591</v>
      </c>
      <c r="C573" s="11" t="s">
        <v>591</v>
      </c>
      <c r="D573" s="1" t="s">
        <v>8</v>
      </c>
      <c r="E573" s="1" t="s">
        <v>18</v>
      </c>
      <c r="F573" s="1" t="str">
        <f aca="false">TEXT(B573,"mmm-yyyy")</f>
        <v>Oct-2024</v>
      </c>
    </row>
    <row r="574" customFormat="false" ht="87" hidden="false" customHeight="true" outlineLevel="0" collapsed="false">
      <c r="A574" s="1" t="n">
        <v>5</v>
      </c>
      <c r="B574" s="10" t="n">
        <v>45619</v>
      </c>
      <c r="C574" s="11" t="s">
        <v>592</v>
      </c>
      <c r="D574" s="1" t="s">
        <v>8</v>
      </c>
      <c r="E574" s="1" t="s">
        <v>18</v>
      </c>
      <c r="F574" s="1" t="str">
        <f aca="false">TEXT(B574,"mmm-yyyy")</f>
        <v>Nov-2024</v>
      </c>
    </row>
    <row r="575" customFormat="false" ht="43.5" hidden="false" customHeight="true" outlineLevel="0" collapsed="false">
      <c r="A575" s="1" t="n">
        <v>1</v>
      </c>
      <c r="B575" s="10" t="n">
        <v>45573</v>
      </c>
      <c r="C575" s="11" t="s">
        <v>593</v>
      </c>
      <c r="D575" s="1" t="s">
        <v>8</v>
      </c>
      <c r="E575" s="1" t="s">
        <v>20</v>
      </c>
      <c r="F575" s="1" t="str">
        <f aca="false">TEXT(B575,"mmm-yyyy")</f>
        <v>Oct-2024</v>
      </c>
    </row>
    <row r="576" customFormat="false" ht="72" hidden="false" customHeight="true" outlineLevel="0" collapsed="false">
      <c r="A576" s="1" t="n">
        <v>2</v>
      </c>
      <c r="B576" s="10" t="n">
        <v>45582</v>
      </c>
      <c r="C576" s="11" t="s">
        <v>594</v>
      </c>
      <c r="D576" s="1" t="s">
        <v>8</v>
      </c>
      <c r="E576" s="1" t="s">
        <v>32</v>
      </c>
      <c r="F576" s="1" t="str">
        <f aca="false">TEXT(B576,"mmm-yyyy")</f>
        <v>Oct-2024</v>
      </c>
    </row>
    <row r="577" customFormat="false" ht="57.75" hidden="false" customHeight="true" outlineLevel="0" collapsed="false">
      <c r="A577" s="1" t="n">
        <v>4</v>
      </c>
      <c r="B577" s="10" t="n">
        <v>45602</v>
      </c>
      <c r="C577" s="11" t="s">
        <v>595</v>
      </c>
      <c r="D577" s="1" t="s">
        <v>8</v>
      </c>
      <c r="E577" s="1" t="s">
        <v>18</v>
      </c>
      <c r="F577" s="1" t="str">
        <f aca="false">TEXT(B577,"mmm-yyyy")</f>
        <v>Nov-2024</v>
      </c>
    </row>
    <row r="578" customFormat="false" ht="57.75" hidden="false" customHeight="true" outlineLevel="0" collapsed="false">
      <c r="A578" s="1" t="n">
        <v>1</v>
      </c>
      <c r="B578" s="10" t="n">
        <v>45606</v>
      </c>
      <c r="C578" s="11" t="s">
        <v>596</v>
      </c>
      <c r="D578" s="1" t="s">
        <v>8</v>
      </c>
      <c r="E578" s="1" t="s">
        <v>20</v>
      </c>
      <c r="F578" s="1" t="str">
        <f aca="false">TEXT(B578,"mmm-yyyy")</f>
        <v>Nov-2024</v>
      </c>
    </row>
    <row r="579" customFormat="false" ht="43.5" hidden="false" customHeight="true" outlineLevel="0" collapsed="false">
      <c r="A579" s="1" t="n">
        <v>4</v>
      </c>
      <c r="B579" s="10" t="n">
        <v>45607</v>
      </c>
      <c r="C579" s="11" t="s">
        <v>597</v>
      </c>
      <c r="D579" s="1" t="s">
        <v>8</v>
      </c>
      <c r="E579" s="1" t="s">
        <v>18</v>
      </c>
      <c r="F579" s="1" t="str">
        <f aca="false">TEXT(B579,"mmm-yyyy")</f>
        <v>Nov-2024</v>
      </c>
    </row>
    <row r="580" customFormat="false" ht="87" hidden="false" customHeight="true" outlineLevel="0" collapsed="false">
      <c r="A580" s="1" t="n">
        <v>5</v>
      </c>
      <c r="B580" s="10" t="n">
        <v>45609</v>
      </c>
      <c r="C580" s="11" t="s">
        <v>598</v>
      </c>
      <c r="D580" s="1" t="s">
        <v>8</v>
      </c>
      <c r="E580" s="1" t="s">
        <v>18</v>
      </c>
      <c r="F580" s="1" t="str">
        <f aca="false">TEXT(B580,"mmm-yyyy")</f>
        <v>Nov-2024</v>
      </c>
    </row>
    <row r="581" customFormat="false" ht="101.25" hidden="false" customHeight="true" outlineLevel="0" collapsed="false">
      <c r="A581" s="1" t="n">
        <v>5</v>
      </c>
      <c r="B581" s="10" t="n">
        <v>45594</v>
      </c>
      <c r="C581" s="11" t="s">
        <v>599</v>
      </c>
      <c r="D581" s="1" t="s">
        <v>8</v>
      </c>
      <c r="E581" s="1" t="s">
        <v>20</v>
      </c>
      <c r="F581" s="1" t="str">
        <f aca="false">TEXT(B581,"mmm-yyyy")</f>
        <v>Oct-2024</v>
      </c>
    </row>
    <row r="582" customFormat="false" ht="43.5" hidden="false" customHeight="true" outlineLevel="0" collapsed="false">
      <c r="A582" s="1" t="n">
        <v>5</v>
      </c>
      <c r="B582" s="10" t="n">
        <v>45604</v>
      </c>
      <c r="C582" s="11" t="s">
        <v>600</v>
      </c>
      <c r="D582" s="1" t="s">
        <v>8</v>
      </c>
      <c r="E582" s="1" t="s">
        <v>18</v>
      </c>
      <c r="F582" s="1" t="str">
        <f aca="false">TEXT(B582,"mmm-yyyy")</f>
        <v>Nov-2024</v>
      </c>
    </row>
    <row r="583" customFormat="false" ht="87" hidden="false" customHeight="true" outlineLevel="0" collapsed="false">
      <c r="A583" s="1" t="n">
        <v>5</v>
      </c>
      <c r="B583" s="10" t="n">
        <v>45636</v>
      </c>
      <c r="C583" s="11" t="s">
        <v>601</v>
      </c>
      <c r="D583" s="1" t="s">
        <v>8</v>
      </c>
      <c r="E583" s="1" t="s">
        <v>18</v>
      </c>
      <c r="F583" s="1" t="str">
        <f aca="false">TEXT(B583,"mmm-yyyy")</f>
        <v>Dec-2024</v>
      </c>
    </row>
    <row r="584" customFormat="false" ht="101.25" hidden="false" customHeight="true" outlineLevel="0" collapsed="false">
      <c r="A584" s="1" t="n">
        <v>1</v>
      </c>
      <c r="B584" s="10" t="n">
        <v>45606</v>
      </c>
      <c r="C584" s="11" t="s">
        <v>602</v>
      </c>
      <c r="D584" s="1" t="s">
        <v>8</v>
      </c>
      <c r="E584" s="1" t="s">
        <v>20</v>
      </c>
      <c r="F584" s="1" t="str">
        <f aca="false">TEXT(B584,"mmm-yyyy")</f>
        <v>Nov-2024</v>
      </c>
    </row>
    <row r="585" customFormat="false" ht="101.25" hidden="false" customHeight="true" outlineLevel="0" collapsed="false">
      <c r="A585" s="1" t="n">
        <v>1</v>
      </c>
      <c r="B585" s="10" t="n">
        <v>45606</v>
      </c>
      <c r="C585" s="11" t="s">
        <v>603</v>
      </c>
      <c r="D585" s="1" t="s">
        <v>8</v>
      </c>
      <c r="E585" s="1" t="s">
        <v>20</v>
      </c>
      <c r="F585" s="1" t="str">
        <f aca="false">TEXT(B585,"mmm-yyyy")</f>
        <v>Nov-2024</v>
      </c>
    </row>
    <row r="586" customFormat="false" ht="57.75" hidden="false" customHeight="true" outlineLevel="0" collapsed="false">
      <c r="A586" s="1" t="n">
        <v>5</v>
      </c>
      <c r="B586" s="10" t="n">
        <v>45627</v>
      </c>
      <c r="C586" s="11" t="s">
        <v>604</v>
      </c>
      <c r="D586" s="1" t="s">
        <v>8</v>
      </c>
      <c r="E586" s="1" t="s">
        <v>18</v>
      </c>
      <c r="F586" s="1" t="str">
        <f aca="false">TEXT(B586,"mmm-yyyy")</f>
        <v>Dec-2024</v>
      </c>
    </row>
    <row r="587" customFormat="false" ht="72" hidden="false" customHeight="true" outlineLevel="0" collapsed="false">
      <c r="A587" s="1" t="n">
        <v>1</v>
      </c>
      <c r="B587" s="10" t="n">
        <v>45589</v>
      </c>
      <c r="C587" s="11" t="s">
        <v>605</v>
      </c>
      <c r="D587" s="1" t="s">
        <v>8</v>
      </c>
      <c r="E587" s="1" t="s">
        <v>20</v>
      </c>
      <c r="F587" s="1" t="str">
        <f aca="false">TEXT(B587,"mmm-yyyy")</f>
        <v>Oct-2024</v>
      </c>
    </row>
    <row r="588" customFormat="false" ht="72" hidden="false" customHeight="true" outlineLevel="0" collapsed="false">
      <c r="A588" s="1" t="n">
        <v>1</v>
      </c>
      <c r="B588" s="10" t="n">
        <v>45599</v>
      </c>
      <c r="C588" s="11" t="s">
        <v>606</v>
      </c>
      <c r="D588" s="1" t="s">
        <v>8</v>
      </c>
      <c r="E588" s="1" t="s">
        <v>18</v>
      </c>
      <c r="F588" s="1" t="str">
        <f aca="false">TEXT(B588,"mmm-yyyy")</f>
        <v>Nov-2024</v>
      </c>
    </row>
    <row r="589" customFormat="false" ht="72" hidden="false" customHeight="true" outlineLevel="0" collapsed="false">
      <c r="A589" s="1" t="n">
        <v>1</v>
      </c>
      <c r="B589" s="10" t="n">
        <v>45623</v>
      </c>
      <c r="C589" s="11" t="s">
        <v>607</v>
      </c>
      <c r="D589" s="1" t="s">
        <v>8</v>
      </c>
      <c r="E589" s="1" t="s">
        <v>18</v>
      </c>
      <c r="F589" s="1" t="str">
        <f aca="false">TEXT(B589,"mmm-yyyy")</f>
        <v>Nov-2024</v>
      </c>
    </row>
    <row r="590" customFormat="false" ht="115.5" hidden="false" customHeight="true" outlineLevel="0" collapsed="false">
      <c r="A590" s="1" t="n">
        <v>1</v>
      </c>
      <c r="B590" s="10" t="n">
        <v>45596</v>
      </c>
      <c r="C590" s="11" t="s">
        <v>608</v>
      </c>
      <c r="D590" s="1" t="s">
        <v>8</v>
      </c>
      <c r="E590" s="1" t="s">
        <v>20</v>
      </c>
      <c r="F590" s="1" t="str">
        <f aca="false">TEXT(B590,"mmm-yyyy")</f>
        <v>Oct-2024</v>
      </c>
    </row>
    <row r="591" customFormat="false" ht="72" hidden="false" customHeight="true" outlineLevel="0" collapsed="false">
      <c r="A591" s="1" t="n">
        <v>5</v>
      </c>
      <c r="B591" s="10" t="n">
        <v>45614</v>
      </c>
      <c r="C591" s="11" t="s">
        <v>609</v>
      </c>
      <c r="D591" s="1" t="s">
        <v>8</v>
      </c>
      <c r="E591" s="1" t="s">
        <v>18</v>
      </c>
      <c r="F591" s="1" t="str">
        <f aca="false">TEXT(B591,"mmm-yyyy")</f>
        <v>Nov-2024</v>
      </c>
    </row>
    <row r="592" customFormat="false" ht="72" hidden="false" customHeight="true" outlineLevel="0" collapsed="false">
      <c r="A592" s="1" t="n">
        <v>1</v>
      </c>
      <c r="B592" s="10" t="n">
        <v>45610</v>
      </c>
      <c r="C592" s="11" t="s">
        <v>610</v>
      </c>
      <c r="D592" s="1" t="s">
        <v>8</v>
      </c>
      <c r="E592" s="1" t="s">
        <v>20</v>
      </c>
      <c r="F592" s="1" t="str">
        <f aca="false">TEXT(B592,"mmm-yyyy")</f>
        <v>Nov-2024</v>
      </c>
    </row>
    <row r="593" customFormat="false" ht="43.5" hidden="false" customHeight="true" outlineLevel="0" collapsed="false">
      <c r="A593" s="1" t="n">
        <v>4</v>
      </c>
      <c r="B593" s="10" t="n">
        <v>45606</v>
      </c>
      <c r="C593" s="11" t="s">
        <v>611</v>
      </c>
      <c r="D593" s="1" t="s">
        <v>8</v>
      </c>
      <c r="E593" s="1" t="s">
        <v>18</v>
      </c>
      <c r="F593" s="1" t="str">
        <f aca="false">TEXT(B593,"mmm-yyyy")</f>
        <v>Nov-2024</v>
      </c>
    </row>
    <row r="594" customFormat="false" ht="115.5" hidden="false" customHeight="true" outlineLevel="0" collapsed="false">
      <c r="A594" s="1" t="n">
        <v>1</v>
      </c>
      <c r="B594" s="10" t="n">
        <v>45591</v>
      </c>
      <c r="C594" s="11" t="s">
        <v>612</v>
      </c>
      <c r="D594" s="1" t="s">
        <v>8</v>
      </c>
      <c r="E594" s="1" t="s">
        <v>20</v>
      </c>
      <c r="F594" s="1" t="str">
        <f aca="false">TEXT(B594,"mmm-yyyy")</f>
        <v>Oct-2024</v>
      </c>
    </row>
    <row r="595" customFormat="false" ht="174" hidden="false" customHeight="true" outlineLevel="0" collapsed="false">
      <c r="A595" s="1" t="n">
        <v>2</v>
      </c>
      <c r="B595" s="10" t="n">
        <v>45590</v>
      </c>
      <c r="C595" s="11" t="s">
        <v>613</v>
      </c>
      <c r="D595" s="1" t="s">
        <v>8</v>
      </c>
      <c r="E595" s="1" t="s">
        <v>20</v>
      </c>
      <c r="F595" s="1" t="str">
        <f aca="false">TEXT(B595,"mmm-yyyy")</f>
        <v>Oct-2024</v>
      </c>
    </row>
    <row r="596" customFormat="false" ht="57.75" hidden="false" customHeight="true" outlineLevel="0" collapsed="false">
      <c r="A596" s="1" t="n">
        <v>4</v>
      </c>
      <c r="B596" s="10" t="n">
        <v>45596</v>
      </c>
      <c r="C596" s="11" t="s">
        <v>614</v>
      </c>
      <c r="D596" s="1" t="s">
        <v>8</v>
      </c>
      <c r="E596" s="1" t="s">
        <v>18</v>
      </c>
      <c r="F596" s="1" t="str">
        <f aca="false">TEXT(B596,"mmm-yyyy")</f>
        <v>Oct-2024</v>
      </c>
    </row>
    <row r="597" customFormat="false" ht="43.5" hidden="false" customHeight="true" outlineLevel="0" collapsed="false">
      <c r="A597" s="1" t="n">
        <v>5</v>
      </c>
      <c r="B597" s="10" t="n">
        <v>45654</v>
      </c>
      <c r="C597" s="11" t="s">
        <v>615</v>
      </c>
      <c r="D597" s="1" t="s">
        <v>8</v>
      </c>
      <c r="E597" s="1" t="s">
        <v>18</v>
      </c>
      <c r="F597" s="1" t="str">
        <f aca="false">TEXT(B597,"mmm-yyyy")</f>
        <v>Dec-2024</v>
      </c>
    </row>
    <row r="598" customFormat="false" ht="72" hidden="false" customHeight="true" outlineLevel="0" collapsed="false">
      <c r="A598" s="1" t="n">
        <v>1</v>
      </c>
      <c r="B598" s="10" t="n">
        <v>45655</v>
      </c>
      <c r="C598" s="11" t="s">
        <v>616</v>
      </c>
      <c r="D598" s="1" t="s">
        <v>8</v>
      </c>
      <c r="E598" s="1" t="s">
        <v>18</v>
      </c>
      <c r="F598" s="1" t="str">
        <f aca="false">TEXT(B598,"mmm-yyyy")</f>
        <v>Dec-2024</v>
      </c>
    </row>
    <row r="599" customFormat="false" ht="57.75" hidden="false" customHeight="true" outlineLevel="0" collapsed="false">
      <c r="A599" s="1" t="n">
        <v>1</v>
      </c>
      <c r="B599" s="10" t="n">
        <v>45655</v>
      </c>
      <c r="C599" s="11" t="s">
        <v>617</v>
      </c>
      <c r="D599" s="1" t="s">
        <v>8</v>
      </c>
      <c r="E599" s="1" t="s">
        <v>32</v>
      </c>
      <c r="F599" s="1" t="str">
        <f aca="false">TEXT(B599,"mmm-yyyy")</f>
        <v>Dec-2024</v>
      </c>
    </row>
    <row r="600" customFormat="false" ht="72" hidden="false" customHeight="true" outlineLevel="0" collapsed="false">
      <c r="A600" s="1" t="n">
        <v>5</v>
      </c>
      <c r="B600" s="10" t="n">
        <v>45637</v>
      </c>
      <c r="C600" s="11" t="s">
        <v>618</v>
      </c>
      <c r="D600" s="1" t="s">
        <v>8</v>
      </c>
      <c r="E600" s="1" t="s">
        <v>18</v>
      </c>
      <c r="F600" s="1" t="str">
        <f aca="false">TEXT(B600,"mmm-yyyy")</f>
        <v>Dec-2024</v>
      </c>
    </row>
    <row r="601" customFormat="false" ht="57.75" hidden="false" customHeight="true" outlineLevel="0" collapsed="false">
      <c r="A601" s="1" t="n">
        <v>3</v>
      </c>
      <c r="B601" s="10" t="n">
        <v>45657</v>
      </c>
      <c r="C601" s="11" t="s">
        <v>619</v>
      </c>
      <c r="D601" s="1" t="s">
        <v>8</v>
      </c>
      <c r="E601" s="1" t="s">
        <v>20</v>
      </c>
      <c r="F601" s="1" t="str">
        <f aca="false">TEXT(B601,"mmm-yyyy")</f>
        <v>Dec-2024</v>
      </c>
    </row>
    <row r="602" customFormat="false" ht="43.5" hidden="false" customHeight="true" outlineLevel="0" collapsed="false">
      <c r="A602" s="1" t="n">
        <v>5</v>
      </c>
      <c r="B602" s="10" t="n">
        <v>45657</v>
      </c>
      <c r="C602" s="11" t="s">
        <v>620</v>
      </c>
      <c r="D602" s="1" t="s">
        <v>8</v>
      </c>
      <c r="E602" s="1" t="s">
        <v>18</v>
      </c>
      <c r="F602" s="1" t="str">
        <f aca="false">TEXT(B602,"mmm-yyyy")</f>
        <v>Dec-2024</v>
      </c>
    </row>
    <row r="603" customFormat="false" ht="43.5" hidden="false" customHeight="true" outlineLevel="0" collapsed="false">
      <c r="A603" s="1" t="n">
        <v>5</v>
      </c>
      <c r="B603" s="10" t="n">
        <v>45654</v>
      </c>
      <c r="C603" s="11" t="s">
        <v>621</v>
      </c>
      <c r="D603" s="1" t="s">
        <v>8</v>
      </c>
      <c r="E603" s="1" t="s">
        <v>18</v>
      </c>
      <c r="F603" s="1" t="str">
        <f aca="false">TEXT(B603,"mmm-yyyy")</f>
        <v>Dec-2024</v>
      </c>
    </row>
    <row r="604" customFormat="false" ht="57.75" hidden="false" customHeight="true" outlineLevel="0" collapsed="false">
      <c r="A604" s="1" t="n">
        <v>1</v>
      </c>
      <c r="B604" s="10" t="n">
        <v>45657</v>
      </c>
      <c r="C604" s="11" t="s">
        <v>622</v>
      </c>
      <c r="D604" s="1" t="s">
        <v>8</v>
      </c>
      <c r="E604" s="1" t="s">
        <v>20</v>
      </c>
      <c r="F604" s="1" t="str">
        <f aca="false">TEXT(B604,"mmm-yyyy")</f>
        <v>Dec-2024</v>
      </c>
    </row>
    <row r="605" customFormat="false" ht="57.75" hidden="false" customHeight="true" outlineLevel="0" collapsed="false">
      <c r="A605" s="1" t="n">
        <v>5</v>
      </c>
      <c r="B605" s="10" t="n">
        <v>45657</v>
      </c>
      <c r="C605" s="11" t="s">
        <v>623</v>
      </c>
      <c r="D605" s="1" t="s">
        <v>8</v>
      </c>
      <c r="E605" s="1" t="s">
        <v>18</v>
      </c>
      <c r="F605" s="1" t="str">
        <f aca="false">TEXT(B605,"mmm-yyyy")</f>
        <v>Dec-2024</v>
      </c>
    </row>
    <row r="606" customFormat="false" ht="57.75" hidden="false" customHeight="true" outlineLevel="0" collapsed="false">
      <c r="A606" s="1" t="n">
        <v>5</v>
      </c>
      <c r="B606" s="10" t="n">
        <v>45657</v>
      </c>
      <c r="C606" s="11" t="s">
        <v>624</v>
      </c>
      <c r="D606" s="1" t="s">
        <v>8</v>
      </c>
      <c r="E606" s="1" t="s">
        <v>18</v>
      </c>
      <c r="F606" s="1" t="str">
        <f aca="false">TEXT(B606,"mmm-yyyy")</f>
        <v>Dec-2024</v>
      </c>
    </row>
    <row r="607" customFormat="false" ht="43.5" hidden="false" customHeight="true" outlineLevel="0" collapsed="false">
      <c r="A607" s="1" t="n">
        <v>1</v>
      </c>
      <c r="B607" s="10" t="n">
        <v>45657</v>
      </c>
      <c r="C607" s="11" t="s">
        <v>625</v>
      </c>
      <c r="D607" s="1" t="s">
        <v>8</v>
      </c>
      <c r="E607" s="1" t="s">
        <v>20</v>
      </c>
      <c r="F607" s="1" t="str">
        <f aca="false">TEXT(B607,"mmm-yyyy")</f>
        <v>Dec-2024</v>
      </c>
    </row>
    <row r="608" customFormat="false" ht="57.75" hidden="false" customHeight="true" outlineLevel="0" collapsed="false">
      <c r="A608" s="1" t="n">
        <v>1</v>
      </c>
      <c r="B608" s="10" t="n">
        <v>45655</v>
      </c>
      <c r="C608" s="11" t="s">
        <v>626</v>
      </c>
      <c r="D608" s="1" t="s">
        <v>8</v>
      </c>
      <c r="E608" s="1" t="s">
        <v>20</v>
      </c>
      <c r="F608" s="1" t="str">
        <f aca="false">TEXT(B608,"mmm-yyyy")</f>
        <v>Dec-2024</v>
      </c>
    </row>
    <row r="609" customFormat="false" ht="57.75" hidden="false" customHeight="true" outlineLevel="0" collapsed="false">
      <c r="A609" s="1" t="n">
        <v>1</v>
      </c>
      <c r="B609" s="10" t="n">
        <v>45657</v>
      </c>
      <c r="C609" s="11" t="s">
        <v>627</v>
      </c>
      <c r="D609" s="1" t="s">
        <v>8</v>
      </c>
      <c r="E609" s="1" t="s">
        <v>20</v>
      </c>
      <c r="F609" s="1" t="str">
        <f aca="false">TEXT(B609,"mmm-yyyy")</f>
        <v>Dec-2024</v>
      </c>
    </row>
    <row r="610" customFormat="false" ht="28.5" hidden="false" customHeight="true" outlineLevel="0" collapsed="false">
      <c r="A610" s="1" t="n">
        <v>5</v>
      </c>
      <c r="B610" s="10" t="n">
        <v>45655</v>
      </c>
      <c r="C610" s="11" t="s">
        <v>628</v>
      </c>
      <c r="D610" s="1" t="s">
        <v>8</v>
      </c>
      <c r="E610" s="1" t="s">
        <v>18</v>
      </c>
      <c r="F610" s="1" t="str">
        <f aca="false">TEXT(B610,"mmm-yyyy")</f>
        <v>Dec-2024</v>
      </c>
    </row>
    <row r="611" customFormat="false" ht="43.5" hidden="false" customHeight="true" outlineLevel="0" collapsed="false">
      <c r="A611" s="1" t="n">
        <v>1</v>
      </c>
      <c r="B611" s="10" t="n">
        <v>45657</v>
      </c>
      <c r="C611" s="11" t="s">
        <v>629</v>
      </c>
      <c r="D611" s="1" t="s">
        <v>8</v>
      </c>
      <c r="E611" s="1" t="s">
        <v>20</v>
      </c>
      <c r="F611" s="1" t="str">
        <f aca="false">TEXT(B611,"mmm-yyyy")</f>
        <v>Dec-2024</v>
      </c>
    </row>
    <row r="612" customFormat="false" ht="43.5" hidden="false" customHeight="true" outlineLevel="0" collapsed="false">
      <c r="A612" s="1" t="n">
        <v>1</v>
      </c>
      <c r="B612" s="10" t="n">
        <v>45657</v>
      </c>
      <c r="C612" s="11" t="s">
        <v>630</v>
      </c>
      <c r="D612" s="1" t="s">
        <v>8</v>
      </c>
      <c r="E612" s="1" t="s">
        <v>18</v>
      </c>
      <c r="F612" s="1" t="str">
        <f aca="false">TEXT(B612,"mmm-yyyy")</f>
        <v>Dec-2024</v>
      </c>
    </row>
    <row r="613" customFormat="false" ht="144.75" hidden="false" customHeight="true" outlineLevel="0" collapsed="false">
      <c r="A613" s="1" t="n">
        <v>1</v>
      </c>
      <c r="B613" s="10" t="n">
        <v>45654</v>
      </c>
      <c r="C613" s="11" t="s">
        <v>631</v>
      </c>
      <c r="D613" s="1" t="s">
        <v>8</v>
      </c>
      <c r="E613" s="1" t="s">
        <v>18</v>
      </c>
      <c r="F613" s="1" t="str">
        <f aca="false">TEXT(B613,"mmm-yyyy")</f>
        <v>Dec-2024</v>
      </c>
    </row>
    <row r="614" customFormat="false" ht="57.75" hidden="false" customHeight="true" outlineLevel="0" collapsed="false">
      <c r="A614" s="1" t="n">
        <v>1</v>
      </c>
      <c r="B614" s="10" t="n">
        <v>45657</v>
      </c>
      <c r="C614" s="11" t="s">
        <v>632</v>
      </c>
      <c r="D614" s="1" t="s">
        <v>8</v>
      </c>
      <c r="E614" s="1" t="s">
        <v>20</v>
      </c>
      <c r="F614" s="1" t="str">
        <f aca="false">TEXT(B614,"mmm-yyyy")</f>
        <v>Dec-2024</v>
      </c>
    </row>
    <row r="615" customFormat="false" ht="28.5" hidden="false" customHeight="true" outlineLevel="0" collapsed="false">
      <c r="A615" s="1" t="n">
        <v>5</v>
      </c>
      <c r="B615" s="10" t="n">
        <v>45657</v>
      </c>
      <c r="C615" s="11" t="s">
        <v>633</v>
      </c>
      <c r="D615" s="1" t="s">
        <v>8</v>
      </c>
      <c r="E615" s="1" t="s">
        <v>18</v>
      </c>
      <c r="F615" s="1" t="str">
        <f aca="false">TEXT(B615,"mmm-yyyy")</f>
        <v>Dec-2024</v>
      </c>
    </row>
    <row r="616" customFormat="false" ht="57.75" hidden="false" customHeight="true" outlineLevel="0" collapsed="false">
      <c r="A616" s="1" t="n">
        <v>5</v>
      </c>
      <c r="B616" s="10" t="n">
        <v>45657</v>
      </c>
      <c r="C616" s="11" t="s">
        <v>634</v>
      </c>
      <c r="D616" s="1" t="s">
        <v>8</v>
      </c>
      <c r="E616" s="1" t="s">
        <v>18</v>
      </c>
      <c r="F616" s="1" t="str">
        <f aca="false">TEXT(B616,"mmm-yyyy")</f>
        <v>Dec-2024</v>
      </c>
    </row>
    <row r="617" customFormat="false" ht="43.5" hidden="false" customHeight="true" outlineLevel="0" collapsed="false">
      <c r="A617" s="1" t="n">
        <v>1</v>
      </c>
      <c r="B617" s="10" t="n">
        <v>45657</v>
      </c>
      <c r="C617" s="11" t="s">
        <v>635</v>
      </c>
      <c r="D617" s="1" t="s">
        <v>8</v>
      </c>
      <c r="E617" s="1" t="s">
        <v>20</v>
      </c>
      <c r="F617" s="1" t="str">
        <f aca="false">TEXT(B617,"mmm-yyyy")</f>
        <v>Dec-2024</v>
      </c>
    </row>
    <row r="618" customFormat="false" ht="28.5" hidden="false" customHeight="true" outlineLevel="0" collapsed="false">
      <c r="A618" s="1" t="n">
        <v>5</v>
      </c>
      <c r="B618" s="10" t="n">
        <v>45656</v>
      </c>
      <c r="C618" s="11" t="s">
        <v>636</v>
      </c>
      <c r="D618" s="1" t="s">
        <v>8</v>
      </c>
      <c r="E618" s="1" t="s">
        <v>18</v>
      </c>
      <c r="F618" s="1" t="str">
        <f aca="false">TEXT(B618,"mmm-yyyy")</f>
        <v>Dec-2024</v>
      </c>
    </row>
    <row r="619" customFormat="false" ht="87" hidden="false" customHeight="true" outlineLevel="0" collapsed="false">
      <c r="A619" s="1" t="n">
        <v>1</v>
      </c>
      <c r="B619" s="10" t="n">
        <v>45655</v>
      </c>
      <c r="C619" s="11" t="s">
        <v>637</v>
      </c>
      <c r="D619" s="1" t="s">
        <v>8</v>
      </c>
      <c r="E619" s="1" t="s">
        <v>20</v>
      </c>
      <c r="F619" s="1" t="str">
        <f aca="false">TEXT(B619,"mmm-yyyy")</f>
        <v>Dec-2024</v>
      </c>
    </row>
    <row r="620" customFormat="false" ht="28.5" hidden="false" customHeight="true" outlineLevel="0" collapsed="false">
      <c r="A620" s="1" t="n">
        <v>1</v>
      </c>
      <c r="B620" s="10" t="n">
        <v>45657</v>
      </c>
      <c r="C620" s="11" t="s">
        <v>638</v>
      </c>
      <c r="D620" s="1" t="s">
        <v>8</v>
      </c>
      <c r="E620" s="1" t="s">
        <v>18</v>
      </c>
      <c r="F620" s="1" t="str">
        <f aca="false">TEXT(B620,"mmm-yyyy")</f>
        <v>Dec-2024</v>
      </c>
    </row>
    <row r="621" customFormat="false" ht="43.5" hidden="false" customHeight="true" outlineLevel="0" collapsed="false">
      <c r="A621" s="1" t="n">
        <v>1</v>
      </c>
      <c r="B621" s="10" t="n">
        <v>45655</v>
      </c>
      <c r="C621" s="11" t="s">
        <v>639</v>
      </c>
      <c r="D621" s="1" t="s">
        <v>8</v>
      </c>
      <c r="E621" s="1" t="s">
        <v>20</v>
      </c>
      <c r="F621" s="1" t="str">
        <f aca="false">TEXT(B621,"mmm-yyyy")</f>
        <v>Dec-2024</v>
      </c>
    </row>
    <row r="622" customFormat="false" ht="43.5" hidden="false" customHeight="true" outlineLevel="0" collapsed="false">
      <c r="A622" s="1" t="n">
        <v>5</v>
      </c>
      <c r="B622" s="10" t="n">
        <v>45657</v>
      </c>
      <c r="C622" s="11" t="s">
        <v>640</v>
      </c>
      <c r="D622" s="1" t="s">
        <v>8</v>
      </c>
      <c r="E622" s="1" t="s">
        <v>18</v>
      </c>
      <c r="F622" s="1" t="str">
        <f aca="false">TEXT(B622,"mmm-yyyy")</f>
        <v>Dec-2024</v>
      </c>
    </row>
    <row r="623" customFormat="false" ht="57.75" hidden="false" customHeight="true" outlineLevel="0" collapsed="false">
      <c r="A623" s="1" t="n">
        <v>5</v>
      </c>
      <c r="B623" s="10" t="n">
        <v>45654</v>
      </c>
      <c r="C623" s="11" t="s">
        <v>641</v>
      </c>
      <c r="D623" s="1" t="s">
        <v>8</v>
      </c>
      <c r="E623" s="1" t="s">
        <v>18</v>
      </c>
      <c r="F623" s="1" t="str">
        <f aca="false">TEXT(B623,"mmm-yyyy")</f>
        <v>Dec-2024</v>
      </c>
    </row>
    <row r="624" customFormat="false" ht="43.5" hidden="false" customHeight="true" outlineLevel="0" collapsed="false">
      <c r="A624" s="1" t="n">
        <v>1</v>
      </c>
      <c r="B624" s="10" t="n">
        <v>45654</v>
      </c>
      <c r="C624" s="11" t="s">
        <v>642</v>
      </c>
      <c r="D624" s="1" t="s">
        <v>8</v>
      </c>
      <c r="E624" s="1" t="s">
        <v>20</v>
      </c>
      <c r="F624" s="1" t="str">
        <f aca="false">TEXT(B624,"mmm-yyyy")</f>
        <v>Dec-2024</v>
      </c>
    </row>
    <row r="625" customFormat="false" ht="28.5" hidden="false" customHeight="true" outlineLevel="0" collapsed="false">
      <c r="A625" s="1" t="n">
        <v>5</v>
      </c>
      <c r="B625" s="10" t="n">
        <v>45655</v>
      </c>
      <c r="C625" s="11" t="s">
        <v>643</v>
      </c>
      <c r="D625" s="1" t="s">
        <v>8</v>
      </c>
      <c r="E625" s="1" t="s">
        <v>18</v>
      </c>
      <c r="F625" s="1" t="str">
        <f aca="false">TEXT(B625,"mmm-yyyy")</f>
        <v>Dec-2024</v>
      </c>
    </row>
    <row r="626" customFormat="false" ht="57.75" hidden="false" customHeight="true" outlineLevel="0" collapsed="false">
      <c r="A626" s="1" t="n">
        <v>1</v>
      </c>
      <c r="B626" s="10" t="n">
        <v>45591</v>
      </c>
      <c r="C626" s="11" t="s">
        <v>644</v>
      </c>
      <c r="D626" s="1" t="s">
        <v>8</v>
      </c>
      <c r="E626" s="1" t="s">
        <v>20</v>
      </c>
      <c r="F626" s="1" t="str">
        <f aca="false">TEXT(B626,"mmm-yyyy")</f>
        <v>Oct-2024</v>
      </c>
    </row>
    <row r="627" customFormat="false" ht="72" hidden="false" customHeight="true" outlineLevel="0" collapsed="false">
      <c r="A627" s="1" t="n">
        <v>2</v>
      </c>
      <c r="B627" s="10" t="n">
        <v>45610</v>
      </c>
      <c r="C627" s="11" t="s">
        <v>645</v>
      </c>
      <c r="D627" s="1" t="s">
        <v>8</v>
      </c>
      <c r="E627" s="1" t="s">
        <v>32</v>
      </c>
      <c r="F627" s="1" t="str">
        <f aca="false">TEXT(B627,"mmm-yyyy")</f>
        <v>Nov-2024</v>
      </c>
    </row>
    <row r="628" customFormat="false" ht="57.75" hidden="false" customHeight="true" outlineLevel="0" collapsed="false">
      <c r="A628" s="1" t="n">
        <v>4</v>
      </c>
      <c r="B628" s="10" t="n">
        <v>45606</v>
      </c>
      <c r="C628" s="11" t="s">
        <v>646</v>
      </c>
      <c r="D628" s="1" t="s">
        <v>8</v>
      </c>
      <c r="E628" s="1" t="s">
        <v>18</v>
      </c>
      <c r="F628" s="1" t="str">
        <f aca="false">TEXT(B628,"mmm-yyyy")</f>
        <v>Nov-2024</v>
      </c>
    </row>
    <row r="629" customFormat="false" ht="115.5" hidden="false" customHeight="true" outlineLevel="0" collapsed="false">
      <c r="A629" s="1" t="n">
        <v>1</v>
      </c>
      <c r="B629" s="10" t="n">
        <v>45594</v>
      </c>
      <c r="C629" s="11" t="s">
        <v>647</v>
      </c>
      <c r="D629" s="1" t="s">
        <v>8</v>
      </c>
      <c r="E629" s="1" t="s">
        <v>18</v>
      </c>
      <c r="F629" s="1" t="str">
        <f aca="false">TEXT(B629,"mmm-yyyy")</f>
        <v>Oct-2024</v>
      </c>
    </row>
    <row r="630" customFormat="false" ht="115.5" hidden="false" customHeight="true" outlineLevel="0" collapsed="false">
      <c r="A630" s="1" t="n">
        <v>1</v>
      </c>
      <c r="B630" s="10" t="n">
        <v>45591</v>
      </c>
      <c r="C630" s="11" t="s">
        <v>648</v>
      </c>
      <c r="D630" s="1" t="s">
        <v>8</v>
      </c>
      <c r="E630" s="1" t="s">
        <v>18</v>
      </c>
      <c r="F630" s="1" t="str">
        <f aca="false">TEXT(B630,"mmm-yyyy")</f>
        <v>Oct-2024</v>
      </c>
    </row>
    <row r="631" customFormat="false" ht="101.25" hidden="false" customHeight="true" outlineLevel="0" collapsed="false">
      <c r="A631" s="1" t="n">
        <v>1</v>
      </c>
      <c r="B631" s="10" t="n">
        <v>45608</v>
      </c>
      <c r="C631" s="11" t="s">
        <v>649</v>
      </c>
      <c r="D631" s="1" t="s">
        <v>8</v>
      </c>
      <c r="E631" s="1" t="s">
        <v>20</v>
      </c>
      <c r="F631" s="1" t="str">
        <f aca="false">TEXT(B631,"mmm-yyyy")</f>
        <v>Nov-2024</v>
      </c>
    </row>
    <row r="632" customFormat="false" ht="87" hidden="false" customHeight="true" outlineLevel="0" collapsed="false">
      <c r="A632" s="1" t="n">
        <v>5</v>
      </c>
      <c r="B632" s="10" t="n">
        <v>45636</v>
      </c>
      <c r="C632" s="11" t="s">
        <v>650</v>
      </c>
      <c r="D632" s="1" t="s">
        <v>8</v>
      </c>
      <c r="E632" s="1" t="s">
        <v>18</v>
      </c>
      <c r="F632" s="1" t="str">
        <f aca="false">TEXT(B632,"mmm-yyyy")</f>
        <v>Dec-2024</v>
      </c>
    </row>
    <row r="633" customFormat="false" ht="43.5" hidden="false" customHeight="true" outlineLevel="0" collapsed="false">
      <c r="A633" s="1" t="n">
        <v>4</v>
      </c>
      <c r="B633" s="10" t="n">
        <v>45606</v>
      </c>
      <c r="C633" s="11" t="s">
        <v>651</v>
      </c>
      <c r="D633" s="1" t="s">
        <v>8</v>
      </c>
      <c r="E633" s="1" t="s">
        <v>18</v>
      </c>
      <c r="F633" s="1" t="str">
        <f aca="false">TEXT(B633,"mmm-yyyy")</f>
        <v>Nov-2024</v>
      </c>
    </row>
    <row r="634" customFormat="false" ht="57.75" hidden="false" customHeight="true" outlineLevel="0" collapsed="false">
      <c r="A634" s="1" t="n">
        <v>3</v>
      </c>
      <c r="B634" s="10" t="n">
        <v>45583</v>
      </c>
      <c r="C634" s="11" t="s">
        <v>652</v>
      </c>
      <c r="D634" s="1" t="s">
        <v>8</v>
      </c>
      <c r="E634" s="1" t="s">
        <v>18</v>
      </c>
      <c r="F634" s="1" t="str">
        <f aca="false">TEXT(B634,"mmm-yyyy")</f>
        <v>Oct-2024</v>
      </c>
    </row>
    <row r="635" customFormat="false" ht="115.5" hidden="false" customHeight="true" outlineLevel="0" collapsed="false">
      <c r="A635" s="1" t="n">
        <v>1</v>
      </c>
      <c r="B635" s="10" t="n">
        <v>45632</v>
      </c>
      <c r="C635" s="11" t="s">
        <v>653</v>
      </c>
      <c r="D635" s="1" t="s">
        <v>8</v>
      </c>
      <c r="E635" s="1" t="s">
        <v>18</v>
      </c>
      <c r="F635" s="1" t="str">
        <f aca="false">TEXT(B635,"mmm-yyyy")</f>
        <v>Dec-2024</v>
      </c>
    </row>
    <row r="636" customFormat="false" ht="72" hidden="false" customHeight="true" outlineLevel="0" collapsed="false">
      <c r="A636" s="1" t="n">
        <v>1</v>
      </c>
      <c r="B636" s="10" t="n">
        <v>45599</v>
      </c>
      <c r="C636" s="11" t="s">
        <v>654</v>
      </c>
      <c r="D636" s="1" t="s">
        <v>8</v>
      </c>
      <c r="E636" s="1" t="s">
        <v>20</v>
      </c>
      <c r="F636" s="1" t="str">
        <f aca="false">TEXT(B636,"mmm-yyyy")</f>
        <v>Nov-2024</v>
      </c>
    </row>
    <row r="637" customFormat="false" ht="87" hidden="false" customHeight="true" outlineLevel="0" collapsed="false">
      <c r="A637" s="1" t="n">
        <v>5</v>
      </c>
      <c r="B637" s="10" t="n">
        <v>45584</v>
      </c>
      <c r="C637" s="11" t="s">
        <v>655</v>
      </c>
      <c r="D637" s="1" t="s">
        <v>8</v>
      </c>
      <c r="E637" s="1" t="s">
        <v>32</v>
      </c>
      <c r="F637" s="1" t="str">
        <f aca="false">TEXT(B637,"mmm-yyyy")</f>
        <v>Oct-2024</v>
      </c>
    </row>
    <row r="638" customFormat="false" ht="87" hidden="false" customHeight="true" outlineLevel="0" collapsed="false">
      <c r="A638" s="1" t="n">
        <v>1</v>
      </c>
      <c r="B638" s="10" t="n">
        <v>45641</v>
      </c>
      <c r="C638" s="11" t="s">
        <v>656</v>
      </c>
      <c r="D638" s="1" t="s">
        <v>8</v>
      </c>
      <c r="E638" s="1" t="s">
        <v>20</v>
      </c>
      <c r="F638" s="1" t="str">
        <f aca="false">TEXT(B638,"mmm-yyyy")</f>
        <v>Dec-2024</v>
      </c>
    </row>
    <row r="639" customFormat="false" ht="57.75" hidden="false" customHeight="true" outlineLevel="0" collapsed="false">
      <c r="A639" s="1" t="n">
        <v>5</v>
      </c>
      <c r="B639" s="10" t="n">
        <v>45575</v>
      </c>
      <c r="C639" s="11" t="s">
        <v>657</v>
      </c>
      <c r="D639" s="1" t="s">
        <v>8</v>
      </c>
      <c r="E639" s="1" t="s">
        <v>20</v>
      </c>
      <c r="F639" s="1" t="str">
        <f aca="false">TEXT(B639,"mmm-yyyy")</f>
        <v>Oct-2024</v>
      </c>
    </row>
    <row r="640" customFormat="false" ht="57.75" hidden="false" customHeight="true" outlineLevel="0" collapsed="false">
      <c r="A640" s="1" t="n">
        <v>3</v>
      </c>
      <c r="B640" s="10" t="n">
        <v>45593</v>
      </c>
      <c r="C640" s="11" t="s">
        <v>658</v>
      </c>
      <c r="D640" s="1" t="s">
        <v>8</v>
      </c>
      <c r="E640" s="1" t="s">
        <v>18</v>
      </c>
      <c r="F640" s="1" t="str">
        <f aca="false">TEXT(B640,"mmm-yyyy")</f>
        <v>Oct-2024</v>
      </c>
    </row>
    <row r="641" customFormat="false" ht="57.75" hidden="false" customHeight="true" outlineLevel="0" collapsed="false">
      <c r="A641" s="1" t="n">
        <v>3</v>
      </c>
      <c r="B641" s="10" t="n">
        <v>45580</v>
      </c>
      <c r="C641" s="11" t="s">
        <v>659</v>
      </c>
      <c r="D641" s="1" t="s">
        <v>8</v>
      </c>
      <c r="E641" s="1" t="s">
        <v>18</v>
      </c>
      <c r="F641" s="1" t="str">
        <f aca="false">TEXT(B641,"mmm-yyyy")</f>
        <v>Oct-2024</v>
      </c>
    </row>
    <row r="642" customFormat="false" ht="43.5" hidden="false" customHeight="true" outlineLevel="0" collapsed="false">
      <c r="A642" s="1" t="n">
        <v>1</v>
      </c>
      <c r="B642" s="10" t="n">
        <v>45571</v>
      </c>
      <c r="C642" s="11" t="s">
        <v>660</v>
      </c>
      <c r="D642" s="1" t="s">
        <v>8</v>
      </c>
      <c r="E642" s="1" t="s">
        <v>18</v>
      </c>
      <c r="F642" s="1" t="str">
        <f aca="false">TEXT(B642,"mmm-yyyy")</f>
        <v>Oct-2024</v>
      </c>
    </row>
    <row r="643" customFormat="false" ht="130.5" hidden="false" customHeight="true" outlineLevel="0" collapsed="false">
      <c r="A643" s="1" t="n">
        <v>4</v>
      </c>
      <c r="B643" s="10" t="n">
        <v>45619</v>
      </c>
      <c r="C643" s="11" t="s">
        <v>661</v>
      </c>
      <c r="D643" s="1" t="s">
        <v>8</v>
      </c>
      <c r="E643" s="1" t="s">
        <v>18</v>
      </c>
      <c r="F643" s="1" t="str">
        <f aca="false">TEXT(B643,"mmm-yyyy")</f>
        <v>Nov-2024</v>
      </c>
    </row>
    <row r="644" customFormat="false" ht="130.5" hidden="false" customHeight="true" outlineLevel="0" collapsed="false">
      <c r="A644" s="1" t="n">
        <v>1</v>
      </c>
      <c r="B644" s="10" t="n">
        <v>45587</v>
      </c>
      <c r="C644" s="11" t="s">
        <v>662</v>
      </c>
      <c r="D644" s="1" t="s">
        <v>8</v>
      </c>
      <c r="E644" s="1" t="s">
        <v>18</v>
      </c>
      <c r="F644" s="1" t="str">
        <f aca="false">TEXT(B644,"mmm-yyyy")</f>
        <v>Oct-2024</v>
      </c>
    </row>
    <row r="645" customFormat="false" ht="101.25" hidden="false" customHeight="true" outlineLevel="0" collapsed="false">
      <c r="A645" s="1" t="n">
        <v>5</v>
      </c>
      <c r="B645" s="10" t="n">
        <v>45578</v>
      </c>
      <c r="C645" s="11" t="s">
        <v>663</v>
      </c>
      <c r="D645" s="1" t="s">
        <v>8</v>
      </c>
      <c r="E645" s="1" t="s">
        <v>18</v>
      </c>
      <c r="F645" s="1" t="str">
        <f aca="false">TEXT(B645,"mmm-yyyy")</f>
        <v>Oct-2024</v>
      </c>
    </row>
    <row r="646" customFormat="false" ht="72" hidden="false" customHeight="true" outlineLevel="0" collapsed="false">
      <c r="A646" s="1" t="n">
        <v>3</v>
      </c>
      <c r="B646" s="10" t="n">
        <v>45622</v>
      </c>
      <c r="C646" s="11" t="s">
        <v>664</v>
      </c>
      <c r="D646" s="1" t="s">
        <v>8</v>
      </c>
      <c r="E646" s="1" t="s">
        <v>18</v>
      </c>
      <c r="F646" s="1" t="str">
        <f aca="false">TEXT(B646,"mmm-yyyy")</f>
        <v>Nov-2024</v>
      </c>
    </row>
    <row r="647" customFormat="false" ht="115.5" hidden="false" customHeight="true" outlineLevel="0" collapsed="false">
      <c r="A647" s="1" t="n">
        <v>1</v>
      </c>
      <c r="B647" s="10" t="n">
        <v>45605</v>
      </c>
      <c r="C647" s="11" t="s">
        <v>665</v>
      </c>
      <c r="D647" s="1" t="s">
        <v>8</v>
      </c>
      <c r="E647" s="1" t="s">
        <v>20</v>
      </c>
      <c r="F647" s="1" t="str">
        <f aca="false">TEXT(B647,"mmm-yyyy")</f>
        <v>Nov-2024</v>
      </c>
    </row>
    <row r="648" customFormat="false" ht="87" hidden="false" customHeight="true" outlineLevel="0" collapsed="false">
      <c r="A648" s="1" t="n">
        <v>5</v>
      </c>
      <c r="B648" s="10" t="n">
        <v>45609</v>
      </c>
      <c r="C648" s="11" t="s">
        <v>666</v>
      </c>
      <c r="D648" s="1" t="s">
        <v>8</v>
      </c>
      <c r="E648" s="1" t="s">
        <v>20</v>
      </c>
      <c r="F648" s="1" t="str">
        <f aca="false">TEXT(B648,"mmm-yyyy")</f>
        <v>Nov-2024</v>
      </c>
    </row>
    <row r="649" customFormat="false" ht="72" hidden="false" customHeight="true" outlineLevel="0" collapsed="false">
      <c r="A649" s="1" t="n">
        <v>3</v>
      </c>
      <c r="B649" s="10" t="n">
        <v>45578</v>
      </c>
      <c r="C649" s="11" t="s">
        <v>667</v>
      </c>
      <c r="D649" s="1" t="s">
        <v>8</v>
      </c>
      <c r="E649" s="1" t="s">
        <v>18</v>
      </c>
      <c r="F649" s="1" t="str">
        <f aca="false">TEXT(B649,"mmm-yyyy")</f>
        <v>Oct-2024</v>
      </c>
    </row>
    <row r="650" customFormat="false" ht="144.75" hidden="false" customHeight="true" outlineLevel="0" collapsed="false">
      <c r="A650" s="1" t="n">
        <v>1</v>
      </c>
      <c r="B650" s="10" t="n">
        <v>45591</v>
      </c>
      <c r="C650" s="11" t="s">
        <v>668</v>
      </c>
      <c r="D650" s="1" t="s">
        <v>8</v>
      </c>
      <c r="E650" s="1" t="s">
        <v>18</v>
      </c>
      <c r="F650" s="1" t="str">
        <f aca="false">TEXT(B650,"mmm-yyyy")</f>
        <v>Oct-2024</v>
      </c>
    </row>
    <row r="651" customFormat="false" ht="72" hidden="false" customHeight="true" outlineLevel="0" collapsed="false">
      <c r="A651" s="1" t="n">
        <v>1</v>
      </c>
      <c r="B651" s="10" t="n">
        <v>45592</v>
      </c>
      <c r="C651" s="11" t="s">
        <v>669</v>
      </c>
      <c r="D651" s="1" t="s">
        <v>8</v>
      </c>
      <c r="E651" s="1" t="s">
        <v>18</v>
      </c>
      <c r="F651" s="1" t="str">
        <f aca="false">TEXT(B651,"mmm-yyyy")</f>
        <v>Oct-2024</v>
      </c>
    </row>
    <row r="652" customFormat="false" ht="87" hidden="false" customHeight="true" outlineLevel="0" collapsed="false">
      <c r="A652" s="1" t="n">
        <v>1</v>
      </c>
      <c r="B652" s="10" t="n">
        <v>45608</v>
      </c>
      <c r="C652" s="11" t="s">
        <v>670</v>
      </c>
      <c r="D652" s="1" t="s">
        <v>8</v>
      </c>
      <c r="E652" s="1" t="s">
        <v>20</v>
      </c>
      <c r="F652" s="1" t="str">
        <f aca="false">TEXT(B652,"mmm-yyyy")</f>
        <v>Nov-2024</v>
      </c>
    </row>
    <row r="653" customFormat="false" ht="144.75" hidden="false" customHeight="true" outlineLevel="0" collapsed="false">
      <c r="A653" s="1" t="n">
        <v>1</v>
      </c>
      <c r="B653" s="10" t="n">
        <v>45631</v>
      </c>
      <c r="C653" s="11" t="s">
        <v>671</v>
      </c>
      <c r="D653" s="1" t="s">
        <v>8</v>
      </c>
      <c r="E653" s="1" t="s">
        <v>20</v>
      </c>
      <c r="F653" s="1" t="str">
        <f aca="false">TEXT(B653,"mmm-yyyy")</f>
        <v>Dec-2024</v>
      </c>
    </row>
    <row r="654" customFormat="false" ht="87" hidden="false" customHeight="true" outlineLevel="0" collapsed="false">
      <c r="A654" s="1" t="n">
        <v>1</v>
      </c>
      <c r="B654" s="10" t="n">
        <v>45594</v>
      </c>
      <c r="C654" s="11" t="s">
        <v>672</v>
      </c>
      <c r="D654" s="1" t="s">
        <v>8</v>
      </c>
      <c r="E654" s="1" t="s">
        <v>20</v>
      </c>
      <c r="F654" s="1" t="str">
        <f aca="false">TEXT(B654,"mmm-yyyy")</f>
        <v>Oct-2024</v>
      </c>
    </row>
    <row r="655" customFormat="false" ht="57.75" hidden="false" customHeight="true" outlineLevel="0" collapsed="false">
      <c r="A655" s="1" t="n">
        <v>1</v>
      </c>
      <c r="B655" s="10" t="n">
        <v>45602</v>
      </c>
      <c r="C655" s="11" t="s">
        <v>673</v>
      </c>
      <c r="D655" s="1" t="s">
        <v>8</v>
      </c>
      <c r="E655" s="1" t="s">
        <v>20</v>
      </c>
      <c r="F655" s="1" t="str">
        <f aca="false">TEXT(B655,"mmm-yyyy")</f>
        <v>Nov-2024</v>
      </c>
    </row>
    <row r="656" customFormat="false" ht="87" hidden="false" customHeight="true" outlineLevel="0" collapsed="false">
      <c r="A656" s="1" t="n">
        <v>1</v>
      </c>
      <c r="B656" s="10" t="n">
        <v>45620</v>
      </c>
      <c r="C656" s="11" t="s">
        <v>674</v>
      </c>
      <c r="D656" s="1" t="s">
        <v>8</v>
      </c>
      <c r="E656" s="1" t="s">
        <v>18</v>
      </c>
      <c r="F656" s="1" t="str">
        <f aca="false">TEXT(B656,"mmm-yyyy")</f>
        <v>Nov-2024</v>
      </c>
    </row>
    <row r="657" customFormat="false" ht="72" hidden="false" customHeight="true" outlineLevel="0" collapsed="false">
      <c r="A657" s="1" t="n">
        <v>1</v>
      </c>
      <c r="B657" s="10" t="n">
        <v>45598</v>
      </c>
      <c r="C657" s="11" t="s">
        <v>675</v>
      </c>
      <c r="D657" s="1" t="s">
        <v>8</v>
      </c>
      <c r="E657" s="1" t="s">
        <v>18</v>
      </c>
      <c r="F657" s="1" t="str">
        <f aca="false">TEXT(B657,"mmm-yyyy")</f>
        <v>Nov-2024</v>
      </c>
    </row>
    <row r="658" customFormat="false" ht="101.25" hidden="false" customHeight="true" outlineLevel="0" collapsed="false">
      <c r="A658" s="1" t="n">
        <v>1</v>
      </c>
      <c r="B658" s="10" t="n">
        <v>45633</v>
      </c>
      <c r="C658" s="11" t="s">
        <v>676</v>
      </c>
      <c r="D658" s="1" t="s">
        <v>8</v>
      </c>
      <c r="E658" s="1" t="s">
        <v>20</v>
      </c>
      <c r="F658" s="1" t="str">
        <f aca="false">TEXT(B658,"mmm-yyyy")</f>
        <v>Dec-2024</v>
      </c>
    </row>
    <row r="659" customFormat="false" ht="130.5" hidden="false" customHeight="true" outlineLevel="0" collapsed="false">
      <c r="A659" s="1" t="n">
        <v>1</v>
      </c>
      <c r="B659" s="10" t="n">
        <v>45609</v>
      </c>
      <c r="C659" s="11" t="s">
        <v>677</v>
      </c>
      <c r="D659" s="1" t="s">
        <v>8</v>
      </c>
      <c r="E659" s="1" t="s">
        <v>20</v>
      </c>
      <c r="F659" s="1" t="str">
        <f aca="false">TEXT(B659,"mmm-yyyy")</f>
        <v>Nov-2024</v>
      </c>
    </row>
    <row r="660" customFormat="false" ht="101.25" hidden="false" customHeight="true" outlineLevel="0" collapsed="false">
      <c r="A660" s="1" t="n">
        <v>1</v>
      </c>
      <c r="B660" s="10" t="n">
        <v>45593</v>
      </c>
      <c r="C660" s="11" t="s">
        <v>678</v>
      </c>
      <c r="D660" s="1" t="s">
        <v>8</v>
      </c>
      <c r="E660" s="1" t="s">
        <v>20</v>
      </c>
      <c r="F660" s="1" t="str">
        <f aca="false">TEXT(B660,"mmm-yyyy")</f>
        <v>Oct-2024</v>
      </c>
    </row>
    <row r="661" customFormat="false" ht="101.25" hidden="false" customHeight="true" outlineLevel="0" collapsed="false">
      <c r="A661" s="1" t="n">
        <v>5</v>
      </c>
      <c r="B661" s="10" t="n">
        <v>45636</v>
      </c>
      <c r="C661" s="11" t="s">
        <v>679</v>
      </c>
      <c r="D661" s="1" t="s">
        <v>8</v>
      </c>
      <c r="E661" s="1" t="s">
        <v>18</v>
      </c>
      <c r="F661" s="1" t="str">
        <f aca="false">TEXT(B661,"mmm-yyyy")</f>
        <v>Dec-2024</v>
      </c>
    </row>
    <row r="662" customFormat="false" ht="57.75" hidden="false" customHeight="true" outlineLevel="0" collapsed="false">
      <c r="A662" s="1" t="n">
        <v>5</v>
      </c>
      <c r="B662" s="10" t="n">
        <v>45603</v>
      </c>
      <c r="C662" s="11" t="s">
        <v>680</v>
      </c>
      <c r="D662" s="1" t="s">
        <v>8</v>
      </c>
      <c r="E662" s="1" t="s">
        <v>32</v>
      </c>
      <c r="F662" s="1" t="str">
        <f aca="false">TEXT(B662,"mmm-yyyy")</f>
        <v>Nov-2024</v>
      </c>
    </row>
    <row r="663" customFormat="false" ht="57.75" hidden="false" customHeight="true" outlineLevel="0" collapsed="false">
      <c r="A663" s="1" t="n">
        <v>1</v>
      </c>
      <c r="B663" s="10" t="n">
        <v>45588</v>
      </c>
      <c r="C663" s="11" t="s">
        <v>681</v>
      </c>
      <c r="D663" s="1" t="s">
        <v>8</v>
      </c>
      <c r="E663" s="1" t="s">
        <v>18</v>
      </c>
      <c r="F663" s="1" t="str">
        <f aca="false">TEXT(B663,"mmm-yyyy")</f>
        <v>Oct-2024</v>
      </c>
    </row>
    <row r="664" customFormat="false" ht="43.5" hidden="false" customHeight="true" outlineLevel="0" collapsed="false">
      <c r="A664" s="1" t="n">
        <v>3</v>
      </c>
      <c r="B664" s="10" t="n">
        <v>45580</v>
      </c>
      <c r="C664" s="11" t="s">
        <v>682</v>
      </c>
      <c r="D664" s="1" t="s">
        <v>8</v>
      </c>
      <c r="E664" s="1" t="s">
        <v>18</v>
      </c>
      <c r="F664" s="1" t="str">
        <f aca="false">TEXT(B664,"mmm-yyyy")</f>
        <v>Oct-2024</v>
      </c>
    </row>
    <row r="665" customFormat="false" ht="72" hidden="false" customHeight="true" outlineLevel="0" collapsed="false">
      <c r="A665" s="1" t="n">
        <v>1</v>
      </c>
      <c r="B665" s="10" t="n">
        <v>45592</v>
      </c>
      <c r="C665" s="11" t="s">
        <v>683</v>
      </c>
      <c r="D665" s="1" t="s">
        <v>8</v>
      </c>
      <c r="E665" s="1" t="s">
        <v>20</v>
      </c>
      <c r="F665" s="1" t="str">
        <f aca="false">TEXT(B665,"mmm-yyyy")</f>
        <v>Oct-2024</v>
      </c>
    </row>
    <row r="666" customFormat="false" ht="43.5" hidden="false" customHeight="true" outlineLevel="0" collapsed="false">
      <c r="A666" s="1" t="n">
        <v>4</v>
      </c>
      <c r="B666" s="10" t="n">
        <v>45608</v>
      </c>
      <c r="C666" s="11" t="s">
        <v>684</v>
      </c>
      <c r="D666" s="1" t="s">
        <v>8</v>
      </c>
      <c r="E666" s="1" t="s">
        <v>18</v>
      </c>
      <c r="F666" s="1" t="str">
        <f aca="false">TEXT(B666,"mmm-yyyy")</f>
        <v>Nov-2024</v>
      </c>
    </row>
    <row r="667" customFormat="false" ht="72" hidden="false" customHeight="true" outlineLevel="0" collapsed="false">
      <c r="A667" s="1" t="n">
        <v>1</v>
      </c>
      <c r="B667" s="10" t="n">
        <v>45595</v>
      </c>
      <c r="C667" s="11" t="s">
        <v>685</v>
      </c>
      <c r="D667" s="1" t="s">
        <v>8</v>
      </c>
      <c r="E667" s="1" t="s">
        <v>20</v>
      </c>
      <c r="F667" s="1" t="str">
        <f aca="false">TEXT(B667,"mmm-yyyy")</f>
        <v>Oct-2024</v>
      </c>
    </row>
    <row r="668" customFormat="false" ht="87" hidden="false" customHeight="true" outlineLevel="0" collapsed="false">
      <c r="A668" s="1" t="n">
        <v>1</v>
      </c>
      <c r="B668" s="10" t="n">
        <v>45576</v>
      </c>
      <c r="C668" s="11" t="s">
        <v>686</v>
      </c>
      <c r="D668" s="1" t="s">
        <v>8</v>
      </c>
      <c r="E668" s="1" t="s">
        <v>20</v>
      </c>
      <c r="F668" s="1" t="str">
        <f aca="false">TEXT(B668,"mmm-yyyy")</f>
        <v>Oct-2024</v>
      </c>
    </row>
    <row r="669" customFormat="false" ht="72" hidden="false" customHeight="true" outlineLevel="0" collapsed="false">
      <c r="A669" s="1" t="n">
        <v>1</v>
      </c>
      <c r="B669" s="10" t="n">
        <v>45627</v>
      </c>
      <c r="C669" s="11" t="s">
        <v>687</v>
      </c>
      <c r="D669" s="1" t="s">
        <v>8</v>
      </c>
      <c r="E669" s="1" t="s">
        <v>20</v>
      </c>
      <c r="F669" s="1" t="str">
        <f aca="false">TEXT(B669,"mmm-yyyy")</f>
        <v>Dec-2024</v>
      </c>
    </row>
    <row r="670" customFormat="false" ht="101.25" hidden="false" customHeight="true" outlineLevel="0" collapsed="false">
      <c r="A670" s="1" t="n">
        <v>1</v>
      </c>
      <c r="B670" s="10" t="n">
        <v>45613</v>
      </c>
      <c r="C670" s="11" t="s">
        <v>688</v>
      </c>
      <c r="D670" s="1" t="s">
        <v>8</v>
      </c>
      <c r="E670" s="1" t="s">
        <v>20</v>
      </c>
      <c r="F670" s="1" t="str">
        <f aca="false">TEXT(B670,"mmm-yyyy")</f>
        <v>Nov-2024</v>
      </c>
    </row>
    <row r="671" customFormat="false" ht="72" hidden="false" customHeight="true" outlineLevel="0" collapsed="false">
      <c r="A671" s="1" t="n">
        <v>5</v>
      </c>
      <c r="B671" s="10" t="n">
        <v>45595</v>
      </c>
      <c r="C671" s="11" t="s">
        <v>689</v>
      </c>
      <c r="D671" s="1" t="s">
        <v>8</v>
      </c>
      <c r="E671" s="1" t="s">
        <v>18</v>
      </c>
      <c r="F671" s="1" t="str">
        <f aca="false">TEXT(B671,"mmm-yyyy")</f>
        <v>Oct-2024</v>
      </c>
    </row>
    <row r="672" customFormat="false" ht="72" hidden="false" customHeight="true" outlineLevel="0" collapsed="false">
      <c r="A672" s="1" t="n">
        <v>3</v>
      </c>
      <c r="B672" s="10" t="n">
        <v>45591</v>
      </c>
      <c r="C672" s="11" t="s">
        <v>690</v>
      </c>
      <c r="D672" s="1" t="s">
        <v>8</v>
      </c>
      <c r="E672" s="1" t="s">
        <v>32</v>
      </c>
      <c r="F672" s="1" t="str">
        <f aca="false">TEXT(B672,"mmm-yyyy")</f>
        <v>Oct-2024</v>
      </c>
    </row>
    <row r="673" customFormat="false" ht="57.75" hidden="false" customHeight="true" outlineLevel="0" collapsed="false">
      <c r="A673" s="1" t="n">
        <v>3</v>
      </c>
      <c r="B673" s="10" t="n">
        <v>45607</v>
      </c>
      <c r="C673" s="11" t="s">
        <v>691</v>
      </c>
      <c r="D673" s="1" t="s">
        <v>8</v>
      </c>
      <c r="E673" s="1" t="s">
        <v>20</v>
      </c>
      <c r="F673" s="1" t="str">
        <f aca="false">TEXT(B673,"mmm-yyyy")</f>
        <v>Nov-2024</v>
      </c>
    </row>
    <row r="674" customFormat="false" ht="72" hidden="false" customHeight="true" outlineLevel="0" collapsed="false">
      <c r="A674" s="1" t="n">
        <v>3</v>
      </c>
      <c r="B674" s="10" t="n">
        <v>45608</v>
      </c>
      <c r="C674" s="11" t="s">
        <v>692</v>
      </c>
      <c r="D674" s="1" t="s">
        <v>8</v>
      </c>
      <c r="E674" s="1" t="s">
        <v>18</v>
      </c>
      <c r="F674" s="1" t="str">
        <f aca="false">TEXT(B674,"mmm-yyyy")</f>
        <v>Nov-2024</v>
      </c>
    </row>
    <row r="675" customFormat="false" ht="43.5" hidden="false" customHeight="true" outlineLevel="0" collapsed="false">
      <c r="A675" s="1" t="n">
        <v>5</v>
      </c>
      <c r="B675" s="10" t="n">
        <v>45585</v>
      </c>
      <c r="C675" s="11" t="s">
        <v>693</v>
      </c>
      <c r="D675" s="1" t="s">
        <v>8</v>
      </c>
      <c r="E675" s="1" t="s">
        <v>18</v>
      </c>
      <c r="F675" s="1" t="str">
        <f aca="false">TEXT(B675,"mmm-yyyy")</f>
        <v>Oct-2024</v>
      </c>
    </row>
    <row r="676" customFormat="false" ht="130.5" hidden="false" customHeight="true" outlineLevel="0" collapsed="false">
      <c r="A676" s="1" t="n">
        <v>1</v>
      </c>
      <c r="B676" s="10" t="n">
        <v>45592</v>
      </c>
      <c r="C676" s="11" t="s">
        <v>694</v>
      </c>
      <c r="D676" s="1" t="s">
        <v>8</v>
      </c>
      <c r="E676" s="1" t="s">
        <v>18</v>
      </c>
      <c r="F676" s="1" t="str">
        <f aca="false">TEXT(B676,"mmm-yyyy")</f>
        <v>Oct-2024</v>
      </c>
    </row>
    <row r="677" customFormat="false" ht="43.5" hidden="false" customHeight="true" outlineLevel="0" collapsed="false">
      <c r="A677" s="1" t="n">
        <v>4</v>
      </c>
      <c r="B677" s="10" t="n">
        <v>45605</v>
      </c>
      <c r="C677" s="11" t="s">
        <v>695</v>
      </c>
      <c r="D677" s="1" t="s">
        <v>8</v>
      </c>
      <c r="E677" s="1" t="s">
        <v>20</v>
      </c>
      <c r="F677" s="1" t="str">
        <f aca="false">TEXT(B677,"mmm-yyyy")</f>
        <v>Nov-2024</v>
      </c>
    </row>
    <row r="678" customFormat="false" ht="87" hidden="false" customHeight="true" outlineLevel="0" collapsed="false">
      <c r="A678" s="1" t="n">
        <v>1</v>
      </c>
      <c r="B678" s="10" t="n">
        <v>45619</v>
      </c>
      <c r="C678" s="11" t="s">
        <v>696</v>
      </c>
      <c r="D678" s="1" t="s">
        <v>8</v>
      </c>
      <c r="E678" s="1" t="s">
        <v>20</v>
      </c>
      <c r="F678" s="1" t="str">
        <f aca="false">TEXT(B678,"mmm-yyyy")</f>
        <v>Nov-2024</v>
      </c>
    </row>
    <row r="679" customFormat="false" ht="87" hidden="false" customHeight="true" outlineLevel="0" collapsed="false">
      <c r="A679" s="1" t="n">
        <v>1</v>
      </c>
      <c r="B679" s="10" t="n">
        <v>45581</v>
      </c>
      <c r="C679" s="11" t="s">
        <v>697</v>
      </c>
      <c r="D679" s="1" t="s">
        <v>8</v>
      </c>
      <c r="E679" s="1" t="s">
        <v>20</v>
      </c>
      <c r="F679" s="1" t="str">
        <f aca="false">TEXT(B679,"mmm-yyyy")</f>
        <v>Oct-2024</v>
      </c>
    </row>
    <row r="680" customFormat="false" ht="72" hidden="false" customHeight="true" outlineLevel="0" collapsed="false">
      <c r="A680" s="1" t="n">
        <v>1</v>
      </c>
      <c r="B680" s="10" t="n">
        <v>45599</v>
      </c>
      <c r="C680" s="11" t="s">
        <v>698</v>
      </c>
      <c r="D680" s="1" t="s">
        <v>8</v>
      </c>
      <c r="E680" s="1" t="s">
        <v>20</v>
      </c>
      <c r="F680" s="1" t="str">
        <f aca="false">TEXT(B680,"mmm-yyyy")</f>
        <v>Nov-2024</v>
      </c>
    </row>
    <row r="681" customFormat="false" ht="87" hidden="false" customHeight="true" outlineLevel="0" collapsed="false">
      <c r="A681" s="1" t="n">
        <v>1</v>
      </c>
      <c r="B681" s="10" t="n">
        <v>45592</v>
      </c>
      <c r="C681" s="11" t="s">
        <v>699</v>
      </c>
      <c r="D681" s="1" t="s">
        <v>8</v>
      </c>
      <c r="E681" s="1" t="s">
        <v>18</v>
      </c>
      <c r="F681" s="1" t="str">
        <f aca="false">TEXT(B681,"mmm-yyyy")</f>
        <v>Oct-2024</v>
      </c>
    </row>
    <row r="682" customFormat="false" ht="57.75" hidden="false" customHeight="true" outlineLevel="0" collapsed="false">
      <c r="A682" s="1" t="n">
        <v>4</v>
      </c>
      <c r="B682" s="10" t="n">
        <v>45573</v>
      </c>
      <c r="C682" s="11" t="s">
        <v>700</v>
      </c>
      <c r="D682" s="1" t="s">
        <v>8</v>
      </c>
      <c r="E682" s="1" t="s">
        <v>18</v>
      </c>
      <c r="F682" s="1" t="str">
        <f aca="false">TEXT(B682,"mmm-yyyy")</f>
        <v>Oct-2024</v>
      </c>
    </row>
    <row r="683" customFormat="false" ht="115.5" hidden="false" customHeight="true" outlineLevel="0" collapsed="false">
      <c r="A683" s="1" t="n">
        <v>1</v>
      </c>
      <c r="B683" s="10" t="n">
        <v>45585</v>
      </c>
      <c r="C683" s="11" t="s">
        <v>701</v>
      </c>
      <c r="D683" s="1" t="s">
        <v>8</v>
      </c>
      <c r="E683" s="1" t="s">
        <v>18</v>
      </c>
      <c r="F683" s="1" t="str">
        <f aca="false">TEXT(B683,"mmm-yyyy")</f>
        <v>Oct-2024</v>
      </c>
    </row>
    <row r="684" customFormat="false" ht="43.5" hidden="false" customHeight="true" outlineLevel="0" collapsed="false">
      <c r="A684" s="1" t="n">
        <v>5</v>
      </c>
      <c r="B684" s="10" t="n">
        <v>45655</v>
      </c>
      <c r="C684" s="11" t="s">
        <v>702</v>
      </c>
      <c r="D684" s="1" t="s">
        <v>8</v>
      </c>
      <c r="E684" s="1" t="s">
        <v>18</v>
      </c>
      <c r="F684" s="1" t="str">
        <f aca="false">TEXT(B684,"mmm-yyyy")</f>
        <v>Dec-2024</v>
      </c>
    </row>
    <row r="685" customFormat="false" ht="57.75" hidden="false" customHeight="true" outlineLevel="0" collapsed="false">
      <c r="A685" s="1" t="n">
        <v>1</v>
      </c>
      <c r="B685" s="10" t="n">
        <v>45608</v>
      </c>
      <c r="C685" s="11" t="s">
        <v>703</v>
      </c>
      <c r="D685" s="1" t="s">
        <v>8</v>
      </c>
      <c r="E685" s="1" t="s">
        <v>20</v>
      </c>
      <c r="F685" s="1" t="str">
        <f aca="false">TEXT(B685,"mmm-yyyy")</f>
        <v>Nov-2024</v>
      </c>
    </row>
    <row r="686" customFormat="false" ht="115.5" hidden="false" customHeight="true" outlineLevel="0" collapsed="false">
      <c r="A686" s="1" t="n">
        <v>1</v>
      </c>
      <c r="B686" s="10" t="n">
        <v>45598</v>
      </c>
      <c r="C686" s="11" t="s">
        <v>704</v>
      </c>
      <c r="D686" s="1" t="s">
        <v>8</v>
      </c>
      <c r="E686" s="1" t="s">
        <v>18</v>
      </c>
      <c r="F686" s="1" t="str">
        <f aca="false">TEXT(B686,"mmm-yyyy")</f>
        <v>Nov-2024</v>
      </c>
    </row>
    <row r="687" customFormat="false" ht="72" hidden="false" customHeight="true" outlineLevel="0" collapsed="false">
      <c r="A687" s="1" t="n">
        <v>1</v>
      </c>
      <c r="B687" s="10" t="n">
        <v>45606</v>
      </c>
      <c r="C687" s="11" t="s">
        <v>705</v>
      </c>
      <c r="D687" s="1" t="s">
        <v>8</v>
      </c>
      <c r="E687" s="1" t="s">
        <v>20</v>
      </c>
      <c r="F687" s="1" t="str">
        <f aca="false">TEXT(B687,"mmm-yyyy")</f>
        <v>Nov-2024</v>
      </c>
    </row>
    <row r="688" customFormat="false" ht="130.5" hidden="false" customHeight="true" outlineLevel="0" collapsed="false">
      <c r="A688" s="1" t="n">
        <v>1</v>
      </c>
      <c r="B688" s="10" t="n">
        <v>45577</v>
      </c>
      <c r="C688" s="11" t="s">
        <v>706</v>
      </c>
      <c r="D688" s="1" t="s">
        <v>8</v>
      </c>
      <c r="E688" s="1" t="s">
        <v>18</v>
      </c>
      <c r="F688" s="1" t="str">
        <f aca="false">TEXT(B688,"mmm-yyyy")</f>
        <v>Oct-2024</v>
      </c>
    </row>
    <row r="689" customFormat="false" ht="57.75" hidden="false" customHeight="true" outlineLevel="0" collapsed="false">
      <c r="A689" s="1" t="n">
        <v>5</v>
      </c>
      <c r="B689" s="10" t="n">
        <v>45600</v>
      </c>
      <c r="C689" s="11" t="s">
        <v>707</v>
      </c>
      <c r="D689" s="1" t="s">
        <v>8</v>
      </c>
      <c r="E689" s="1" t="s">
        <v>18</v>
      </c>
      <c r="F689" s="1" t="str">
        <f aca="false">TEXT(B689,"mmm-yyyy")</f>
        <v>Nov-2024</v>
      </c>
    </row>
    <row r="690" customFormat="false" ht="87" hidden="false" customHeight="true" outlineLevel="0" collapsed="false">
      <c r="A690" s="1" t="n">
        <v>1</v>
      </c>
      <c r="B690" s="10" t="n">
        <v>45586</v>
      </c>
      <c r="C690" s="11" t="s">
        <v>708</v>
      </c>
      <c r="D690" s="1" t="s">
        <v>8</v>
      </c>
      <c r="E690" s="1" t="s">
        <v>20</v>
      </c>
      <c r="F690" s="1" t="str">
        <f aca="false">TEXT(B690,"mmm-yyyy")</f>
        <v>Oct-2024</v>
      </c>
    </row>
    <row r="691" customFormat="false" ht="115.5" hidden="false" customHeight="true" outlineLevel="0" collapsed="false">
      <c r="A691" s="1" t="n">
        <v>5</v>
      </c>
      <c r="B691" s="10" t="n">
        <v>45623</v>
      </c>
      <c r="C691" s="11" t="s">
        <v>709</v>
      </c>
      <c r="D691" s="1" t="s">
        <v>8</v>
      </c>
      <c r="E691" s="1" t="s">
        <v>18</v>
      </c>
      <c r="F691" s="1" t="str">
        <f aca="false">TEXT(B691,"mmm-yyyy")</f>
        <v>Nov-2024</v>
      </c>
    </row>
    <row r="692" customFormat="false" ht="130.5" hidden="false" customHeight="true" outlineLevel="0" collapsed="false">
      <c r="A692" s="1" t="n">
        <v>1</v>
      </c>
      <c r="B692" s="10" t="n">
        <v>45582</v>
      </c>
      <c r="C692" s="11" t="s">
        <v>710</v>
      </c>
      <c r="D692" s="1" t="s">
        <v>8</v>
      </c>
      <c r="E692" s="1" t="s">
        <v>20</v>
      </c>
      <c r="F692" s="1" t="str">
        <f aca="false">TEXT(B692,"mmm-yyyy")</f>
        <v>Oct-2024</v>
      </c>
    </row>
    <row r="693" customFormat="false" ht="130.5" hidden="false" customHeight="true" outlineLevel="0" collapsed="false">
      <c r="A693" s="1" t="n">
        <v>4</v>
      </c>
      <c r="B693" s="10" t="n">
        <v>45611</v>
      </c>
      <c r="C693" s="11" t="s">
        <v>711</v>
      </c>
      <c r="D693" s="1" t="s">
        <v>8</v>
      </c>
      <c r="E693" s="1" t="s">
        <v>20</v>
      </c>
      <c r="F693" s="1" t="str">
        <f aca="false">TEXT(B693,"mmm-yyyy")</f>
        <v>Nov-2024</v>
      </c>
    </row>
    <row r="694" customFormat="false" ht="87" hidden="false" customHeight="true" outlineLevel="0" collapsed="false">
      <c r="A694" s="1" t="n">
        <v>1</v>
      </c>
      <c r="B694" s="10" t="n">
        <v>45578</v>
      </c>
      <c r="C694" s="11" t="s">
        <v>712</v>
      </c>
      <c r="D694" s="1" t="s">
        <v>8</v>
      </c>
      <c r="E694" s="1" t="s">
        <v>20</v>
      </c>
      <c r="F694" s="1" t="str">
        <f aca="false">TEXT(B694,"mmm-yyyy")</f>
        <v>Oct-2024</v>
      </c>
    </row>
    <row r="695" customFormat="false" ht="57.75" hidden="false" customHeight="true" outlineLevel="0" collapsed="false">
      <c r="A695" s="1" t="n">
        <v>4</v>
      </c>
      <c r="B695" s="10" t="n">
        <v>45590</v>
      </c>
      <c r="C695" s="11" t="s">
        <v>713</v>
      </c>
      <c r="D695" s="1" t="s">
        <v>8</v>
      </c>
      <c r="E695" s="1" t="s">
        <v>18</v>
      </c>
      <c r="F695" s="1" t="str">
        <f aca="false">TEXT(B695,"mmm-yyyy")</f>
        <v>Oct-2024</v>
      </c>
    </row>
    <row r="696" customFormat="false" ht="115.5" hidden="false" customHeight="true" outlineLevel="0" collapsed="false">
      <c r="A696" s="1" t="n">
        <v>1</v>
      </c>
      <c r="B696" s="10" t="n">
        <v>45604</v>
      </c>
      <c r="C696" s="11" t="s">
        <v>714</v>
      </c>
      <c r="D696" s="1" t="s">
        <v>8</v>
      </c>
      <c r="E696" s="1" t="s">
        <v>20</v>
      </c>
      <c r="F696" s="1" t="str">
        <f aca="false">TEXT(B696,"mmm-yyyy")</f>
        <v>Nov-2024</v>
      </c>
    </row>
    <row r="697" customFormat="false" ht="101.25" hidden="false" customHeight="true" outlineLevel="0" collapsed="false">
      <c r="A697" s="1" t="n">
        <v>1</v>
      </c>
      <c r="B697" s="10" t="n">
        <v>45596</v>
      </c>
      <c r="C697" s="11" t="s">
        <v>715</v>
      </c>
      <c r="D697" s="1" t="s">
        <v>8</v>
      </c>
      <c r="E697" s="1" t="s">
        <v>20</v>
      </c>
      <c r="F697" s="1" t="str">
        <f aca="false">TEXT(B697,"mmm-yyyy")</f>
        <v>Oct-2024</v>
      </c>
    </row>
    <row r="698" customFormat="false" ht="101.25" hidden="false" customHeight="true" outlineLevel="0" collapsed="false">
      <c r="A698" s="1" t="n">
        <v>4</v>
      </c>
      <c r="B698" s="10" t="n">
        <v>45602</v>
      </c>
      <c r="C698" s="11" t="s">
        <v>716</v>
      </c>
      <c r="D698" s="1" t="s">
        <v>8</v>
      </c>
      <c r="E698" s="1" t="s">
        <v>18</v>
      </c>
      <c r="F698" s="1" t="str">
        <f aca="false">TEXT(B698,"mmm-yyyy")</f>
        <v>Nov-2024</v>
      </c>
    </row>
    <row r="699" customFormat="false" ht="101.25" hidden="false" customHeight="true" outlineLevel="0" collapsed="false">
      <c r="A699" s="1" t="n">
        <v>5</v>
      </c>
      <c r="B699" s="10" t="n">
        <v>45596</v>
      </c>
      <c r="C699" s="11" t="s">
        <v>717</v>
      </c>
      <c r="D699" s="1" t="s">
        <v>8</v>
      </c>
      <c r="E699" s="1" t="s">
        <v>18</v>
      </c>
      <c r="F699" s="1" t="str">
        <f aca="false">TEXT(B699,"mmm-yyyy")</f>
        <v>Oct-2024</v>
      </c>
    </row>
    <row r="700" customFormat="false" ht="115.5" hidden="false" customHeight="true" outlineLevel="0" collapsed="false">
      <c r="A700" s="1" t="n">
        <v>5</v>
      </c>
      <c r="B700" s="10" t="n">
        <v>45605</v>
      </c>
      <c r="C700" s="11" t="s">
        <v>718</v>
      </c>
      <c r="D700" s="1" t="s">
        <v>8</v>
      </c>
      <c r="E700" s="1" t="s">
        <v>18</v>
      </c>
      <c r="F700" s="1" t="str">
        <f aca="false">TEXT(B700,"mmm-yyyy")</f>
        <v>Nov-2024</v>
      </c>
    </row>
    <row r="701" customFormat="false" ht="115.5" hidden="false" customHeight="true" outlineLevel="0" collapsed="false">
      <c r="A701" s="1" t="n">
        <v>1</v>
      </c>
      <c r="B701" s="10" t="n">
        <v>45622</v>
      </c>
      <c r="C701" s="11" t="s">
        <v>719</v>
      </c>
      <c r="D701" s="1" t="s">
        <v>8</v>
      </c>
      <c r="E701" s="1" t="s">
        <v>20</v>
      </c>
      <c r="F701" s="1" t="str">
        <f aca="false">TEXT(B701,"mmm-yyyy")</f>
        <v>Nov-2024</v>
      </c>
    </row>
    <row r="702" customFormat="false" ht="72" hidden="false" customHeight="true" outlineLevel="0" collapsed="false">
      <c r="A702" s="1" t="n">
        <v>1</v>
      </c>
      <c r="B702" s="10" t="n">
        <v>45599</v>
      </c>
      <c r="C702" s="11" t="s">
        <v>720</v>
      </c>
      <c r="D702" s="1" t="s">
        <v>8</v>
      </c>
      <c r="E702" s="1" t="s">
        <v>20</v>
      </c>
      <c r="F702" s="1" t="str">
        <f aca="false">TEXT(B702,"mmm-yyyy")</f>
        <v>Nov-2024</v>
      </c>
    </row>
    <row r="703" customFormat="false" ht="130.5" hidden="false" customHeight="true" outlineLevel="0" collapsed="false">
      <c r="A703" s="1" t="n">
        <v>1</v>
      </c>
      <c r="B703" s="10" t="n">
        <v>45599</v>
      </c>
      <c r="C703" s="11" t="s">
        <v>721</v>
      </c>
      <c r="D703" s="1" t="s">
        <v>8</v>
      </c>
      <c r="E703" s="1" t="s">
        <v>20</v>
      </c>
      <c r="F703" s="1" t="str">
        <f aca="false">TEXT(B703,"mmm-yyyy")</f>
        <v>Nov-2024</v>
      </c>
    </row>
    <row r="704" customFormat="false" ht="115.5" hidden="false" customHeight="true" outlineLevel="0" collapsed="false">
      <c r="A704" s="1" t="n">
        <v>1</v>
      </c>
      <c r="B704" s="10" t="n">
        <v>45586</v>
      </c>
      <c r="C704" s="11" t="s">
        <v>722</v>
      </c>
      <c r="D704" s="1" t="s">
        <v>8</v>
      </c>
      <c r="E704" s="1" t="s">
        <v>20</v>
      </c>
      <c r="F704" s="1" t="str">
        <f aca="false">TEXT(B704,"mmm-yyyy")</f>
        <v>Oct-2024</v>
      </c>
    </row>
    <row r="705" customFormat="false" ht="43.5" hidden="false" customHeight="true" outlineLevel="0" collapsed="false">
      <c r="A705" s="1" t="n">
        <v>1</v>
      </c>
      <c r="B705" s="10" t="n">
        <v>45581</v>
      </c>
      <c r="C705" s="11" t="s">
        <v>723</v>
      </c>
      <c r="D705" s="1" t="s">
        <v>8</v>
      </c>
      <c r="E705" s="1" t="s">
        <v>20</v>
      </c>
      <c r="F705" s="1" t="str">
        <f aca="false">TEXT(B705,"mmm-yyyy")</f>
        <v>Oct-2024</v>
      </c>
    </row>
    <row r="706" customFormat="false" ht="115.5" hidden="false" customHeight="true" outlineLevel="0" collapsed="false">
      <c r="A706" s="1" t="n">
        <v>1</v>
      </c>
      <c r="B706" s="10" t="n">
        <v>45635</v>
      </c>
      <c r="C706" s="11" t="s">
        <v>724</v>
      </c>
      <c r="D706" s="1" t="s">
        <v>8</v>
      </c>
      <c r="E706" s="1" t="s">
        <v>20</v>
      </c>
      <c r="F706" s="1" t="str">
        <f aca="false">TEXT(B706,"mmm-yyyy")</f>
        <v>Dec-2024</v>
      </c>
    </row>
    <row r="707" customFormat="false" ht="72" hidden="false" customHeight="true" outlineLevel="0" collapsed="false">
      <c r="A707" s="1" t="n">
        <v>1</v>
      </c>
      <c r="B707" s="10" t="n">
        <v>45576</v>
      </c>
      <c r="C707" s="11" t="s">
        <v>725</v>
      </c>
      <c r="D707" s="1" t="s">
        <v>8</v>
      </c>
      <c r="E707" s="1" t="s">
        <v>20</v>
      </c>
      <c r="F707" s="1" t="str">
        <f aca="false">TEXT(B707,"mmm-yyyy")</f>
        <v>Oct-2024</v>
      </c>
    </row>
    <row r="708" customFormat="false" ht="115.5" hidden="false" customHeight="true" outlineLevel="0" collapsed="false">
      <c r="A708" s="1" t="n">
        <v>1</v>
      </c>
      <c r="B708" s="10" t="n">
        <v>45602</v>
      </c>
      <c r="C708" s="11" t="s">
        <v>726</v>
      </c>
      <c r="D708" s="1" t="s">
        <v>8</v>
      </c>
      <c r="E708" s="1" t="s">
        <v>18</v>
      </c>
      <c r="F708" s="1" t="str">
        <f aca="false">TEXT(B708,"mmm-yyyy")</f>
        <v>Nov-2024</v>
      </c>
    </row>
    <row r="709" customFormat="false" ht="72" hidden="false" customHeight="true" outlineLevel="0" collapsed="false">
      <c r="A709" s="1" t="n">
        <v>1</v>
      </c>
      <c r="B709" s="10" t="n">
        <v>45576</v>
      </c>
      <c r="C709" s="11" t="s">
        <v>727</v>
      </c>
      <c r="D709" s="1" t="s">
        <v>8</v>
      </c>
      <c r="E709" s="1" t="s">
        <v>20</v>
      </c>
      <c r="F709" s="1" t="str">
        <f aca="false">TEXT(B709,"mmm-yyyy")</f>
        <v>Oct-2024</v>
      </c>
    </row>
    <row r="710" customFormat="false" ht="115.5" hidden="false" customHeight="true" outlineLevel="0" collapsed="false">
      <c r="A710" s="1" t="n">
        <v>4</v>
      </c>
      <c r="B710" s="10" t="n">
        <v>45591</v>
      </c>
      <c r="C710" s="11" t="s">
        <v>728</v>
      </c>
      <c r="D710" s="1" t="s">
        <v>8</v>
      </c>
      <c r="E710" s="1" t="s">
        <v>20</v>
      </c>
      <c r="F710" s="1" t="str">
        <f aca="false">TEXT(B710,"mmm-yyyy")</f>
        <v>Oct-2024</v>
      </c>
    </row>
    <row r="711" customFormat="false" ht="87" hidden="false" customHeight="true" outlineLevel="0" collapsed="false">
      <c r="A711" s="1" t="n">
        <v>1</v>
      </c>
      <c r="B711" s="10" t="n">
        <v>45593</v>
      </c>
      <c r="C711" s="11" t="s">
        <v>729</v>
      </c>
      <c r="D711" s="1" t="s">
        <v>8</v>
      </c>
      <c r="E711" s="1" t="s">
        <v>20</v>
      </c>
      <c r="F711" s="1" t="str">
        <f aca="false">TEXT(B711,"mmm-yyyy")</f>
        <v>Oct-2024</v>
      </c>
    </row>
    <row r="712" customFormat="false" ht="72" hidden="false" customHeight="true" outlineLevel="0" collapsed="false">
      <c r="A712" s="1" t="n">
        <v>3</v>
      </c>
      <c r="B712" s="10" t="n">
        <v>45623</v>
      </c>
      <c r="C712" s="11" t="s">
        <v>730</v>
      </c>
      <c r="D712" s="1" t="s">
        <v>8</v>
      </c>
      <c r="E712" s="1" t="s">
        <v>20</v>
      </c>
      <c r="F712" s="1" t="str">
        <f aca="false">TEXT(B712,"mmm-yyyy")</f>
        <v>Nov-2024</v>
      </c>
    </row>
    <row r="713" customFormat="false" ht="57.75" hidden="false" customHeight="true" outlineLevel="0" collapsed="false">
      <c r="A713" s="1" t="n">
        <v>1</v>
      </c>
      <c r="B713" s="10" t="n">
        <v>45597</v>
      </c>
      <c r="C713" s="11" t="s">
        <v>731</v>
      </c>
      <c r="D713" s="1" t="s">
        <v>8</v>
      </c>
      <c r="E713" s="1" t="s">
        <v>20</v>
      </c>
      <c r="F713" s="1" t="str">
        <f aca="false">TEXT(B713,"mmm-yyyy")</f>
        <v>Nov-2024</v>
      </c>
    </row>
    <row r="714" customFormat="false" ht="57.75" hidden="false" customHeight="true" outlineLevel="0" collapsed="false">
      <c r="A714" s="1" t="n">
        <v>4</v>
      </c>
      <c r="B714" s="10" t="n">
        <v>45582</v>
      </c>
      <c r="C714" s="11" t="s">
        <v>732</v>
      </c>
      <c r="D714" s="1" t="s">
        <v>8</v>
      </c>
      <c r="E714" s="1" t="s">
        <v>18</v>
      </c>
      <c r="F714" s="1" t="str">
        <f aca="false">TEXT(B714,"mmm-yyyy")</f>
        <v>Oct-2024</v>
      </c>
    </row>
    <row r="715" customFormat="false" ht="57.75" hidden="false" customHeight="true" outlineLevel="0" collapsed="false">
      <c r="A715" s="1" t="n">
        <v>5</v>
      </c>
      <c r="B715" s="10" t="n">
        <v>45590</v>
      </c>
      <c r="C715" s="11" t="s">
        <v>733</v>
      </c>
      <c r="D715" s="1" t="s">
        <v>8</v>
      </c>
      <c r="E715" s="1" t="s">
        <v>18</v>
      </c>
      <c r="F715" s="1" t="str">
        <f aca="false">TEXT(B715,"mmm-yyyy")</f>
        <v>Oct-2024</v>
      </c>
    </row>
    <row r="716" customFormat="false" ht="101.25" hidden="false" customHeight="true" outlineLevel="0" collapsed="false">
      <c r="A716" s="1" t="n">
        <v>1</v>
      </c>
      <c r="B716" s="10" t="n">
        <v>45592</v>
      </c>
      <c r="C716" s="11" t="s">
        <v>734</v>
      </c>
      <c r="D716" s="1" t="s">
        <v>8</v>
      </c>
      <c r="E716" s="1" t="s">
        <v>18</v>
      </c>
      <c r="F716" s="1" t="str">
        <f aca="false">TEXT(B716,"mmm-yyyy")</f>
        <v>Oct-2024</v>
      </c>
    </row>
    <row r="717" customFormat="false" ht="72" hidden="false" customHeight="true" outlineLevel="0" collapsed="false">
      <c r="A717" s="1" t="n">
        <v>1</v>
      </c>
      <c r="B717" s="10" t="n">
        <v>45608</v>
      </c>
      <c r="C717" s="11" t="s">
        <v>735</v>
      </c>
      <c r="D717" s="1" t="s">
        <v>8</v>
      </c>
      <c r="E717" s="1" t="s">
        <v>20</v>
      </c>
      <c r="F717" s="1" t="str">
        <f aca="false">TEXT(B717,"mmm-yyyy")</f>
        <v>Nov-2024</v>
      </c>
    </row>
    <row r="718" customFormat="false" ht="87" hidden="false" customHeight="true" outlineLevel="0" collapsed="false">
      <c r="A718" s="1" t="n">
        <v>5</v>
      </c>
      <c r="B718" s="10" t="n">
        <v>45610</v>
      </c>
      <c r="C718" s="11" t="s">
        <v>736</v>
      </c>
      <c r="D718" s="1" t="s">
        <v>8</v>
      </c>
      <c r="E718" s="1" t="s">
        <v>18</v>
      </c>
      <c r="F718" s="1" t="str">
        <f aca="false">TEXT(B718,"mmm-yyyy")</f>
        <v>Nov-2024</v>
      </c>
    </row>
    <row r="719" customFormat="false" ht="57.75" hidden="false" customHeight="true" outlineLevel="0" collapsed="false">
      <c r="A719" s="1" t="n">
        <v>1</v>
      </c>
      <c r="B719" s="10" t="n">
        <v>45592</v>
      </c>
      <c r="C719" s="11" t="s">
        <v>737</v>
      </c>
      <c r="D719" s="1" t="s">
        <v>8</v>
      </c>
      <c r="E719" s="1" t="s">
        <v>20</v>
      </c>
      <c r="F719" s="1" t="str">
        <f aca="false">TEXT(B719,"mmm-yyyy")</f>
        <v>Oct-2024</v>
      </c>
    </row>
    <row r="720" customFormat="false" ht="43.5" hidden="false" customHeight="true" outlineLevel="0" collapsed="false">
      <c r="A720" s="1" t="n">
        <v>5</v>
      </c>
      <c r="B720" s="10" t="n">
        <v>45610</v>
      </c>
      <c r="C720" s="11" t="s">
        <v>738</v>
      </c>
      <c r="D720" s="1" t="s">
        <v>8</v>
      </c>
      <c r="E720" s="1" t="s">
        <v>18</v>
      </c>
      <c r="F720" s="1" t="str">
        <f aca="false">TEXT(B720,"mmm-yyyy")</f>
        <v>Nov-2024</v>
      </c>
    </row>
    <row r="721" customFormat="false" ht="87" hidden="false" customHeight="true" outlineLevel="0" collapsed="false">
      <c r="A721" s="1" t="n">
        <v>1</v>
      </c>
      <c r="B721" s="10" t="n">
        <v>45634</v>
      </c>
      <c r="C721" s="11" t="s">
        <v>739</v>
      </c>
      <c r="D721" s="1" t="s">
        <v>8</v>
      </c>
      <c r="E721" s="1" t="s">
        <v>32</v>
      </c>
      <c r="F721" s="1" t="str">
        <f aca="false">TEXT(B721,"mmm-yyyy")</f>
        <v>Dec-2024</v>
      </c>
    </row>
    <row r="722" customFormat="false" ht="130.5" hidden="false" customHeight="true" outlineLevel="0" collapsed="false">
      <c r="A722" s="1" t="n">
        <v>1</v>
      </c>
      <c r="B722" s="10" t="n">
        <v>45598</v>
      </c>
      <c r="C722" s="11" t="s">
        <v>740</v>
      </c>
      <c r="D722" s="1" t="s">
        <v>8</v>
      </c>
      <c r="E722" s="1" t="s">
        <v>18</v>
      </c>
      <c r="F722" s="1" t="str">
        <f aca="false">TEXT(B722,"mmm-yyyy")</f>
        <v>Nov-2024</v>
      </c>
    </row>
    <row r="723" customFormat="false" ht="57.75" hidden="false" customHeight="true" outlineLevel="0" collapsed="false">
      <c r="A723" s="1" t="n">
        <v>1</v>
      </c>
      <c r="B723" s="10" t="n">
        <v>45606</v>
      </c>
      <c r="C723" s="11" t="s">
        <v>741</v>
      </c>
      <c r="D723" s="1" t="s">
        <v>8</v>
      </c>
      <c r="E723" s="1" t="s">
        <v>20</v>
      </c>
      <c r="F723" s="1" t="str">
        <f aca="false">TEXT(B723,"mmm-yyyy")</f>
        <v>Nov-2024</v>
      </c>
    </row>
    <row r="724" customFormat="false" ht="43.5" hidden="false" customHeight="true" outlineLevel="0" collapsed="false">
      <c r="A724" s="1" t="n">
        <v>5</v>
      </c>
      <c r="B724" s="10" t="n">
        <v>45585</v>
      </c>
      <c r="C724" s="11" t="s">
        <v>742</v>
      </c>
      <c r="D724" s="1" t="s">
        <v>8</v>
      </c>
      <c r="E724" s="1" t="s">
        <v>18</v>
      </c>
      <c r="F724" s="1" t="str">
        <f aca="false">TEXT(B724,"mmm-yyyy")</f>
        <v>Oct-2024</v>
      </c>
    </row>
    <row r="725" customFormat="false" ht="115.5" hidden="false" customHeight="true" outlineLevel="0" collapsed="false">
      <c r="A725" s="1" t="n">
        <v>1</v>
      </c>
      <c r="B725" s="10" t="n">
        <v>45594</v>
      </c>
      <c r="C725" s="11" t="s">
        <v>743</v>
      </c>
      <c r="D725" s="1" t="s">
        <v>8</v>
      </c>
      <c r="E725" s="1" t="s">
        <v>18</v>
      </c>
      <c r="F725" s="1" t="str">
        <f aca="false">TEXT(B725,"mmm-yyyy")</f>
        <v>Oct-2024</v>
      </c>
    </row>
    <row r="726" customFormat="false" ht="57.75" hidden="false" customHeight="true" outlineLevel="0" collapsed="false">
      <c r="A726" s="1" t="n">
        <v>1</v>
      </c>
      <c r="B726" s="10" t="n">
        <v>45641</v>
      </c>
      <c r="C726" s="11" t="s">
        <v>744</v>
      </c>
      <c r="D726" s="1" t="s">
        <v>8</v>
      </c>
      <c r="E726" s="1" t="s">
        <v>20</v>
      </c>
      <c r="F726" s="1" t="str">
        <f aca="false">TEXT(B726,"mmm-yyyy")</f>
        <v>Dec-2024</v>
      </c>
    </row>
    <row r="727" customFormat="false" ht="115.5" hidden="false" customHeight="true" outlineLevel="0" collapsed="false">
      <c r="A727" s="1" t="n">
        <v>1</v>
      </c>
      <c r="B727" s="10" t="n">
        <v>45604</v>
      </c>
      <c r="C727" s="11" t="s">
        <v>745</v>
      </c>
      <c r="D727" s="1" t="s">
        <v>8</v>
      </c>
      <c r="E727" s="1" t="s">
        <v>20</v>
      </c>
      <c r="F727" s="1" t="str">
        <f aca="false">TEXT(B727,"mmm-yyyy")</f>
        <v>Nov-2024</v>
      </c>
    </row>
    <row r="728" customFormat="false" ht="72" hidden="false" customHeight="true" outlineLevel="0" collapsed="false">
      <c r="A728" s="1" t="n">
        <v>5</v>
      </c>
      <c r="B728" s="10" t="n">
        <v>45572</v>
      </c>
      <c r="C728" s="11" t="s">
        <v>746</v>
      </c>
      <c r="D728" s="1" t="s">
        <v>8</v>
      </c>
      <c r="E728" s="1" t="s">
        <v>18</v>
      </c>
      <c r="F728" s="1" t="str">
        <f aca="false">TEXT(B728,"mmm-yyyy")</f>
        <v>Oct-2024</v>
      </c>
    </row>
    <row r="729" customFormat="false" ht="43.5" hidden="false" customHeight="true" outlineLevel="0" collapsed="false">
      <c r="A729" s="1" t="n">
        <v>5</v>
      </c>
      <c r="B729" s="10" t="n">
        <v>45600</v>
      </c>
      <c r="C729" s="11" t="s">
        <v>747</v>
      </c>
      <c r="D729" s="1" t="s">
        <v>8</v>
      </c>
      <c r="E729" s="1" t="s">
        <v>32</v>
      </c>
      <c r="F729" s="1" t="str">
        <f aca="false">TEXT(B729,"mmm-yyyy")</f>
        <v>Nov-2024</v>
      </c>
    </row>
    <row r="730" customFormat="false" ht="57.75" hidden="false" customHeight="true" outlineLevel="0" collapsed="false">
      <c r="A730" s="1" t="n">
        <v>1</v>
      </c>
      <c r="B730" s="10" t="n">
        <v>45640</v>
      </c>
      <c r="C730" s="11" t="s">
        <v>748</v>
      </c>
      <c r="D730" s="1" t="s">
        <v>8</v>
      </c>
      <c r="E730" s="1" t="s">
        <v>20</v>
      </c>
      <c r="F730" s="1" t="str">
        <f aca="false">TEXT(B730,"mmm-yyyy")</f>
        <v>Dec-2024</v>
      </c>
    </row>
    <row r="731" customFormat="false" ht="43.5" hidden="false" customHeight="true" outlineLevel="0" collapsed="false">
      <c r="A731" s="1" t="n">
        <v>1</v>
      </c>
      <c r="B731" s="10" t="n">
        <v>45644</v>
      </c>
      <c r="C731" s="11" t="s">
        <v>749</v>
      </c>
      <c r="D731" s="1" t="s">
        <v>8</v>
      </c>
      <c r="E731" s="1" t="s">
        <v>20</v>
      </c>
      <c r="F731" s="1" t="str">
        <f aca="false">TEXT(B731,"mmm-yyyy")</f>
        <v>Dec-2024</v>
      </c>
    </row>
    <row r="732" customFormat="false" ht="87" hidden="false" customHeight="true" outlineLevel="0" collapsed="false">
      <c r="A732" s="1" t="n">
        <v>5</v>
      </c>
      <c r="B732" s="10" t="n">
        <v>45649</v>
      </c>
      <c r="C732" s="11" t="s">
        <v>750</v>
      </c>
      <c r="D732" s="1" t="s">
        <v>8</v>
      </c>
      <c r="E732" s="1" t="s">
        <v>20</v>
      </c>
      <c r="F732" s="1" t="str">
        <f aca="false">TEXT(B732,"mmm-yyyy")</f>
        <v>Dec-2024</v>
      </c>
    </row>
    <row r="733" customFormat="false" ht="43.5" hidden="false" customHeight="true" outlineLevel="0" collapsed="false">
      <c r="A733" s="1" t="n">
        <v>1</v>
      </c>
      <c r="B733" s="10" t="n">
        <v>45650</v>
      </c>
      <c r="C733" s="11" t="s">
        <v>751</v>
      </c>
      <c r="D733" s="1" t="s">
        <v>8</v>
      </c>
      <c r="E733" s="1" t="s">
        <v>18</v>
      </c>
      <c r="F733" s="1" t="str">
        <f aca="false">TEXT(B733,"mmm-yyyy")</f>
        <v>Dec-2024</v>
      </c>
    </row>
    <row r="734" customFormat="false" ht="72" hidden="false" customHeight="true" outlineLevel="0" collapsed="false">
      <c r="A734" s="1" t="n">
        <v>2</v>
      </c>
      <c r="B734" s="10" t="n">
        <v>45647</v>
      </c>
      <c r="C734" s="11" t="s">
        <v>752</v>
      </c>
      <c r="D734" s="1" t="s">
        <v>8</v>
      </c>
      <c r="E734" s="1" t="s">
        <v>18</v>
      </c>
      <c r="F734" s="1" t="str">
        <f aca="false">TEXT(B734,"mmm-yyyy")</f>
        <v>Dec-2024</v>
      </c>
    </row>
    <row r="735" customFormat="false" ht="43.5" hidden="false" customHeight="true" outlineLevel="0" collapsed="false">
      <c r="A735" s="1" t="n">
        <v>5</v>
      </c>
      <c r="B735" s="10" t="n">
        <v>45646</v>
      </c>
      <c r="C735" s="11" t="s">
        <v>753</v>
      </c>
      <c r="D735" s="1" t="s">
        <v>8</v>
      </c>
      <c r="E735" s="1" t="s">
        <v>18</v>
      </c>
      <c r="F735" s="1" t="str">
        <f aca="false">TEXT(B735,"mmm-yyyy")</f>
        <v>Dec-2024</v>
      </c>
    </row>
    <row r="736" customFormat="false" ht="43.5" hidden="false" customHeight="true" outlineLevel="0" collapsed="false">
      <c r="A736" s="1" t="n">
        <v>5</v>
      </c>
      <c r="B736" s="10" t="n">
        <v>45655</v>
      </c>
      <c r="C736" s="11" t="s">
        <v>754</v>
      </c>
      <c r="D736" s="1" t="s">
        <v>8</v>
      </c>
      <c r="E736" s="1" t="s">
        <v>18</v>
      </c>
      <c r="F736" s="1" t="str">
        <f aca="false">TEXT(B736,"mmm-yyyy")</f>
        <v>Dec-2024</v>
      </c>
    </row>
    <row r="737" customFormat="false" ht="57.75" hidden="false" customHeight="true" outlineLevel="0" collapsed="false">
      <c r="A737" s="1" t="n">
        <v>1</v>
      </c>
      <c r="B737" s="10" t="n">
        <v>45646</v>
      </c>
      <c r="C737" s="11" t="s">
        <v>755</v>
      </c>
      <c r="D737" s="1" t="s">
        <v>8</v>
      </c>
      <c r="E737" s="1" t="s">
        <v>18</v>
      </c>
      <c r="F737" s="1" t="str">
        <f aca="false">TEXT(B737,"mmm-yyyy")</f>
        <v>Dec-2024</v>
      </c>
    </row>
    <row r="738" customFormat="false" ht="72" hidden="false" customHeight="true" outlineLevel="0" collapsed="false">
      <c r="A738" s="1" t="n">
        <v>5</v>
      </c>
      <c r="B738" s="10" t="n">
        <v>45649</v>
      </c>
      <c r="C738" s="11" t="s">
        <v>756</v>
      </c>
      <c r="D738" s="1" t="s">
        <v>8</v>
      </c>
      <c r="E738" s="1" t="s">
        <v>18</v>
      </c>
      <c r="F738" s="1" t="str">
        <f aca="false">TEXT(B738,"mmm-yyyy")</f>
        <v>Dec-2024</v>
      </c>
    </row>
    <row r="739" customFormat="false" ht="101.25" hidden="false" customHeight="true" outlineLevel="0" collapsed="false">
      <c r="A739" s="1" t="n">
        <v>1</v>
      </c>
      <c r="B739" s="10" t="n">
        <v>45644</v>
      </c>
      <c r="C739" s="11" t="s">
        <v>757</v>
      </c>
      <c r="D739" s="1" t="s">
        <v>8</v>
      </c>
      <c r="E739" s="1" t="s">
        <v>32</v>
      </c>
      <c r="F739" s="1" t="str">
        <f aca="false">TEXT(B739,"mmm-yyyy")</f>
        <v>Dec-2024</v>
      </c>
    </row>
    <row r="740" customFormat="false" ht="28.5" hidden="false" customHeight="true" outlineLevel="0" collapsed="false">
      <c r="A740" s="1" t="n">
        <v>3</v>
      </c>
      <c r="B740" s="10" t="n">
        <v>45639</v>
      </c>
      <c r="C740" s="11" t="s">
        <v>758</v>
      </c>
      <c r="D740" s="1" t="s">
        <v>8</v>
      </c>
      <c r="E740" s="1" t="s">
        <v>20</v>
      </c>
      <c r="F740" s="1" t="str">
        <f aca="false">TEXT(B740,"mmm-yyyy")</f>
        <v>Dec-2024</v>
      </c>
    </row>
    <row r="741" customFormat="false" ht="28.5" hidden="false" customHeight="true" outlineLevel="0" collapsed="false">
      <c r="A741" s="1" t="n">
        <v>5</v>
      </c>
      <c r="B741" s="10" t="n">
        <v>45646</v>
      </c>
      <c r="C741" s="11" t="s">
        <v>759</v>
      </c>
      <c r="D741" s="1" t="s">
        <v>8</v>
      </c>
      <c r="E741" s="1" t="s">
        <v>18</v>
      </c>
      <c r="F741" s="1" t="str">
        <f aca="false">TEXT(B741,"mmm-yyyy")</f>
        <v>Dec-2024</v>
      </c>
    </row>
    <row r="742" customFormat="false" ht="57.75" hidden="false" customHeight="true" outlineLevel="0" collapsed="false">
      <c r="A742" s="1" t="n">
        <v>2</v>
      </c>
      <c r="B742" s="10" t="n">
        <v>45645</v>
      </c>
      <c r="C742" s="11" t="s">
        <v>760</v>
      </c>
      <c r="D742" s="1" t="s">
        <v>8</v>
      </c>
      <c r="E742" s="1" t="s">
        <v>20</v>
      </c>
      <c r="F742" s="1" t="str">
        <f aca="false">TEXT(B742,"mmm-yyyy")</f>
        <v>Dec-2024</v>
      </c>
    </row>
    <row r="743" customFormat="false" ht="28.5" hidden="false" customHeight="true" outlineLevel="0" collapsed="false">
      <c r="A743" s="1" t="n">
        <v>5</v>
      </c>
      <c r="B743" s="10" t="n">
        <v>45654</v>
      </c>
      <c r="C743" s="11" t="s">
        <v>761</v>
      </c>
      <c r="D743" s="1" t="s">
        <v>8</v>
      </c>
      <c r="E743" s="1" t="s">
        <v>18</v>
      </c>
      <c r="F743" s="1" t="str">
        <f aca="false">TEXT(B743,"mmm-yyyy")</f>
        <v>Dec-2024</v>
      </c>
    </row>
    <row r="744" customFormat="false" ht="57.75" hidden="false" customHeight="true" outlineLevel="0" collapsed="false">
      <c r="A744" s="1" t="n">
        <v>4</v>
      </c>
      <c r="B744" s="10" t="n">
        <v>45653</v>
      </c>
      <c r="C744" s="11" t="s">
        <v>762</v>
      </c>
      <c r="D744" s="1" t="s">
        <v>8</v>
      </c>
      <c r="E744" s="1" t="s">
        <v>20</v>
      </c>
      <c r="F744" s="1" t="str">
        <f aca="false">TEXT(B744,"mmm-yyyy")</f>
        <v>Dec-2024</v>
      </c>
    </row>
    <row r="745" customFormat="false" ht="43.5" hidden="false" customHeight="true" outlineLevel="0" collapsed="false">
      <c r="A745" s="1" t="n">
        <v>5</v>
      </c>
      <c r="B745" s="10" t="n">
        <v>45645</v>
      </c>
      <c r="C745" s="11" t="s">
        <v>763</v>
      </c>
      <c r="D745" s="1" t="s">
        <v>8</v>
      </c>
      <c r="E745" s="1" t="s">
        <v>18</v>
      </c>
      <c r="F745" s="1" t="str">
        <f aca="false">TEXT(B745,"mmm-yyyy")</f>
        <v>Dec-2024</v>
      </c>
    </row>
    <row r="746" customFormat="false" ht="72" hidden="false" customHeight="true" outlineLevel="0" collapsed="false">
      <c r="A746" s="1" t="n">
        <v>5</v>
      </c>
      <c r="B746" s="10" t="n">
        <v>45598</v>
      </c>
      <c r="C746" s="11" t="s">
        <v>764</v>
      </c>
      <c r="D746" s="1" t="s">
        <v>8</v>
      </c>
      <c r="E746" s="1" t="s">
        <v>20</v>
      </c>
      <c r="F746" s="1" t="str">
        <f aca="false">TEXT(B746,"mmm-yyyy")</f>
        <v>Nov-2024</v>
      </c>
    </row>
    <row r="747" customFormat="false" ht="57.75" hidden="false" customHeight="true" outlineLevel="0" collapsed="false">
      <c r="A747" s="1" t="n">
        <v>1</v>
      </c>
      <c r="B747" s="10" t="n">
        <v>45639</v>
      </c>
      <c r="C747" s="11" t="s">
        <v>765</v>
      </c>
      <c r="D747" s="1" t="s">
        <v>8</v>
      </c>
      <c r="E747" s="1" t="s">
        <v>20</v>
      </c>
      <c r="F747" s="1" t="str">
        <f aca="false">TEXT(B747,"mmm-yyyy")</f>
        <v>Dec-2024</v>
      </c>
    </row>
    <row r="748" customFormat="false" ht="57.75" hidden="false" customHeight="true" outlineLevel="0" collapsed="false">
      <c r="A748" s="1" t="n">
        <v>1</v>
      </c>
      <c r="B748" s="10" t="n">
        <v>45640</v>
      </c>
      <c r="C748" s="11" t="s">
        <v>766</v>
      </c>
      <c r="D748" s="1" t="s">
        <v>8</v>
      </c>
      <c r="E748" s="1" t="s">
        <v>20</v>
      </c>
      <c r="F748" s="1" t="str">
        <f aca="false">TEXT(B748,"mmm-yyyy")</f>
        <v>Dec-2024</v>
      </c>
    </row>
    <row r="749" customFormat="false" ht="57.75" hidden="false" customHeight="true" outlineLevel="0" collapsed="false">
      <c r="A749" s="1" t="n">
        <v>3</v>
      </c>
      <c r="B749" s="10" t="n">
        <v>45641</v>
      </c>
      <c r="C749" s="11" t="s">
        <v>767</v>
      </c>
      <c r="D749" s="1" t="s">
        <v>8</v>
      </c>
      <c r="E749" s="1" t="s">
        <v>18</v>
      </c>
      <c r="F749" s="1" t="str">
        <f aca="false">TEXT(B749,"mmm-yyyy")</f>
        <v>Dec-2024</v>
      </c>
    </row>
    <row r="750" customFormat="false" ht="101.25" hidden="false" customHeight="true" outlineLevel="0" collapsed="false">
      <c r="A750" s="1" t="n">
        <v>1</v>
      </c>
      <c r="B750" s="10" t="n">
        <v>45644</v>
      </c>
      <c r="C750" s="11" t="s">
        <v>768</v>
      </c>
      <c r="D750" s="1" t="s">
        <v>8</v>
      </c>
      <c r="E750" s="1" t="s">
        <v>20</v>
      </c>
      <c r="F750" s="1" t="str">
        <f aca="false">TEXT(B750,"mmm-yyyy")</f>
        <v>Dec-2024</v>
      </c>
    </row>
    <row r="751" customFormat="false" ht="57.75" hidden="false" customHeight="true" outlineLevel="0" collapsed="false">
      <c r="A751" s="1" t="n">
        <v>4</v>
      </c>
      <c r="B751" s="10" t="n">
        <v>45650</v>
      </c>
      <c r="C751" s="11" t="s">
        <v>769</v>
      </c>
      <c r="D751" s="1" t="s">
        <v>8</v>
      </c>
      <c r="E751" s="1" t="s">
        <v>20</v>
      </c>
      <c r="F751" s="1" t="str">
        <f aca="false">TEXT(B751,"mmm-yyyy")</f>
        <v>Dec-2024</v>
      </c>
    </row>
    <row r="752" customFormat="false" ht="57.75" hidden="false" customHeight="true" outlineLevel="0" collapsed="false">
      <c r="A752" s="1" t="n">
        <v>1</v>
      </c>
      <c r="B752" s="10" t="n">
        <v>45648</v>
      </c>
      <c r="C752" s="11" t="s">
        <v>770</v>
      </c>
      <c r="D752" s="1" t="s">
        <v>8</v>
      </c>
      <c r="E752" s="1" t="s">
        <v>20</v>
      </c>
      <c r="F752" s="1" t="str">
        <f aca="false">TEXT(B752,"mmm-yyyy")</f>
        <v>Dec-2024</v>
      </c>
    </row>
    <row r="753" customFormat="false" ht="57.75" hidden="false" customHeight="true" outlineLevel="0" collapsed="false">
      <c r="A753" s="1" t="n">
        <v>1</v>
      </c>
      <c r="B753" s="10" t="n">
        <v>45647</v>
      </c>
      <c r="C753" s="11" t="s">
        <v>771</v>
      </c>
      <c r="D753" s="1" t="s">
        <v>8</v>
      </c>
      <c r="E753" s="1" t="s">
        <v>20</v>
      </c>
      <c r="F753" s="1" t="str">
        <f aca="false">TEXT(B753,"mmm-yyyy")</f>
        <v>Dec-2024</v>
      </c>
    </row>
    <row r="754" customFormat="false" ht="43.5" hidden="false" customHeight="true" outlineLevel="0" collapsed="false">
      <c r="A754" s="1" t="n">
        <v>5</v>
      </c>
      <c r="B754" s="10" t="n">
        <v>45654</v>
      </c>
      <c r="C754" s="11" t="s">
        <v>772</v>
      </c>
      <c r="D754" s="1" t="s">
        <v>8</v>
      </c>
      <c r="E754" s="1" t="s">
        <v>18</v>
      </c>
      <c r="F754" s="1" t="str">
        <f aca="false">TEXT(B754,"mmm-yyyy")</f>
        <v>Dec-2024</v>
      </c>
    </row>
    <row r="755" customFormat="false" ht="57.75" hidden="false" customHeight="true" outlineLevel="0" collapsed="false">
      <c r="A755" s="1" t="n">
        <v>1</v>
      </c>
      <c r="B755" s="10" t="n">
        <v>45652</v>
      </c>
      <c r="C755" s="11" t="s">
        <v>773</v>
      </c>
      <c r="D755" s="1" t="s">
        <v>8</v>
      </c>
      <c r="E755" s="1" t="s">
        <v>18</v>
      </c>
      <c r="F755" s="1" t="str">
        <f aca="false">TEXT(B755,"mmm-yyyy")</f>
        <v>Dec-2024</v>
      </c>
    </row>
    <row r="756" customFormat="false" ht="43.5" hidden="false" customHeight="true" outlineLevel="0" collapsed="false">
      <c r="A756" s="1" t="n">
        <v>1</v>
      </c>
      <c r="B756" s="10" t="n">
        <v>45649</v>
      </c>
      <c r="C756" s="11" t="s">
        <v>774</v>
      </c>
      <c r="D756" s="1" t="s">
        <v>8</v>
      </c>
      <c r="E756" s="1" t="s">
        <v>20</v>
      </c>
      <c r="F756" s="1" t="str">
        <f aca="false">TEXT(B756,"mmm-yyyy")</f>
        <v>Dec-2024</v>
      </c>
    </row>
    <row r="757" customFormat="false" ht="43.5" hidden="false" customHeight="true" outlineLevel="0" collapsed="false">
      <c r="A757" s="1" t="n">
        <v>1</v>
      </c>
      <c r="B757" s="10" t="n">
        <v>45640</v>
      </c>
      <c r="C757" s="11" t="s">
        <v>775</v>
      </c>
      <c r="D757" s="1" t="s">
        <v>8</v>
      </c>
      <c r="E757" s="1" t="s">
        <v>20</v>
      </c>
      <c r="F757" s="1" t="str">
        <f aca="false">TEXT(B757,"mmm-yyyy")</f>
        <v>Dec-2024</v>
      </c>
    </row>
    <row r="758" customFormat="false" ht="72" hidden="false" customHeight="true" outlineLevel="0" collapsed="false">
      <c r="A758" s="1" t="n">
        <v>1</v>
      </c>
      <c r="B758" s="10" t="n">
        <v>45650</v>
      </c>
      <c r="C758" s="11" t="s">
        <v>776</v>
      </c>
      <c r="D758" s="1" t="s">
        <v>8</v>
      </c>
      <c r="E758" s="1" t="s">
        <v>20</v>
      </c>
      <c r="F758" s="1" t="str">
        <f aca="false">TEXT(B758,"mmm-yyyy")</f>
        <v>Dec-2024</v>
      </c>
    </row>
    <row r="759" customFormat="false" ht="57.75" hidden="false" customHeight="true" outlineLevel="0" collapsed="false">
      <c r="A759" s="1" t="n">
        <v>2</v>
      </c>
      <c r="B759" s="10" t="n">
        <v>45650</v>
      </c>
      <c r="C759" s="11" t="s">
        <v>777</v>
      </c>
      <c r="D759" s="1" t="s">
        <v>8</v>
      </c>
      <c r="E759" s="1" t="s">
        <v>20</v>
      </c>
      <c r="F759" s="1" t="str">
        <f aca="false">TEXT(B759,"mmm-yyyy")</f>
        <v>Dec-2024</v>
      </c>
    </row>
    <row r="760" customFormat="false" ht="28.5" hidden="false" customHeight="true" outlineLevel="0" collapsed="false">
      <c r="A760" s="1" t="n">
        <v>5</v>
      </c>
      <c r="B760" s="10" t="n">
        <v>45653</v>
      </c>
      <c r="C760" s="11" t="s">
        <v>778</v>
      </c>
      <c r="D760" s="1" t="s">
        <v>8</v>
      </c>
      <c r="E760" s="1" t="s">
        <v>18</v>
      </c>
      <c r="F760" s="1" t="str">
        <f aca="false">TEXT(B760,"mmm-yyyy")</f>
        <v>Dec-2024</v>
      </c>
    </row>
    <row r="761" customFormat="false" ht="72" hidden="false" customHeight="true" outlineLevel="0" collapsed="false">
      <c r="A761" s="1" t="n">
        <v>3</v>
      </c>
      <c r="B761" s="10" t="n">
        <v>45639</v>
      </c>
      <c r="C761" s="11" t="s">
        <v>779</v>
      </c>
      <c r="D761" s="1" t="s">
        <v>8</v>
      </c>
      <c r="E761" s="1" t="s">
        <v>18</v>
      </c>
      <c r="F761" s="1" t="str">
        <f aca="false">TEXT(B761,"mmm-yyyy")</f>
        <v>Dec-2024</v>
      </c>
    </row>
    <row r="762" customFormat="false" ht="57.75" hidden="false" customHeight="true" outlineLevel="0" collapsed="false">
      <c r="A762" s="1" t="n">
        <v>5</v>
      </c>
      <c r="B762" s="10" t="n">
        <v>45645</v>
      </c>
      <c r="C762" s="11" t="s">
        <v>780</v>
      </c>
      <c r="D762" s="1" t="s">
        <v>8</v>
      </c>
      <c r="E762" s="1" t="s">
        <v>18</v>
      </c>
      <c r="F762" s="1" t="str">
        <f aca="false">TEXT(B762,"mmm-yyyy")</f>
        <v>Dec-2024</v>
      </c>
    </row>
    <row r="763" customFormat="false" ht="115.5" hidden="false" customHeight="true" outlineLevel="0" collapsed="false">
      <c r="A763" s="1" t="n">
        <v>1</v>
      </c>
      <c r="B763" s="10" t="n">
        <v>45648</v>
      </c>
      <c r="C763" s="11" t="s">
        <v>781</v>
      </c>
      <c r="D763" s="1" t="s">
        <v>8</v>
      </c>
      <c r="E763" s="1" t="s">
        <v>20</v>
      </c>
      <c r="F763" s="1" t="str">
        <f aca="false">TEXT(B763,"mmm-yyyy")</f>
        <v>Dec-2024</v>
      </c>
    </row>
    <row r="764" customFormat="false" ht="43.5" hidden="false" customHeight="true" outlineLevel="0" collapsed="false">
      <c r="A764" s="1" t="n">
        <v>1</v>
      </c>
      <c r="B764" s="10" t="n">
        <v>45643</v>
      </c>
      <c r="C764" s="11" t="s">
        <v>782</v>
      </c>
      <c r="D764" s="1" t="s">
        <v>8</v>
      </c>
      <c r="E764" s="1" t="s">
        <v>20</v>
      </c>
      <c r="F764" s="1" t="str">
        <f aca="false">TEXT(B764,"mmm-yyyy")</f>
        <v>Dec-2024</v>
      </c>
    </row>
    <row r="765" customFormat="false" ht="43.5" hidden="false" customHeight="true" outlineLevel="0" collapsed="false">
      <c r="A765" s="1" t="n">
        <v>1</v>
      </c>
      <c r="B765" s="10" t="n">
        <v>45653</v>
      </c>
      <c r="C765" s="11" t="s">
        <v>783</v>
      </c>
      <c r="D765" s="1" t="s">
        <v>8</v>
      </c>
      <c r="E765" s="1" t="s">
        <v>32</v>
      </c>
      <c r="F765" s="1" t="str">
        <f aca="false">TEXT(B765,"mmm-yyyy")</f>
        <v>Dec-2024</v>
      </c>
    </row>
    <row r="766" customFormat="false" ht="72" hidden="false" customHeight="true" outlineLevel="0" collapsed="false">
      <c r="A766" s="1" t="n">
        <v>5</v>
      </c>
      <c r="B766" s="10" t="n">
        <v>45599</v>
      </c>
      <c r="C766" s="11" t="s">
        <v>784</v>
      </c>
      <c r="D766" s="1" t="s">
        <v>8</v>
      </c>
      <c r="E766" s="1" t="s">
        <v>18</v>
      </c>
      <c r="F766" s="1" t="str">
        <f aca="false">TEXT(B766,"mmm-yyyy")</f>
        <v>Nov-2024</v>
      </c>
    </row>
    <row r="767" customFormat="false" ht="43.5" hidden="false" customHeight="true" outlineLevel="0" collapsed="false">
      <c r="A767" s="1" t="n">
        <v>5</v>
      </c>
      <c r="B767" s="10" t="n">
        <v>45643</v>
      </c>
      <c r="C767" s="11" t="s">
        <v>785</v>
      </c>
      <c r="D767" s="1" t="s">
        <v>8</v>
      </c>
      <c r="E767" s="1" t="s">
        <v>18</v>
      </c>
      <c r="F767" s="1" t="str">
        <f aca="false">TEXT(B767,"mmm-yyyy")</f>
        <v>Dec-2024</v>
      </c>
    </row>
    <row r="768" customFormat="false" ht="57.75" hidden="false" customHeight="true" outlineLevel="0" collapsed="false">
      <c r="A768" s="1" t="n">
        <v>1</v>
      </c>
      <c r="B768" s="10" t="n">
        <v>45652</v>
      </c>
      <c r="C768" s="11" t="s">
        <v>786</v>
      </c>
      <c r="D768" s="1" t="s">
        <v>8</v>
      </c>
      <c r="E768" s="1" t="s">
        <v>20</v>
      </c>
      <c r="F768" s="1" t="str">
        <f aca="false">TEXT(B768,"mmm-yyyy")</f>
        <v>Dec-2024</v>
      </c>
    </row>
    <row r="769" customFormat="false" ht="57.75" hidden="false" customHeight="true" outlineLevel="0" collapsed="false">
      <c r="A769" s="1" t="n">
        <v>5</v>
      </c>
      <c r="B769" s="10" t="n">
        <v>45648</v>
      </c>
      <c r="C769" s="11" t="s">
        <v>787</v>
      </c>
      <c r="D769" s="1" t="s">
        <v>8</v>
      </c>
      <c r="E769" s="1" t="s">
        <v>18</v>
      </c>
      <c r="F769" s="1" t="str">
        <f aca="false">TEXT(B769,"mmm-yyyy")</f>
        <v>Dec-2024</v>
      </c>
    </row>
    <row r="770" customFormat="false" ht="87" hidden="false" customHeight="true" outlineLevel="0" collapsed="false">
      <c r="A770" s="1" t="n">
        <v>5</v>
      </c>
      <c r="B770" s="10" t="n">
        <v>45652</v>
      </c>
      <c r="C770" s="11" t="s">
        <v>788</v>
      </c>
      <c r="D770" s="1" t="s">
        <v>8</v>
      </c>
      <c r="E770" s="1" t="s">
        <v>18</v>
      </c>
      <c r="F770" s="1" t="str">
        <f aca="false">TEXT(B770,"mmm-yyyy")</f>
        <v>Dec-2024</v>
      </c>
    </row>
    <row r="771" customFormat="false" ht="72" hidden="false" customHeight="true" outlineLevel="0" collapsed="false">
      <c r="A771" s="1" t="n">
        <v>2</v>
      </c>
      <c r="B771" s="10" t="n">
        <v>45645</v>
      </c>
      <c r="C771" s="11" t="s">
        <v>789</v>
      </c>
      <c r="D771" s="1" t="s">
        <v>8</v>
      </c>
      <c r="E771" s="1" t="s">
        <v>18</v>
      </c>
      <c r="F771" s="1" t="str">
        <f aca="false">TEXT(B771,"mmm-yyyy")</f>
        <v>Dec-2024</v>
      </c>
    </row>
    <row r="772" customFormat="false" ht="101.25" hidden="false" customHeight="true" outlineLevel="0" collapsed="false">
      <c r="A772" s="1" t="n">
        <v>1</v>
      </c>
      <c r="B772" s="10" t="n">
        <v>45651</v>
      </c>
      <c r="C772" s="11" t="s">
        <v>790</v>
      </c>
      <c r="D772" s="1" t="s">
        <v>8</v>
      </c>
      <c r="E772" s="1" t="s">
        <v>18</v>
      </c>
      <c r="F772" s="1" t="str">
        <f aca="false">TEXT(B772,"mmm-yyyy")</f>
        <v>Dec-2024</v>
      </c>
    </row>
    <row r="773" customFormat="false" ht="43.5" hidden="false" customHeight="true" outlineLevel="0" collapsed="false">
      <c r="A773" s="1" t="n">
        <v>4</v>
      </c>
      <c r="B773" s="10" t="n">
        <v>45650</v>
      </c>
      <c r="C773" s="11" t="s">
        <v>791</v>
      </c>
      <c r="D773" s="1" t="s">
        <v>8</v>
      </c>
      <c r="E773" s="1" t="s">
        <v>20</v>
      </c>
      <c r="F773" s="1" t="str">
        <f aca="false">TEXT(B773,"mmm-yyyy")</f>
        <v>Dec-2024</v>
      </c>
    </row>
    <row r="774" customFormat="false" ht="57.75" hidden="false" customHeight="true" outlineLevel="0" collapsed="false">
      <c r="A774" s="1" t="n">
        <v>1</v>
      </c>
      <c r="B774" s="10" t="n">
        <v>45651</v>
      </c>
      <c r="C774" s="11" t="s">
        <v>792</v>
      </c>
      <c r="D774" s="1" t="s">
        <v>8</v>
      </c>
      <c r="E774" s="1" t="s">
        <v>18</v>
      </c>
      <c r="F774" s="1" t="str">
        <f aca="false">TEXT(B774,"mmm-yyyy")</f>
        <v>Dec-2024</v>
      </c>
    </row>
    <row r="775" customFormat="false" ht="28.5" hidden="false" customHeight="true" outlineLevel="0" collapsed="false">
      <c r="A775" s="1" t="n">
        <v>5</v>
      </c>
      <c r="B775" s="10" t="n">
        <v>45641</v>
      </c>
      <c r="C775" s="11" t="s">
        <v>793</v>
      </c>
      <c r="D775" s="1" t="s">
        <v>8</v>
      </c>
      <c r="E775" s="1" t="s">
        <v>18</v>
      </c>
      <c r="F775" s="1" t="str">
        <f aca="false">TEXT(B775,"mmm-yyyy")</f>
        <v>Dec-2024</v>
      </c>
    </row>
    <row r="776" customFormat="false" ht="57.75" hidden="false" customHeight="true" outlineLevel="0" collapsed="false">
      <c r="A776" s="1" t="n">
        <v>1</v>
      </c>
      <c r="B776" s="10" t="n">
        <v>45640</v>
      </c>
      <c r="C776" s="11" t="s">
        <v>794</v>
      </c>
      <c r="D776" s="1" t="s">
        <v>8</v>
      </c>
      <c r="E776" s="1" t="s">
        <v>20</v>
      </c>
      <c r="F776" s="1" t="str">
        <f aca="false">TEXT(B776,"mmm-yyyy")</f>
        <v>Dec-2024</v>
      </c>
    </row>
    <row r="777" customFormat="false" ht="57.75" hidden="false" customHeight="true" outlineLevel="0" collapsed="false">
      <c r="A777" s="1" t="n">
        <v>1</v>
      </c>
      <c r="B777" s="10" t="n">
        <v>45651</v>
      </c>
      <c r="C777" s="11" t="s">
        <v>795</v>
      </c>
      <c r="D777" s="1" t="s">
        <v>8</v>
      </c>
      <c r="E777" s="1" t="s">
        <v>20</v>
      </c>
      <c r="F777" s="1" t="str">
        <f aca="false">TEXT(B777,"mmm-yyyy")</f>
        <v>Dec-2024</v>
      </c>
    </row>
    <row r="778" customFormat="false" ht="43.5" hidden="false" customHeight="true" outlineLevel="0" collapsed="false">
      <c r="A778" s="1" t="n">
        <v>1</v>
      </c>
      <c r="B778" s="10" t="n">
        <v>45648</v>
      </c>
      <c r="C778" s="11" t="s">
        <v>796</v>
      </c>
      <c r="D778" s="1" t="s">
        <v>8</v>
      </c>
      <c r="E778" s="1" t="s">
        <v>20</v>
      </c>
      <c r="F778" s="1" t="str">
        <f aca="false">TEXT(B778,"mmm-yyyy")</f>
        <v>Dec-2024</v>
      </c>
    </row>
    <row r="779" customFormat="false" ht="57.75" hidden="false" customHeight="true" outlineLevel="0" collapsed="false">
      <c r="A779" s="1" t="n">
        <v>1</v>
      </c>
      <c r="B779" s="10" t="n">
        <v>45650</v>
      </c>
      <c r="C779" s="11" t="s">
        <v>797</v>
      </c>
      <c r="D779" s="1" t="s">
        <v>8</v>
      </c>
      <c r="E779" s="1" t="s">
        <v>20</v>
      </c>
      <c r="F779" s="1" t="str">
        <f aca="false">TEXT(B779,"mmm-yyyy")</f>
        <v>Dec-2024</v>
      </c>
    </row>
    <row r="780" customFormat="false" ht="57.75" hidden="false" customHeight="true" outlineLevel="0" collapsed="false">
      <c r="A780" s="1" t="n">
        <v>3</v>
      </c>
      <c r="B780" s="10" t="n">
        <v>45643</v>
      </c>
      <c r="C780" s="11" t="s">
        <v>798</v>
      </c>
      <c r="D780" s="1" t="s">
        <v>8</v>
      </c>
      <c r="E780" s="1" t="s">
        <v>18</v>
      </c>
      <c r="F780" s="1" t="str">
        <f aca="false">TEXT(B780,"mmm-yyyy")</f>
        <v>Dec-2024</v>
      </c>
    </row>
    <row r="781" customFormat="false" ht="43.5" hidden="false" customHeight="true" outlineLevel="0" collapsed="false">
      <c r="A781" s="1" t="n">
        <v>1</v>
      </c>
      <c r="B781" s="10" t="n">
        <v>45648</v>
      </c>
      <c r="C781" s="11" t="s">
        <v>799</v>
      </c>
      <c r="D781" s="1" t="s">
        <v>8</v>
      </c>
      <c r="E781" s="1" t="s">
        <v>20</v>
      </c>
      <c r="F781" s="1" t="str">
        <f aca="false">TEXT(B781,"mmm-yyyy")</f>
        <v>Dec-2024</v>
      </c>
    </row>
    <row r="782" customFormat="false" ht="43.5" hidden="false" customHeight="true" outlineLevel="0" collapsed="false">
      <c r="A782" s="1" t="n">
        <v>1</v>
      </c>
      <c r="B782" s="10" t="n">
        <v>45644</v>
      </c>
      <c r="C782" s="11" t="s">
        <v>800</v>
      </c>
      <c r="D782" s="1" t="s">
        <v>8</v>
      </c>
      <c r="E782" s="1" t="s">
        <v>20</v>
      </c>
      <c r="F782" s="1" t="str">
        <f aca="false">TEXT(B782,"mmm-yyyy")</f>
        <v>Dec-2024</v>
      </c>
    </row>
    <row r="783" customFormat="false" ht="43.5" hidden="false" customHeight="true" outlineLevel="0" collapsed="false">
      <c r="A783" s="1" t="n">
        <v>5</v>
      </c>
      <c r="B783" s="10" t="n">
        <v>45644</v>
      </c>
      <c r="C783" s="11" t="s">
        <v>801</v>
      </c>
      <c r="D783" s="1" t="s">
        <v>8</v>
      </c>
      <c r="E783" s="1" t="s">
        <v>18</v>
      </c>
      <c r="F783" s="1" t="str">
        <f aca="false">TEXT(B783,"mmm-yyyy")</f>
        <v>Dec-2024</v>
      </c>
    </row>
    <row r="784" customFormat="false" ht="57.75" hidden="false" customHeight="true" outlineLevel="0" collapsed="false">
      <c r="A784" s="1" t="n">
        <v>5</v>
      </c>
      <c r="B784" s="10" t="n">
        <v>45643</v>
      </c>
      <c r="C784" s="11" t="s">
        <v>802</v>
      </c>
      <c r="D784" s="1" t="s">
        <v>8</v>
      </c>
      <c r="E784" s="1" t="s">
        <v>18</v>
      </c>
      <c r="F784" s="1" t="str">
        <f aca="false">TEXT(B784,"mmm-yyyy")</f>
        <v>Dec-2024</v>
      </c>
    </row>
    <row r="785" customFormat="false" ht="57.75" hidden="false" customHeight="true" outlineLevel="0" collapsed="false">
      <c r="A785" s="1" t="n">
        <v>3</v>
      </c>
      <c r="B785" s="10" t="n">
        <v>45640</v>
      </c>
      <c r="C785" s="11" t="s">
        <v>803</v>
      </c>
      <c r="D785" s="1" t="s">
        <v>8</v>
      </c>
      <c r="E785" s="1" t="s">
        <v>18</v>
      </c>
      <c r="F785" s="1" t="str">
        <f aca="false">TEXT(B785,"mmm-yyyy")</f>
        <v>Dec-2024</v>
      </c>
    </row>
    <row r="786" customFormat="false" ht="43.5" hidden="false" customHeight="true" outlineLevel="0" collapsed="false">
      <c r="A786" s="1" t="n">
        <v>1</v>
      </c>
      <c r="B786" s="10" t="n">
        <v>45650</v>
      </c>
      <c r="C786" s="11" t="s">
        <v>804</v>
      </c>
      <c r="D786" s="1" t="s">
        <v>8</v>
      </c>
      <c r="E786" s="1" t="s">
        <v>20</v>
      </c>
      <c r="F786" s="1" t="str">
        <f aca="false">TEXT(B786,"mmm-yyyy")</f>
        <v>Dec-2024</v>
      </c>
    </row>
    <row r="787" customFormat="false" ht="43.5" hidden="false" customHeight="true" outlineLevel="0" collapsed="false">
      <c r="A787" s="1" t="n">
        <v>3</v>
      </c>
      <c r="B787" s="10" t="n">
        <v>45643</v>
      </c>
      <c r="C787" s="11" t="s">
        <v>805</v>
      </c>
      <c r="D787" s="1" t="s">
        <v>8</v>
      </c>
      <c r="E787" s="1" t="s">
        <v>20</v>
      </c>
      <c r="F787" s="1" t="str">
        <f aca="false">TEXT(B787,"mmm-yyyy")</f>
        <v>Dec-2024</v>
      </c>
    </row>
    <row r="788" customFormat="false" ht="43.5" hidden="false" customHeight="true" outlineLevel="0" collapsed="false">
      <c r="A788" s="1" t="n">
        <v>5</v>
      </c>
      <c r="B788" s="10" t="n">
        <v>45643</v>
      </c>
      <c r="C788" s="11" t="s">
        <v>806</v>
      </c>
      <c r="D788" s="1" t="s">
        <v>8</v>
      </c>
      <c r="E788" s="1" t="s">
        <v>18</v>
      </c>
      <c r="F788" s="1" t="str">
        <f aca="false">TEXT(B788,"mmm-yyyy")</f>
        <v>Dec-2024</v>
      </c>
    </row>
    <row r="789" customFormat="false" ht="43.5" hidden="false" customHeight="true" outlineLevel="0" collapsed="false">
      <c r="A789" s="1" t="n">
        <v>5</v>
      </c>
      <c r="B789" s="10" t="n">
        <v>45652</v>
      </c>
      <c r="C789" s="11" t="s">
        <v>807</v>
      </c>
      <c r="D789" s="1" t="s">
        <v>8</v>
      </c>
      <c r="E789" s="1" t="s">
        <v>18</v>
      </c>
      <c r="F789" s="1" t="str">
        <f aca="false">TEXT(B789,"mmm-yyyy")</f>
        <v>Dec-2024</v>
      </c>
    </row>
    <row r="790" customFormat="false" ht="72" hidden="false" customHeight="true" outlineLevel="0" collapsed="false">
      <c r="A790" s="1" t="n">
        <v>1</v>
      </c>
      <c r="B790" s="10" t="n">
        <v>45650</v>
      </c>
      <c r="C790" s="11" t="s">
        <v>808</v>
      </c>
      <c r="D790" s="1" t="s">
        <v>8</v>
      </c>
      <c r="E790" s="1" t="s">
        <v>20</v>
      </c>
      <c r="F790" s="1" t="str">
        <f aca="false">TEXT(B790,"mmm-yyyy")</f>
        <v>Dec-2024</v>
      </c>
    </row>
    <row r="791" customFormat="false" ht="57.75" hidden="false" customHeight="true" outlineLevel="0" collapsed="false">
      <c r="A791" s="1" t="n">
        <v>1</v>
      </c>
      <c r="B791" s="10" t="n">
        <v>45646</v>
      </c>
      <c r="C791" s="11" t="s">
        <v>809</v>
      </c>
      <c r="D791" s="1" t="s">
        <v>8</v>
      </c>
      <c r="E791" s="1" t="s">
        <v>20</v>
      </c>
      <c r="F791" s="1" t="str">
        <f aca="false">TEXT(B791,"mmm-yyyy")</f>
        <v>Dec-2024</v>
      </c>
    </row>
    <row r="792" customFormat="false" ht="72" hidden="false" customHeight="true" outlineLevel="0" collapsed="false">
      <c r="A792" s="1" t="n">
        <v>1</v>
      </c>
      <c r="B792" s="10" t="n">
        <v>45644</v>
      </c>
      <c r="C792" s="11" t="s">
        <v>810</v>
      </c>
      <c r="D792" s="1" t="s">
        <v>8</v>
      </c>
      <c r="E792" s="1" t="s">
        <v>20</v>
      </c>
      <c r="F792" s="1" t="str">
        <f aca="false">TEXT(B792,"mmm-yyyy")</f>
        <v>Dec-2024</v>
      </c>
    </row>
    <row r="793" customFormat="false" ht="28.5" hidden="false" customHeight="true" outlineLevel="0" collapsed="false">
      <c r="A793" s="1" t="n">
        <v>5</v>
      </c>
      <c r="B793" s="10" t="n">
        <v>45649</v>
      </c>
      <c r="C793" s="11" t="s">
        <v>811</v>
      </c>
      <c r="D793" s="1" t="s">
        <v>8</v>
      </c>
      <c r="E793" s="1" t="s">
        <v>18</v>
      </c>
      <c r="F793" s="1" t="str">
        <f aca="false">TEXT(B793,"mmm-yyyy")</f>
        <v>Dec-2024</v>
      </c>
    </row>
    <row r="794" customFormat="false" ht="43.5" hidden="false" customHeight="true" outlineLevel="0" collapsed="false">
      <c r="A794" s="1" t="n">
        <v>1</v>
      </c>
      <c r="B794" s="10" t="n">
        <v>45648</v>
      </c>
      <c r="C794" s="11" t="s">
        <v>812</v>
      </c>
      <c r="D794" s="1" t="s">
        <v>8</v>
      </c>
      <c r="E794" s="1" t="s">
        <v>20</v>
      </c>
      <c r="F794" s="1" t="str">
        <f aca="false">TEXT(B794,"mmm-yyyy")</f>
        <v>Dec-2024</v>
      </c>
    </row>
    <row r="795" customFormat="false" ht="130.5" hidden="false" customHeight="true" outlineLevel="0" collapsed="false">
      <c r="A795" s="1" t="n">
        <v>3</v>
      </c>
      <c r="B795" s="10" t="n">
        <v>45656</v>
      </c>
      <c r="C795" s="11" t="s">
        <v>813</v>
      </c>
      <c r="D795" s="1" t="s">
        <v>8</v>
      </c>
      <c r="E795" s="1" t="s">
        <v>20</v>
      </c>
      <c r="F795" s="1" t="str">
        <f aca="false">TEXT(B795,"mmm-yyyy")</f>
        <v>Dec-2024</v>
      </c>
    </row>
    <row r="796" customFormat="false" ht="72" hidden="false" customHeight="true" outlineLevel="0" collapsed="false">
      <c r="A796" s="1" t="n">
        <v>1</v>
      </c>
      <c r="B796" s="10" t="n">
        <v>45640</v>
      </c>
      <c r="C796" s="11" t="s">
        <v>814</v>
      </c>
      <c r="D796" s="1" t="s">
        <v>8</v>
      </c>
      <c r="E796" s="1" t="s">
        <v>20</v>
      </c>
      <c r="F796" s="1" t="str">
        <f aca="false">TEXT(B796,"mmm-yyyy")</f>
        <v>Dec-2024</v>
      </c>
    </row>
    <row r="797" customFormat="false" ht="43.5" hidden="false" customHeight="true" outlineLevel="0" collapsed="false">
      <c r="A797" s="1" t="n">
        <v>5</v>
      </c>
      <c r="B797" s="10" t="n">
        <v>45651</v>
      </c>
      <c r="C797" s="11" t="s">
        <v>815</v>
      </c>
      <c r="D797" s="1" t="s">
        <v>8</v>
      </c>
      <c r="E797" s="1" t="s">
        <v>18</v>
      </c>
      <c r="F797" s="1" t="str">
        <f aca="false">TEXT(B797,"mmm-yyyy")</f>
        <v>Dec-2024</v>
      </c>
    </row>
    <row r="798" customFormat="false" ht="28.5" hidden="false" customHeight="true" outlineLevel="0" collapsed="false">
      <c r="A798" s="1" t="n">
        <v>5</v>
      </c>
      <c r="B798" s="10" t="n">
        <v>45651</v>
      </c>
      <c r="C798" s="11" t="s">
        <v>816</v>
      </c>
      <c r="D798" s="1" t="s">
        <v>8</v>
      </c>
      <c r="E798" s="1" t="s">
        <v>18</v>
      </c>
      <c r="F798" s="1" t="str">
        <f aca="false">TEXT(B798,"mmm-yyyy")</f>
        <v>Dec-2024</v>
      </c>
    </row>
    <row r="799" customFormat="false" ht="28.5" hidden="false" customHeight="true" outlineLevel="0" collapsed="false">
      <c r="A799" s="1" t="n">
        <v>1</v>
      </c>
      <c r="B799" s="10" t="n">
        <v>45644</v>
      </c>
      <c r="C799" s="11" t="s">
        <v>817</v>
      </c>
      <c r="D799" s="1" t="s">
        <v>8</v>
      </c>
      <c r="E799" s="1" t="s">
        <v>20</v>
      </c>
      <c r="F799" s="1" t="str">
        <f aca="false">TEXT(B799,"mmm-yyyy")</f>
        <v>Dec-2024</v>
      </c>
    </row>
    <row r="800" customFormat="false" ht="57.75" hidden="false" customHeight="true" outlineLevel="0" collapsed="false">
      <c r="A800" s="1" t="n">
        <v>1</v>
      </c>
      <c r="B800" s="10" t="n">
        <v>45650</v>
      </c>
      <c r="C800" s="11" t="s">
        <v>818</v>
      </c>
      <c r="D800" s="1" t="s">
        <v>8</v>
      </c>
      <c r="E800" s="1" t="s">
        <v>20</v>
      </c>
      <c r="F800" s="1" t="str">
        <f aca="false">TEXT(B800,"mmm-yyyy")</f>
        <v>Dec-2024</v>
      </c>
    </row>
    <row r="801" customFormat="false" ht="57.75" hidden="false" customHeight="true" outlineLevel="0" collapsed="false">
      <c r="A801" s="1" t="n">
        <v>1</v>
      </c>
      <c r="B801" s="10" t="n">
        <v>45653</v>
      </c>
      <c r="C801" s="11" t="s">
        <v>819</v>
      </c>
      <c r="D801" s="1" t="s">
        <v>8</v>
      </c>
      <c r="E801" s="1" t="s">
        <v>20</v>
      </c>
      <c r="F801" s="1" t="str">
        <f aca="false">TEXT(B801,"mmm-yyyy")</f>
        <v>Dec-2024</v>
      </c>
    </row>
    <row r="802" customFormat="false" ht="28.5" hidden="false" customHeight="true" outlineLevel="0" collapsed="false">
      <c r="A802" s="1" t="n">
        <v>4</v>
      </c>
      <c r="B802" s="10" t="n">
        <v>45651</v>
      </c>
      <c r="C802" s="11" t="s">
        <v>820</v>
      </c>
      <c r="D802" s="1" t="s">
        <v>8</v>
      </c>
      <c r="E802" s="1" t="s">
        <v>18</v>
      </c>
      <c r="F802" s="1" t="str">
        <f aca="false">TEXT(B802,"mmm-yyyy")</f>
        <v>Dec-2024</v>
      </c>
    </row>
    <row r="803" customFormat="false" ht="57.75" hidden="false" customHeight="true" outlineLevel="0" collapsed="false">
      <c r="A803" s="1" t="n">
        <v>2</v>
      </c>
      <c r="B803" s="10" t="n">
        <v>45648</v>
      </c>
      <c r="C803" s="11" t="s">
        <v>821</v>
      </c>
      <c r="D803" s="1" t="s">
        <v>8</v>
      </c>
      <c r="E803" s="1" t="s">
        <v>20</v>
      </c>
      <c r="F803" s="1" t="str">
        <f aca="false">TEXT(B803,"mmm-yyyy")</f>
        <v>Dec-2024</v>
      </c>
    </row>
    <row r="804" customFormat="false" ht="28.5" hidden="false" customHeight="true" outlineLevel="0" collapsed="false">
      <c r="A804" s="1" t="n">
        <v>5</v>
      </c>
      <c r="B804" s="10" t="n">
        <v>45644</v>
      </c>
      <c r="C804" s="11" t="s">
        <v>822</v>
      </c>
      <c r="D804" s="1" t="s">
        <v>8</v>
      </c>
      <c r="E804" s="1" t="s">
        <v>18</v>
      </c>
      <c r="F804" s="1" t="str">
        <f aca="false">TEXT(B804,"mmm-yyyy")</f>
        <v>Dec-2024</v>
      </c>
    </row>
    <row r="805" customFormat="false" ht="43.5" hidden="false" customHeight="true" outlineLevel="0" collapsed="false">
      <c r="A805" s="1" t="n">
        <v>5</v>
      </c>
      <c r="B805" s="10" t="n">
        <v>45641</v>
      </c>
      <c r="C805" s="11" t="s">
        <v>823</v>
      </c>
      <c r="D805" s="1" t="s">
        <v>8</v>
      </c>
      <c r="E805" s="1" t="s">
        <v>18</v>
      </c>
      <c r="F805" s="1" t="str">
        <f aca="false">TEXT(B805,"mmm-yyyy")</f>
        <v>Dec-2024</v>
      </c>
    </row>
    <row r="806" customFormat="false" ht="43.5" hidden="false" customHeight="true" outlineLevel="0" collapsed="false">
      <c r="A806" s="1" t="n">
        <v>1</v>
      </c>
      <c r="B806" s="10" t="n">
        <v>45653</v>
      </c>
      <c r="C806" s="11" t="s">
        <v>824</v>
      </c>
      <c r="D806" s="1" t="s">
        <v>8</v>
      </c>
      <c r="E806" s="1" t="s">
        <v>20</v>
      </c>
      <c r="F806" s="1" t="str">
        <f aca="false">TEXT(B806,"mmm-yyyy")</f>
        <v>Dec-2024</v>
      </c>
    </row>
    <row r="807" customFormat="false" ht="57.75" hidden="false" customHeight="true" outlineLevel="0" collapsed="false">
      <c r="A807" s="1" t="n">
        <v>4</v>
      </c>
      <c r="B807" s="10" t="n">
        <v>45646</v>
      </c>
      <c r="C807" s="11" t="s">
        <v>825</v>
      </c>
      <c r="D807" s="1" t="s">
        <v>8</v>
      </c>
      <c r="E807" s="1" t="s">
        <v>18</v>
      </c>
      <c r="F807" s="1" t="str">
        <f aca="false">TEXT(B807,"mmm-yyyy")</f>
        <v>Dec-2024</v>
      </c>
    </row>
    <row r="808" customFormat="false" ht="57.75" hidden="false" customHeight="true" outlineLevel="0" collapsed="false">
      <c r="A808" s="1" t="n">
        <v>1</v>
      </c>
      <c r="B808" s="10" t="n">
        <v>45656</v>
      </c>
      <c r="C808" s="11" t="s">
        <v>826</v>
      </c>
      <c r="D808" s="1" t="s">
        <v>8</v>
      </c>
      <c r="E808" s="1" t="s">
        <v>20</v>
      </c>
      <c r="F808" s="1" t="str">
        <f aca="false">TEXT(B808,"mmm-yyyy")</f>
        <v>Dec-2024</v>
      </c>
    </row>
    <row r="809" customFormat="false" ht="43.5" hidden="false" customHeight="true" outlineLevel="0" collapsed="false">
      <c r="A809" s="1" t="n">
        <v>1</v>
      </c>
      <c r="B809" s="10" t="n">
        <v>45653</v>
      </c>
      <c r="C809" s="11" t="s">
        <v>827</v>
      </c>
      <c r="D809" s="1" t="s">
        <v>8</v>
      </c>
      <c r="E809" s="1" t="s">
        <v>20</v>
      </c>
      <c r="F809" s="1" t="str">
        <f aca="false">TEXT(B809,"mmm-yyyy")</f>
        <v>Dec-2024</v>
      </c>
    </row>
    <row r="810" customFormat="false" ht="43.5" hidden="false" customHeight="true" outlineLevel="0" collapsed="false">
      <c r="A810" s="1" t="n">
        <v>1</v>
      </c>
      <c r="B810" s="10" t="n">
        <v>45654</v>
      </c>
      <c r="C810" s="11" t="s">
        <v>828</v>
      </c>
      <c r="D810" s="1" t="s">
        <v>8</v>
      </c>
      <c r="E810" s="1" t="s">
        <v>20</v>
      </c>
      <c r="F810" s="1" t="str">
        <f aca="false">TEXT(B810,"mmm-yyyy")</f>
        <v>Dec-2024</v>
      </c>
    </row>
    <row r="811" customFormat="false" ht="57.75" hidden="false" customHeight="true" outlineLevel="0" collapsed="false">
      <c r="A811" s="1" t="n">
        <v>2</v>
      </c>
      <c r="B811" s="10" t="n">
        <v>45654</v>
      </c>
      <c r="C811" s="11" t="s">
        <v>829</v>
      </c>
      <c r="D811" s="1" t="s">
        <v>8</v>
      </c>
      <c r="E811" s="1" t="s">
        <v>20</v>
      </c>
      <c r="F811" s="1" t="str">
        <f aca="false">TEXT(B811,"mmm-yyyy")</f>
        <v>Dec-2024</v>
      </c>
    </row>
    <row r="812" customFormat="false" ht="57.75" hidden="false" customHeight="true" outlineLevel="0" collapsed="false">
      <c r="A812" s="1" t="n">
        <v>3</v>
      </c>
      <c r="B812" s="10" t="n">
        <v>45648</v>
      </c>
      <c r="C812" s="11" t="s">
        <v>830</v>
      </c>
      <c r="D812" s="1" t="s">
        <v>8</v>
      </c>
      <c r="E812" s="1" t="s">
        <v>18</v>
      </c>
      <c r="F812" s="1" t="str">
        <f aca="false">TEXT(B812,"mmm-yyyy")</f>
        <v>Dec-2024</v>
      </c>
    </row>
    <row r="813" customFormat="false" ht="72" hidden="false" customHeight="true" outlineLevel="0" collapsed="false">
      <c r="A813" s="1" t="n">
        <v>1</v>
      </c>
      <c r="B813" s="10" t="n">
        <v>45653</v>
      </c>
      <c r="C813" s="11" t="s">
        <v>831</v>
      </c>
      <c r="D813" s="1" t="s">
        <v>8</v>
      </c>
      <c r="E813" s="1" t="s">
        <v>20</v>
      </c>
      <c r="F813" s="1" t="str">
        <f aca="false">TEXT(B813,"mmm-yyyy")</f>
        <v>Dec-2024</v>
      </c>
    </row>
    <row r="814" customFormat="false" ht="57.75" hidden="false" customHeight="true" outlineLevel="0" collapsed="false">
      <c r="A814" s="1" t="n">
        <v>4</v>
      </c>
      <c r="B814" s="10" t="n">
        <v>45649</v>
      </c>
      <c r="C814" s="11" t="s">
        <v>832</v>
      </c>
      <c r="D814" s="1" t="s">
        <v>8</v>
      </c>
      <c r="E814" s="1" t="s">
        <v>18</v>
      </c>
      <c r="F814" s="1" t="str">
        <f aca="false">TEXT(B814,"mmm-yyyy")</f>
        <v>Dec-2024</v>
      </c>
    </row>
    <row r="815" customFormat="false" ht="57.75" hidden="false" customHeight="true" outlineLevel="0" collapsed="false">
      <c r="A815" s="1" t="n">
        <v>5</v>
      </c>
      <c r="B815" s="10" t="n">
        <v>45643</v>
      </c>
      <c r="C815" s="11" t="s">
        <v>833</v>
      </c>
      <c r="D815" s="1" t="s">
        <v>8</v>
      </c>
      <c r="E815" s="1" t="s">
        <v>20</v>
      </c>
      <c r="F815" s="1" t="str">
        <f aca="false">TEXT(B815,"mmm-yyyy")</f>
        <v>Dec-2024</v>
      </c>
    </row>
    <row r="816" customFormat="false" ht="28.5" hidden="false" customHeight="true" outlineLevel="0" collapsed="false">
      <c r="A816" s="1" t="n">
        <v>5</v>
      </c>
      <c r="B816" s="10" t="n">
        <v>45646</v>
      </c>
      <c r="C816" s="11" t="s">
        <v>834</v>
      </c>
      <c r="D816" s="1" t="s">
        <v>8</v>
      </c>
      <c r="E816" s="1" t="s">
        <v>18</v>
      </c>
      <c r="F816" s="1" t="str">
        <f aca="false">TEXT(B816,"mmm-yyyy")</f>
        <v>Dec-2024</v>
      </c>
    </row>
    <row r="817" customFormat="false" ht="43.5" hidden="false" customHeight="true" outlineLevel="0" collapsed="false">
      <c r="A817" s="1" t="n">
        <v>5</v>
      </c>
      <c r="B817" s="10" t="n">
        <v>45648</v>
      </c>
      <c r="C817" s="11" t="s">
        <v>835</v>
      </c>
      <c r="D817" s="1" t="s">
        <v>8</v>
      </c>
      <c r="E817" s="1" t="s">
        <v>18</v>
      </c>
      <c r="F817" s="1" t="str">
        <f aca="false">TEXT(B817,"mmm-yyyy")</f>
        <v>Dec-2024</v>
      </c>
    </row>
    <row r="818" customFormat="false" ht="57.75" hidden="false" customHeight="true" outlineLevel="0" collapsed="false">
      <c r="A818" s="1" t="n">
        <v>4</v>
      </c>
      <c r="B818" s="10" t="n">
        <v>45648</v>
      </c>
      <c r="C818" s="11" t="s">
        <v>836</v>
      </c>
      <c r="D818" s="1" t="s">
        <v>8</v>
      </c>
      <c r="E818" s="1" t="s">
        <v>20</v>
      </c>
      <c r="F818" s="1" t="str">
        <f aca="false">TEXT(B818,"mmm-yyyy")</f>
        <v>Dec-2024</v>
      </c>
    </row>
    <row r="819" customFormat="false" ht="57.75" hidden="false" customHeight="true" outlineLevel="0" collapsed="false">
      <c r="A819" s="1" t="n">
        <v>5</v>
      </c>
      <c r="B819" s="10" t="n">
        <v>45644</v>
      </c>
      <c r="C819" s="11" t="s">
        <v>837</v>
      </c>
      <c r="D819" s="1" t="s">
        <v>8</v>
      </c>
      <c r="E819" s="1" t="s">
        <v>20</v>
      </c>
      <c r="F819" s="1" t="str">
        <f aca="false">TEXT(B819,"mmm-yyyy")</f>
        <v>Dec-2024</v>
      </c>
    </row>
    <row r="820" customFormat="false" ht="43.5" hidden="false" customHeight="true" outlineLevel="0" collapsed="false">
      <c r="A820" s="1" t="n">
        <v>5</v>
      </c>
      <c r="B820" s="10" t="n">
        <v>45652</v>
      </c>
      <c r="C820" s="11" t="s">
        <v>838</v>
      </c>
      <c r="D820" s="1" t="s">
        <v>8</v>
      </c>
      <c r="E820" s="1" t="s">
        <v>18</v>
      </c>
      <c r="F820" s="1" t="str">
        <f aca="false">TEXT(B820,"mmm-yyyy")</f>
        <v>Dec-2024</v>
      </c>
    </row>
    <row r="821" customFormat="false" ht="43.5" hidden="false" customHeight="true" outlineLevel="0" collapsed="false">
      <c r="A821" s="1" t="n">
        <v>5</v>
      </c>
      <c r="B821" s="10" t="n">
        <v>45657</v>
      </c>
      <c r="C821" s="11" t="s">
        <v>839</v>
      </c>
      <c r="D821" s="1" t="s">
        <v>8</v>
      </c>
      <c r="E821" s="1" t="s">
        <v>32</v>
      </c>
      <c r="F821" s="1" t="str">
        <f aca="false">TEXT(B821,"mmm-yyyy")</f>
        <v>Dec-2024</v>
      </c>
    </row>
    <row r="822" customFormat="false" ht="43.5" hidden="false" customHeight="true" outlineLevel="0" collapsed="false">
      <c r="A822" s="1" t="n">
        <v>4</v>
      </c>
      <c r="B822" s="10" t="n">
        <v>45645</v>
      </c>
      <c r="C822" s="11" t="s">
        <v>840</v>
      </c>
      <c r="D822" s="1" t="s">
        <v>8</v>
      </c>
      <c r="E822" s="1" t="s">
        <v>18</v>
      </c>
      <c r="F822" s="1" t="str">
        <f aca="false">TEXT(B822,"mmm-yyyy")</f>
        <v>Dec-2024</v>
      </c>
    </row>
    <row r="823" customFormat="false" ht="57.75" hidden="false" customHeight="true" outlineLevel="0" collapsed="false">
      <c r="A823" s="1" t="n">
        <v>1</v>
      </c>
      <c r="B823" s="10" t="n">
        <v>45651</v>
      </c>
      <c r="C823" s="11" t="s">
        <v>841</v>
      </c>
      <c r="D823" s="1" t="s">
        <v>8</v>
      </c>
      <c r="E823" s="1" t="s">
        <v>20</v>
      </c>
      <c r="F823" s="1" t="str">
        <f aca="false">TEXT(B823,"mmm-yyyy")</f>
        <v>Dec-2024</v>
      </c>
    </row>
    <row r="824" customFormat="false" ht="57.75" hidden="false" customHeight="true" outlineLevel="0" collapsed="false">
      <c r="A824" s="1" t="n">
        <v>1</v>
      </c>
      <c r="B824" s="10" t="n">
        <v>45654</v>
      </c>
      <c r="C824" s="11" t="s">
        <v>842</v>
      </c>
      <c r="D824" s="1" t="s">
        <v>8</v>
      </c>
      <c r="E824" s="1" t="s">
        <v>32</v>
      </c>
      <c r="F824" s="1" t="str">
        <f aca="false">TEXT(B824,"mmm-yyyy")</f>
        <v>Dec-2024</v>
      </c>
    </row>
    <row r="825" customFormat="false" ht="43.5" hidden="false" customHeight="true" outlineLevel="0" collapsed="false">
      <c r="A825" s="1" t="n">
        <v>5</v>
      </c>
      <c r="B825" s="10" t="n">
        <v>45653</v>
      </c>
      <c r="C825" s="11" t="s">
        <v>843</v>
      </c>
      <c r="D825" s="1" t="s">
        <v>8</v>
      </c>
      <c r="E825" s="1" t="s">
        <v>18</v>
      </c>
      <c r="F825" s="1" t="str">
        <f aca="false">TEXT(B825,"mmm-yyyy")</f>
        <v>Dec-2024</v>
      </c>
    </row>
    <row r="826" customFormat="false" ht="57.75" hidden="false" customHeight="true" outlineLevel="0" collapsed="false">
      <c r="A826" s="1" t="n">
        <v>4</v>
      </c>
      <c r="B826" s="10" t="n">
        <v>45656</v>
      </c>
      <c r="C826" s="11" t="s">
        <v>844</v>
      </c>
      <c r="D826" s="1" t="s">
        <v>8</v>
      </c>
      <c r="E826" s="1" t="s">
        <v>20</v>
      </c>
      <c r="F826" s="1" t="str">
        <f aca="false">TEXT(B826,"mmm-yyyy")</f>
        <v>Dec-2024</v>
      </c>
    </row>
    <row r="827" customFormat="false" ht="28.5" hidden="false" customHeight="true" outlineLevel="0" collapsed="false">
      <c r="A827" s="1" t="n">
        <v>5</v>
      </c>
      <c r="B827" s="10" t="n">
        <v>45651</v>
      </c>
      <c r="C827" s="11" t="s">
        <v>845</v>
      </c>
      <c r="D827" s="1" t="s">
        <v>8</v>
      </c>
      <c r="E827" s="1" t="s">
        <v>18</v>
      </c>
      <c r="F827" s="1" t="str">
        <f aca="false">TEXT(B827,"mmm-yyyy")</f>
        <v>Dec-2024</v>
      </c>
    </row>
    <row r="828" customFormat="false" ht="43.5" hidden="false" customHeight="true" outlineLevel="0" collapsed="false">
      <c r="A828" s="1" t="n">
        <v>5</v>
      </c>
      <c r="B828" s="10" t="n">
        <v>45644</v>
      </c>
      <c r="C828" s="11" t="s">
        <v>846</v>
      </c>
      <c r="D828" s="1" t="s">
        <v>8</v>
      </c>
      <c r="E828" s="1" t="s">
        <v>20</v>
      </c>
      <c r="F828" s="1" t="str">
        <f aca="false">TEXT(B828,"mmm-yyyy")</f>
        <v>Dec-2024</v>
      </c>
    </row>
    <row r="829" customFormat="false" ht="72" hidden="false" customHeight="true" outlineLevel="0" collapsed="false">
      <c r="A829" s="1" t="n">
        <v>5</v>
      </c>
      <c r="B829" s="10" t="n">
        <v>45639</v>
      </c>
      <c r="C829" s="11" t="s">
        <v>847</v>
      </c>
      <c r="D829" s="1" t="s">
        <v>8</v>
      </c>
      <c r="E829" s="1" t="s">
        <v>18</v>
      </c>
      <c r="F829" s="1" t="str">
        <f aca="false">TEXT(B829,"mmm-yyyy")</f>
        <v>Dec-2024</v>
      </c>
    </row>
    <row r="830" customFormat="false" ht="43.5" hidden="false" customHeight="true" outlineLevel="0" collapsed="false">
      <c r="A830" s="1" t="n">
        <v>1</v>
      </c>
      <c r="B830" s="10" t="n">
        <v>45651</v>
      </c>
      <c r="C830" s="11" t="s">
        <v>848</v>
      </c>
      <c r="D830" s="1" t="s">
        <v>8</v>
      </c>
      <c r="E830" s="1" t="s">
        <v>20</v>
      </c>
      <c r="F830" s="1" t="str">
        <f aca="false">TEXT(B830,"mmm-yyyy")</f>
        <v>Dec-2024</v>
      </c>
    </row>
    <row r="831" customFormat="false" ht="43.5" hidden="false" customHeight="true" outlineLevel="0" collapsed="false">
      <c r="A831" s="1" t="n">
        <v>5</v>
      </c>
      <c r="B831" s="10" t="n">
        <v>45652</v>
      </c>
      <c r="C831" s="11" t="s">
        <v>849</v>
      </c>
      <c r="D831" s="1" t="s">
        <v>8</v>
      </c>
      <c r="E831" s="1" t="s">
        <v>18</v>
      </c>
      <c r="F831" s="1" t="str">
        <f aca="false">TEXT(B831,"mmm-yyyy")</f>
        <v>Dec-2024</v>
      </c>
    </row>
    <row r="832" customFormat="false" ht="87" hidden="false" customHeight="true" outlineLevel="0" collapsed="false">
      <c r="A832" s="1" t="n">
        <v>5</v>
      </c>
      <c r="B832" s="10" t="n">
        <v>45646</v>
      </c>
      <c r="C832" s="11" t="s">
        <v>850</v>
      </c>
      <c r="D832" s="1" t="s">
        <v>8</v>
      </c>
      <c r="E832" s="1" t="s">
        <v>18</v>
      </c>
      <c r="F832" s="1" t="str">
        <f aca="false">TEXT(B832,"mmm-yyyy")</f>
        <v>Dec-2024</v>
      </c>
    </row>
    <row r="833" customFormat="false" ht="57.75" hidden="false" customHeight="true" outlineLevel="0" collapsed="false">
      <c r="A833" s="1" t="n">
        <v>1</v>
      </c>
      <c r="B833" s="10" t="n">
        <v>45641</v>
      </c>
      <c r="C833" s="11" t="s">
        <v>851</v>
      </c>
      <c r="D833" s="1" t="s">
        <v>8</v>
      </c>
      <c r="E833" s="1" t="s">
        <v>32</v>
      </c>
      <c r="F833" s="1" t="str">
        <f aca="false">TEXT(B833,"mmm-yyyy")</f>
        <v>Dec-2024</v>
      </c>
    </row>
    <row r="834" customFormat="false" ht="28.5" hidden="false" customHeight="true" outlineLevel="0" collapsed="false">
      <c r="A834" s="1" t="n">
        <v>5</v>
      </c>
      <c r="B834" s="10" t="n">
        <v>45642</v>
      </c>
      <c r="C834" s="11" t="s">
        <v>852</v>
      </c>
      <c r="D834" s="1" t="s">
        <v>8</v>
      </c>
      <c r="E834" s="1" t="s">
        <v>18</v>
      </c>
      <c r="F834" s="1" t="str">
        <f aca="false">TEXT(B834,"mmm-yyyy")</f>
        <v>Dec-2024</v>
      </c>
    </row>
    <row r="835" customFormat="false" ht="43.5" hidden="false" customHeight="true" outlineLevel="0" collapsed="false">
      <c r="A835" s="1" t="n">
        <v>5</v>
      </c>
      <c r="B835" s="10" t="n">
        <v>45653</v>
      </c>
      <c r="C835" s="11" t="s">
        <v>853</v>
      </c>
      <c r="D835" s="1" t="s">
        <v>8</v>
      </c>
      <c r="E835" s="1" t="s">
        <v>18</v>
      </c>
      <c r="F835" s="1" t="str">
        <f aca="false">TEXT(B835,"mmm-yyyy")</f>
        <v>Dec-2024</v>
      </c>
    </row>
    <row r="836" customFormat="false" ht="72" hidden="false" customHeight="true" outlineLevel="0" collapsed="false">
      <c r="A836" s="1" t="n">
        <v>1</v>
      </c>
      <c r="B836" s="10" t="n">
        <v>45650</v>
      </c>
      <c r="C836" s="11" t="s">
        <v>854</v>
      </c>
      <c r="D836" s="1" t="s">
        <v>8</v>
      </c>
      <c r="E836" s="1" t="s">
        <v>18</v>
      </c>
      <c r="F836" s="1" t="str">
        <f aca="false">TEXT(B836,"mmm-yyyy")</f>
        <v>Dec-2024</v>
      </c>
    </row>
    <row r="837" customFormat="false" ht="57.75" hidden="false" customHeight="true" outlineLevel="0" collapsed="false">
      <c r="A837" s="1" t="n">
        <v>1</v>
      </c>
      <c r="B837" s="10" t="n">
        <v>45649</v>
      </c>
      <c r="C837" s="11" t="s">
        <v>855</v>
      </c>
      <c r="D837" s="1" t="s">
        <v>8</v>
      </c>
      <c r="E837" s="1" t="s">
        <v>18</v>
      </c>
      <c r="F837" s="1" t="str">
        <f aca="false">TEXT(B837,"mmm-yyyy")</f>
        <v>Dec-2024</v>
      </c>
    </row>
    <row r="838" customFormat="false" ht="43.5" hidden="false" customHeight="true" outlineLevel="0" collapsed="false">
      <c r="A838" s="1" t="n">
        <v>1</v>
      </c>
      <c r="B838" s="10" t="n">
        <v>45644</v>
      </c>
      <c r="C838" s="11" t="s">
        <v>856</v>
      </c>
      <c r="D838" s="1" t="s">
        <v>8</v>
      </c>
      <c r="E838" s="1" t="s">
        <v>20</v>
      </c>
      <c r="F838" s="1" t="str">
        <f aca="false">TEXT(B838,"mmm-yyyy")</f>
        <v>Dec-2024</v>
      </c>
    </row>
    <row r="839" customFormat="false" ht="57.75" hidden="false" customHeight="true" outlineLevel="0" collapsed="false">
      <c r="A839" s="1" t="n">
        <v>1</v>
      </c>
      <c r="B839" s="10" t="n">
        <v>45647</v>
      </c>
      <c r="C839" s="11" t="s">
        <v>857</v>
      </c>
      <c r="D839" s="1" t="s">
        <v>8</v>
      </c>
      <c r="E839" s="1" t="s">
        <v>20</v>
      </c>
      <c r="F839" s="1" t="str">
        <f aca="false">TEXT(B839,"mmm-yyyy")</f>
        <v>Dec-2024</v>
      </c>
    </row>
    <row r="840" customFormat="false" ht="28.5" hidden="false" customHeight="true" outlineLevel="0" collapsed="false">
      <c r="A840" s="1" t="n">
        <v>5</v>
      </c>
      <c r="B840" s="10" t="n">
        <v>45641</v>
      </c>
      <c r="C840" s="11" t="s">
        <v>858</v>
      </c>
      <c r="D840" s="1" t="s">
        <v>8</v>
      </c>
      <c r="E840" s="1" t="s">
        <v>18</v>
      </c>
      <c r="F840" s="1" t="str">
        <f aca="false">TEXT(B840,"mmm-yyyy")</f>
        <v>Dec-2024</v>
      </c>
    </row>
    <row r="841" customFormat="false" ht="72" hidden="false" customHeight="true" outlineLevel="0" collapsed="false">
      <c r="A841" s="1" t="n">
        <v>1</v>
      </c>
      <c r="B841" s="10" t="n">
        <v>45651</v>
      </c>
      <c r="C841" s="11" t="s">
        <v>859</v>
      </c>
      <c r="D841" s="1" t="s">
        <v>8</v>
      </c>
      <c r="E841" s="1" t="s">
        <v>18</v>
      </c>
      <c r="F841" s="1" t="str">
        <f aca="false">TEXT(B841,"mmm-yyyy")</f>
        <v>Dec-2024</v>
      </c>
    </row>
    <row r="842" customFormat="false" ht="28.5" hidden="false" customHeight="true" outlineLevel="0" collapsed="false">
      <c r="A842" s="1" t="n">
        <v>5</v>
      </c>
      <c r="B842" s="10" t="n">
        <v>45646</v>
      </c>
      <c r="C842" s="11" t="s">
        <v>860</v>
      </c>
      <c r="D842" s="1" t="s">
        <v>8</v>
      </c>
      <c r="E842" s="1" t="s">
        <v>18</v>
      </c>
      <c r="F842" s="1" t="str">
        <f aca="false">TEXT(B842,"mmm-yyyy")</f>
        <v>Dec-2024</v>
      </c>
    </row>
    <row r="843" customFormat="false" ht="43.5" hidden="false" customHeight="true" outlineLevel="0" collapsed="false">
      <c r="A843" s="1" t="n">
        <v>5</v>
      </c>
      <c r="B843" s="10" t="n">
        <v>45650</v>
      </c>
      <c r="C843" s="11" t="s">
        <v>861</v>
      </c>
      <c r="D843" s="1" t="s">
        <v>8</v>
      </c>
      <c r="E843" s="1" t="s">
        <v>18</v>
      </c>
      <c r="F843" s="1" t="str">
        <f aca="false">TEXT(B843,"mmm-yyyy")</f>
        <v>Dec-2024</v>
      </c>
    </row>
    <row r="844" customFormat="false" ht="43.5" hidden="false" customHeight="true" outlineLevel="0" collapsed="false">
      <c r="A844" s="1" t="n">
        <v>1</v>
      </c>
      <c r="B844" s="10" t="n">
        <v>45644</v>
      </c>
      <c r="C844" s="11" t="s">
        <v>862</v>
      </c>
      <c r="D844" s="1" t="s">
        <v>8</v>
      </c>
      <c r="E844" s="1" t="s">
        <v>20</v>
      </c>
      <c r="F844" s="1" t="str">
        <f aca="false">TEXT(B844,"mmm-yyyy")</f>
        <v>Dec-2024</v>
      </c>
    </row>
    <row r="845" customFormat="false" ht="43.5" hidden="false" customHeight="true" outlineLevel="0" collapsed="false">
      <c r="A845" s="1" t="n">
        <v>5</v>
      </c>
      <c r="B845" s="10" t="n">
        <v>45644</v>
      </c>
      <c r="C845" s="11" t="s">
        <v>863</v>
      </c>
      <c r="D845" s="1" t="s">
        <v>8</v>
      </c>
      <c r="E845" s="1" t="s">
        <v>18</v>
      </c>
      <c r="F845" s="1" t="str">
        <f aca="false">TEXT(B845,"mmm-yyyy")</f>
        <v>Dec-2024</v>
      </c>
    </row>
    <row r="846" customFormat="false" ht="43.5" hidden="false" customHeight="true" outlineLevel="0" collapsed="false">
      <c r="A846" s="1" t="n">
        <v>5</v>
      </c>
      <c r="B846" s="10" t="n">
        <v>45649</v>
      </c>
      <c r="C846" s="11" t="s">
        <v>864</v>
      </c>
      <c r="D846" s="1" t="s">
        <v>8</v>
      </c>
      <c r="E846" s="1" t="s">
        <v>18</v>
      </c>
      <c r="F846" s="1" t="str">
        <f aca="false">TEXT(B846,"mmm-yyyy")</f>
        <v>Dec-2024</v>
      </c>
    </row>
    <row r="847" customFormat="false" ht="43.5" hidden="false" customHeight="true" outlineLevel="0" collapsed="false">
      <c r="A847" s="1" t="n">
        <v>1</v>
      </c>
      <c r="B847" s="10" t="n">
        <v>45654</v>
      </c>
      <c r="C847" s="11" t="s">
        <v>865</v>
      </c>
      <c r="D847" s="1" t="s">
        <v>8</v>
      </c>
      <c r="E847" s="1" t="s">
        <v>20</v>
      </c>
      <c r="F847" s="1" t="str">
        <f aca="false">TEXT(B847,"mmm-yyyy")</f>
        <v>Dec-2024</v>
      </c>
    </row>
    <row r="848" customFormat="false" ht="28.5" hidden="false" customHeight="true" outlineLevel="0" collapsed="false">
      <c r="A848" s="1" t="n">
        <v>5</v>
      </c>
      <c r="B848" s="10" t="n">
        <v>45653</v>
      </c>
      <c r="C848" s="11" t="s">
        <v>866</v>
      </c>
      <c r="D848" s="1" t="s">
        <v>8</v>
      </c>
      <c r="E848" s="1" t="s">
        <v>18</v>
      </c>
      <c r="F848" s="1" t="str">
        <f aca="false">TEXT(B848,"mmm-yyyy")</f>
        <v>Dec-2024</v>
      </c>
    </row>
    <row r="849" customFormat="false" ht="43.5" hidden="false" customHeight="true" outlineLevel="0" collapsed="false">
      <c r="A849" s="1" t="n">
        <v>1</v>
      </c>
      <c r="B849" s="10" t="n">
        <v>45649</v>
      </c>
      <c r="C849" s="11" t="s">
        <v>867</v>
      </c>
      <c r="D849" s="1" t="s">
        <v>8</v>
      </c>
      <c r="E849" s="1" t="s">
        <v>18</v>
      </c>
      <c r="F849" s="1" t="str">
        <f aca="false">TEXT(B849,"mmm-yyyy")</f>
        <v>Dec-2024</v>
      </c>
    </row>
    <row r="850" customFormat="false" ht="28.5" hidden="false" customHeight="true" outlineLevel="0" collapsed="false">
      <c r="A850" s="1" t="n">
        <v>5</v>
      </c>
      <c r="B850" s="10" t="n">
        <v>45648</v>
      </c>
      <c r="C850" s="11" t="s">
        <v>868</v>
      </c>
      <c r="D850" s="1" t="s">
        <v>8</v>
      </c>
      <c r="E850" s="1" t="s">
        <v>18</v>
      </c>
      <c r="F850" s="1" t="str">
        <f aca="false">TEXT(B850,"mmm-yyyy")</f>
        <v>Dec-2024</v>
      </c>
    </row>
    <row r="851" customFormat="false" ht="28.5" hidden="false" customHeight="true" outlineLevel="0" collapsed="false">
      <c r="A851" s="1" t="n">
        <v>4</v>
      </c>
      <c r="B851" s="10" t="n">
        <v>45651</v>
      </c>
      <c r="C851" s="11" t="s">
        <v>869</v>
      </c>
      <c r="D851" s="1" t="s">
        <v>8</v>
      </c>
      <c r="E851" s="1" t="s">
        <v>18</v>
      </c>
      <c r="F851" s="1" t="str">
        <f aca="false">TEXT(B851,"mmm-yyyy")</f>
        <v>Dec-2024</v>
      </c>
    </row>
    <row r="852" customFormat="false" ht="43.5" hidden="false" customHeight="true" outlineLevel="0" collapsed="false">
      <c r="A852" s="1" t="n">
        <v>5</v>
      </c>
      <c r="B852" s="10" t="n">
        <v>45648</v>
      </c>
      <c r="C852" s="11" t="s">
        <v>870</v>
      </c>
      <c r="D852" s="1" t="s">
        <v>8</v>
      </c>
      <c r="E852" s="1" t="s">
        <v>18</v>
      </c>
      <c r="F852" s="1" t="str">
        <f aca="false">TEXT(B852,"mmm-yyyy")</f>
        <v>Dec-2024</v>
      </c>
    </row>
    <row r="853" customFormat="false" ht="43.5" hidden="false" customHeight="true" outlineLevel="0" collapsed="false">
      <c r="A853" s="1" t="n">
        <v>5</v>
      </c>
      <c r="B853" s="10" t="n">
        <v>45649</v>
      </c>
      <c r="C853" s="11" t="s">
        <v>871</v>
      </c>
      <c r="D853" s="1" t="s">
        <v>8</v>
      </c>
      <c r="E853" s="1" t="s">
        <v>18</v>
      </c>
      <c r="F853" s="1" t="str">
        <f aca="false">TEXT(B853,"mmm-yyyy")</f>
        <v>Dec-2024</v>
      </c>
    </row>
    <row r="854" customFormat="false" ht="57.75" hidden="false" customHeight="true" outlineLevel="0" collapsed="false">
      <c r="A854" s="1" t="n">
        <v>1</v>
      </c>
      <c r="B854" s="10" t="n">
        <v>45642</v>
      </c>
      <c r="C854" s="11" t="s">
        <v>872</v>
      </c>
      <c r="D854" s="1" t="s">
        <v>8</v>
      </c>
      <c r="E854" s="1" t="s">
        <v>20</v>
      </c>
      <c r="F854" s="1" t="str">
        <f aca="false">TEXT(B854,"mmm-yyyy")</f>
        <v>Dec-2024</v>
      </c>
    </row>
    <row r="855" customFormat="false" ht="28.5" hidden="false" customHeight="true" outlineLevel="0" collapsed="false">
      <c r="A855" s="1" t="n">
        <v>1</v>
      </c>
      <c r="B855" s="10" t="n">
        <v>45649</v>
      </c>
      <c r="C855" s="11" t="s">
        <v>873</v>
      </c>
      <c r="D855" s="1" t="s">
        <v>8</v>
      </c>
      <c r="E855" s="1" t="s">
        <v>20</v>
      </c>
      <c r="F855" s="1" t="str">
        <f aca="false">TEXT(B855,"mmm-yyyy")</f>
        <v>Dec-2024</v>
      </c>
    </row>
    <row r="856" customFormat="false" ht="28.5" hidden="false" customHeight="true" outlineLevel="0" collapsed="false">
      <c r="A856" s="1" t="n">
        <v>4</v>
      </c>
      <c r="B856" s="10" t="n">
        <v>45647</v>
      </c>
      <c r="C856" s="11" t="s">
        <v>874</v>
      </c>
      <c r="D856" s="1" t="s">
        <v>8</v>
      </c>
      <c r="E856" s="1" t="s">
        <v>20</v>
      </c>
      <c r="F856" s="1" t="str">
        <f aca="false">TEXT(B856,"mmm-yyyy")</f>
        <v>Dec-2024</v>
      </c>
    </row>
    <row r="857" customFormat="false" ht="57.75" hidden="false" customHeight="true" outlineLevel="0" collapsed="false">
      <c r="A857" s="1" t="n">
        <v>5</v>
      </c>
      <c r="B857" s="10" t="n">
        <v>45649</v>
      </c>
      <c r="C857" s="11" t="s">
        <v>875</v>
      </c>
      <c r="D857" s="1" t="s">
        <v>8</v>
      </c>
      <c r="E857" s="1" t="s">
        <v>18</v>
      </c>
      <c r="F857" s="1" t="str">
        <f aca="false">TEXT(B857,"mmm-yyyy")</f>
        <v>Dec-2024</v>
      </c>
    </row>
    <row r="858" customFormat="false" ht="43.5" hidden="false" customHeight="true" outlineLevel="0" collapsed="false">
      <c r="A858" s="1" t="n">
        <v>4</v>
      </c>
      <c r="B858" s="10" t="n">
        <v>45650</v>
      </c>
      <c r="C858" s="11" t="s">
        <v>876</v>
      </c>
      <c r="D858" s="1" t="s">
        <v>8</v>
      </c>
      <c r="E858" s="1" t="s">
        <v>18</v>
      </c>
      <c r="F858" s="1" t="str">
        <f aca="false">TEXT(B858,"mmm-yyyy")</f>
        <v>Dec-2024</v>
      </c>
    </row>
    <row r="859" customFormat="false" ht="72" hidden="false" customHeight="true" outlineLevel="0" collapsed="false">
      <c r="A859" s="1" t="n">
        <v>1</v>
      </c>
      <c r="B859" s="10" t="n">
        <v>45649</v>
      </c>
      <c r="C859" s="11" t="s">
        <v>877</v>
      </c>
      <c r="D859" s="1" t="s">
        <v>8</v>
      </c>
      <c r="E859" s="1" t="s">
        <v>20</v>
      </c>
      <c r="F859" s="1" t="str">
        <f aca="false">TEXT(B859,"mmm-yyyy")</f>
        <v>Dec-2024</v>
      </c>
    </row>
    <row r="860" customFormat="false" ht="43.5" hidden="false" customHeight="true" outlineLevel="0" collapsed="false">
      <c r="A860" s="1" t="n">
        <v>5</v>
      </c>
      <c r="B860" s="10" t="n">
        <v>45651</v>
      </c>
      <c r="C860" s="11" t="s">
        <v>878</v>
      </c>
      <c r="D860" s="1" t="s">
        <v>8</v>
      </c>
      <c r="E860" s="1" t="s">
        <v>18</v>
      </c>
      <c r="F860" s="1" t="str">
        <f aca="false">TEXT(B860,"mmm-yyyy")</f>
        <v>Dec-2024</v>
      </c>
    </row>
    <row r="861" customFormat="false" ht="28.5" hidden="false" customHeight="true" outlineLevel="0" collapsed="false">
      <c r="A861" s="1" t="n">
        <v>5</v>
      </c>
      <c r="B861" s="10" t="n">
        <v>45645</v>
      </c>
      <c r="C861" s="11" t="s">
        <v>879</v>
      </c>
      <c r="D861" s="1" t="s">
        <v>8</v>
      </c>
      <c r="E861" s="1" t="s">
        <v>18</v>
      </c>
      <c r="F861" s="1" t="str">
        <f aca="false">TEXT(B861,"mmm-yyyy")</f>
        <v>Dec-2024</v>
      </c>
    </row>
    <row r="862" customFormat="false" ht="28.5" hidden="false" customHeight="true" outlineLevel="0" collapsed="false">
      <c r="A862" s="1" t="n">
        <v>4</v>
      </c>
      <c r="B862" s="10" t="n">
        <v>45650</v>
      </c>
      <c r="C862" s="11" t="s">
        <v>880</v>
      </c>
      <c r="D862" s="1" t="s">
        <v>8</v>
      </c>
      <c r="E862" s="1" t="s">
        <v>18</v>
      </c>
      <c r="F862" s="1" t="str">
        <f aca="false">TEXT(B862,"mmm-yyyy")</f>
        <v>Dec-2024</v>
      </c>
    </row>
    <row r="863" customFormat="false" ht="28.5" hidden="false" customHeight="true" outlineLevel="0" collapsed="false">
      <c r="A863" s="1" t="n">
        <v>4</v>
      </c>
      <c r="B863" s="10" t="n">
        <v>45654</v>
      </c>
      <c r="C863" s="11" t="s">
        <v>881</v>
      </c>
      <c r="D863" s="1" t="s">
        <v>8</v>
      </c>
      <c r="E863" s="1" t="s">
        <v>20</v>
      </c>
      <c r="F863" s="1" t="str">
        <f aca="false">TEXT(B863,"mmm-yyyy")</f>
        <v>Dec-2024</v>
      </c>
    </row>
    <row r="864" customFormat="false" ht="43.5" hidden="false" customHeight="true" outlineLevel="0" collapsed="false">
      <c r="A864" s="1" t="n">
        <v>5</v>
      </c>
      <c r="B864" s="10" t="n">
        <v>45646</v>
      </c>
      <c r="C864" s="11" t="s">
        <v>882</v>
      </c>
      <c r="D864" s="1" t="s">
        <v>8</v>
      </c>
      <c r="E864" s="1" t="s">
        <v>18</v>
      </c>
      <c r="F864" s="1" t="str">
        <f aca="false">TEXT(B864,"mmm-yyyy")</f>
        <v>Dec-2024</v>
      </c>
    </row>
    <row r="865" customFormat="false" ht="43.5" hidden="false" customHeight="true" outlineLevel="0" collapsed="false">
      <c r="A865" s="1" t="n">
        <v>5</v>
      </c>
      <c r="B865" s="10" t="n">
        <v>45657</v>
      </c>
      <c r="C865" s="11" t="s">
        <v>883</v>
      </c>
      <c r="D865" s="1" t="s">
        <v>8</v>
      </c>
      <c r="E865" s="1" t="s">
        <v>18</v>
      </c>
      <c r="F865" s="1" t="str">
        <f aca="false">TEXT(B865,"mmm-yyyy")</f>
        <v>Dec-2024</v>
      </c>
    </row>
    <row r="866" customFormat="false" ht="57.75" hidden="false" customHeight="true" outlineLevel="0" collapsed="false">
      <c r="A866" s="1" t="n">
        <v>1</v>
      </c>
      <c r="B866" s="10" t="n">
        <v>45644</v>
      </c>
      <c r="C866" s="11" t="s">
        <v>884</v>
      </c>
      <c r="D866" s="1" t="s">
        <v>8</v>
      </c>
      <c r="E866" s="1" t="s">
        <v>20</v>
      </c>
      <c r="F866" s="1" t="str">
        <f aca="false">TEXT(B866,"mmm-yyyy")</f>
        <v>Dec-2024</v>
      </c>
    </row>
    <row r="867" customFormat="false" ht="87" hidden="false" customHeight="true" outlineLevel="0" collapsed="false">
      <c r="A867" s="1" t="n">
        <v>1</v>
      </c>
      <c r="B867" s="10" t="n">
        <v>45606</v>
      </c>
      <c r="C867" s="11" t="s">
        <v>885</v>
      </c>
      <c r="D867" s="1" t="s">
        <v>8</v>
      </c>
      <c r="E867" s="1" t="s">
        <v>18</v>
      </c>
      <c r="F867" s="1" t="str">
        <f aca="false">TEXT(B867,"mmm-yyyy")</f>
        <v>Nov-2024</v>
      </c>
    </row>
    <row r="868" customFormat="false" ht="72" hidden="false" customHeight="true" outlineLevel="0" collapsed="false">
      <c r="A868" s="1" t="n">
        <v>5</v>
      </c>
      <c r="B868" s="10" t="n">
        <v>45585</v>
      </c>
      <c r="C868" s="11" t="s">
        <v>886</v>
      </c>
      <c r="D868" s="1" t="s">
        <v>8</v>
      </c>
      <c r="E868" s="1" t="s">
        <v>18</v>
      </c>
      <c r="F868" s="1" t="str">
        <f aca="false">TEXT(B868,"mmm-yyyy")</f>
        <v>Oct-2024</v>
      </c>
    </row>
    <row r="869" customFormat="false" ht="101.25" hidden="false" customHeight="true" outlineLevel="0" collapsed="false">
      <c r="A869" s="1" t="n">
        <v>1</v>
      </c>
      <c r="B869" s="10" t="n">
        <v>45595</v>
      </c>
      <c r="C869" s="11" t="s">
        <v>887</v>
      </c>
      <c r="D869" s="1" t="s">
        <v>8</v>
      </c>
      <c r="E869" s="1" t="s">
        <v>20</v>
      </c>
      <c r="F869" s="1" t="str">
        <f aca="false">TEXT(B869,"mmm-yyyy")</f>
        <v>Oct-2024</v>
      </c>
    </row>
    <row r="870" customFormat="false" ht="101.25" hidden="false" customHeight="true" outlineLevel="0" collapsed="false">
      <c r="A870" s="1" t="n">
        <v>5</v>
      </c>
      <c r="B870" s="10" t="n">
        <v>45592</v>
      </c>
      <c r="C870" s="11" t="s">
        <v>888</v>
      </c>
      <c r="D870" s="1" t="s">
        <v>8</v>
      </c>
      <c r="E870" s="1" t="s">
        <v>18</v>
      </c>
      <c r="F870" s="1" t="str">
        <f aca="false">TEXT(B870,"mmm-yyyy")</f>
        <v>Oct-2024</v>
      </c>
    </row>
    <row r="871" customFormat="false" ht="43.5" hidden="false" customHeight="true" outlineLevel="0" collapsed="false">
      <c r="A871" s="1" t="n">
        <v>2</v>
      </c>
      <c r="B871" s="10" t="n">
        <v>45607</v>
      </c>
      <c r="C871" s="11" t="s">
        <v>889</v>
      </c>
      <c r="D871" s="1" t="s">
        <v>8</v>
      </c>
      <c r="E871" s="1" t="s">
        <v>20</v>
      </c>
      <c r="F871" s="1" t="str">
        <f aca="false">TEXT(B871,"mmm-yyyy")</f>
        <v>Nov-2024</v>
      </c>
    </row>
    <row r="872" customFormat="false" ht="87" hidden="false" customHeight="true" outlineLevel="0" collapsed="false">
      <c r="A872" s="1" t="n">
        <v>1</v>
      </c>
      <c r="B872" s="10" t="n">
        <v>45589</v>
      </c>
      <c r="C872" s="11" t="s">
        <v>890</v>
      </c>
      <c r="D872" s="1" t="s">
        <v>8</v>
      </c>
      <c r="E872" s="1" t="s">
        <v>18</v>
      </c>
      <c r="F872" s="1" t="str">
        <f aca="false">TEXT(B872,"mmm-yyyy")</f>
        <v>Oct-2024</v>
      </c>
    </row>
    <row r="873" customFormat="false" ht="72" hidden="false" customHeight="true" outlineLevel="0" collapsed="false">
      <c r="A873" s="1" t="n">
        <v>3</v>
      </c>
      <c r="B873" s="10" t="n">
        <v>45595</v>
      </c>
      <c r="C873" s="11" t="s">
        <v>891</v>
      </c>
      <c r="D873" s="1" t="s">
        <v>8</v>
      </c>
      <c r="E873" s="1" t="s">
        <v>20</v>
      </c>
      <c r="F873" s="1" t="str">
        <f aca="false">TEXT(B873,"mmm-yyyy")</f>
        <v>Oct-2024</v>
      </c>
    </row>
    <row r="874" customFormat="false" ht="72" hidden="false" customHeight="true" outlineLevel="0" collapsed="false">
      <c r="A874" s="1" t="n">
        <v>1</v>
      </c>
      <c r="B874" s="10" t="n">
        <v>45609</v>
      </c>
      <c r="C874" s="11" t="s">
        <v>892</v>
      </c>
      <c r="D874" s="1" t="s">
        <v>8</v>
      </c>
      <c r="E874" s="1" t="s">
        <v>20</v>
      </c>
      <c r="F874" s="1" t="str">
        <f aca="false">TEXT(B874,"mmm-yyyy")</f>
        <v>Nov-2024</v>
      </c>
    </row>
    <row r="875" customFormat="false" ht="57.75" hidden="false" customHeight="true" outlineLevel="0" collapsed="false">
      <c r="A875" s="1" t="n">
        <v>5</v>
      </c>
      <c r="B875" s="10" t="n">
        <v>45578</v>
      </c>
      <c r="C875" s="11" t="s">
        <v>893</v>
      </c>
      <c r="D875" s="1" t="s">
        <v>8</v>
      </c>
      <c r="E875" s="1" t="s">
        <v>18</v>
      </c>
      <c r="F875" s="1" t="str">
        <f aca="false">TEXT(B875,"mmm-yyyy")</f>
        <v>Oct-2024</v>
      </c>
    </row>
    <row r="876" customFormat="false" ht="28.5" hidden="false" customHeight="true" outlineLevel="0" collapsed="false">
      <c r="A876" s="1" t="n">
        <v>5</v>
      </c>
      <c r="B876" s="10" t="n">
        <v>45648</v>
      </c>
      <c r="C876" s="11" t="s">
        <v>894</v>
      </c>
      <c r="D876" s="1" t="s">
        <v>8</v>
      </c>
      <c r="E876" s="1" t="s">
        <v>18</v>
      </c>
      <c r="F876" s="1" t="str">
        <f aca="false">TEXT(B876,"mmm-yyyy")</f>
        <v>Dec-2024</v>
      </c>
    </row>
    <row r="877" customFormat="false" ht="43.5" hidden="false" customHeight="true" outlineLevel="0" collapsed="false">
      <c r="A877" s="1" t="n">
        <v>2</v>
      </c>
      <c r="B877" s="10" t="n">
        <v>45584</v>
      </c>
      <c r="C877" s="11" t="s">
        <v>895</v>
      </c>
      <c r="D877" s="1" t="s">
        <v>8</v>
      </c>
      <c r="E877" s="1" t="s">
        <v>20</v>
      </c>
      <c r="F877" s="1" t="str">
        <f aca="false">TEXT(B877,"mmm-yyyy")</f>
        <v>Oct-2024</v>
      </c>
    </row>
    <row r="878" customFormat="false" ht="144.75" hidden="false" customHeight="true" outlineLevel="0" collapsed="false">
      <c r="A878" s="1" t="n">
        <v>1</v>
      </c>
      <c r="B878" s="10" t="n">
        <v>45634</v>
      </c>
      <c r="C878" s="11" t="s">
        <v>896</v>
      </c>
      <c r="D878" s="1" t="s">
        <v>8</v>
      </c>
      <c r="E878" s="1" t="s">
        <v>20</v>
      </c>
      <c r="F878" s="1" t="str">
        <f aca="false">TEXT(B878,"mmm-yyyy")</f>
        <v>Dec-2024</v>
      </c>
    </row>
    <row r="879" customFormat="false" ht="57.75" hidden="false" customHeight="true" outlineLevel="0" collapsed="false">
      <c r="A879" s="1" t="n">
        <v>2</v>
      </c>
      <c r="B879" s="10" t="n">
        <v>45596</v>
      </c>
      <c r="C879" s="11" t="s">
        <v>897</v>
      </c>
      <c r="D879" s="1" t="s">
        <v>8</v>
      </c>
      <c r="E879" s="1" t="s">
        <v>18</v>
      </c>
      <c r="F879" s="1" t="str">
        <f aca="false">TEXT(B879,"mmm-yyyy")</f>
        <v>Oct-2024</v>
      </c>
    </row>
    <row r="880" customFormat="false" ht="87" hidden="false" customHeight="true" outlineLevel="0" collapsed="false">
      <c r="A880" s="1" t="n">
        <v>5</v>
      </c>
      <c r="B880" s="10" t="n">
        <v>45591</v>
      </c>
      <c r="C880" s="11" t="s">
        <v>898</v>
      </c>
      <c r="D880" s="1" t="s">
        <v>8</v>
      </c>
      <c r="E880" s="1" t="s">
        <v>20</v>
      </c>
      <c r="F880" s="1" t="str">
        <f aca="false">TEXT(B880,"mmm-yyyy")</f>
        <v>Oct-2024</v>
      </c>
    </row>
    <row r="881" customFormat="false" ht="72" hidden="false" customHeight="true" outlineLevel="0" collapsed="false">
      <c r="A881" s="1" t="n">
        <v>1</v>
      </c>
      <c r="B881" s="10" t="n">
        <v>45578</v>
      </c>
      <c r="C881" s="11" t="s">
        <v>899</v>
      </c>
      <c r="D881" s="1" t="s">
        <v>8</v>
      </c>
      <c r="E881" s="1" t="s">
        <v>20</v>
      </c>
      <c r="F881" s="1" t="str">
        <f aca="false">TEXT(B881,"mmm-yyyy")</f>
        <v>Oct-2024</v>
      </c>
    </row>
    <row r="882" customFormat="false" ht="101.25" hidden="false" customHeight="true" outlineLevel="0" collapsed="false">
      <c r="A882" s="1" t="n">
        <v>1</v>
      </c>
      <c r="B882" s="10" t="n">
        <v>45587</v>
      </c>
      <c r="C882" s="11" t="s">
        <v>900</v>
      </c>
      <c r="D882" s="1" t="s">
        <v>8</v>
      </c>
      <c r="E882" s="1" t="s">
        <v>20</v>
      </c>
      <c r="F882" s="1" t="str">
        <f aca="false">TEXT(B882,"mmm-yyyy")</f>
        <v>Oct-2024</v>
      </c>
    </row>
    <row r="883" customFormat="false" ht="57.75" hidden="false" customHeight="true" outlineLevel="0" collapsed="false">
      <c r="A883" s="1" t="n">
        <v>5</v>
      </c>
      <c r="B883" s="10" t="n">
        <v>45614</v>
      </c>
      <c r="C883" s="11" t="s">
        <v>901</v>
      </c>
      <c r="D883" s="1" t="s">
        <v>8</v>
      </c>
      <c r="E883" s="1" t="s">
        <v>18</v>
      </c>
      <c r="F883" s="1" t="str">
        <f aca="false">TEXT(B883,"mmm-yyyy")</f>
        <v>Nov-2024</v>
      </c>
    </row>
    <row r="884" customFormat="false" ht="72" hidden="false" customHeight="true" outlineLevel="0" collapsed="false">
      <c r="A884" s="1" t="n">
        <v>1</v>
      </c>
      <c r="B884" s="10" t="n">
        <v>45601</v>
      </c>
      <c r="C884" s="11" t="s">
        <v>902</v>
      </c>
      <c r="D884" s="1" t="s">
        <v>8</v>
      </c>
      <c r="E884" s="1" t="s">
        <v>20</v>
      </c>
      <c r="F884" s="1" t="str">
        <f aca="false">TEXT(B884,"mmm-yyyy")</f>
        <v>Nov-2024</v>
      </c>
    </row>
    <row r="885" customFormat="false" ht="57.75" hidden="false" customHeight="true" outlineLevel="0" collapsed="false">
      <c r="A885" s="1" t="n">
        <v>5</v>
      </c>
      <c r="B885" s="10" t="n">
        <v>45625</v>
      </c>
      <c r="C885" s="11" t="s">
        <v>903</v>
      </c>
      <c r="D885" s="1" t="s">
        <v>8</v>
      </c>
      <c r="E885" s="1" t="s">
        <v>18</v>
      </c>
      <c r="F885" s="1" t="str">
        <f aca="false">TEXT(B885,"mmm-yyyy")</f>
        <v>Nov-2024</v>
      </c>
    </row>
    <row r="886" customFormat="false" ht="43.5" hidden="false" customHeight="true" outlineLevel="0" collapsed="false">
      <c r="A886" s="1" t="n">
        <v>2</v>
      </c>
      <c r="B886" s="10" t="n">
        <v>45580</v>
      </c>
      <c r="C886" s="11" t="s">
        <v>904</v>
      </c>
      <c r="D886" s="1" t="s">
        <v>8</v>
      </c>
      <c r="E886" s="1" t="s">
        <v>20</v>
      </c>
      <c r="F886" s="1" t="str">
        <f aca="false">TEXT(B886,"mmm-yyyy")</f>
        <v>Oct-2024</v>
      </c>
    </row>
    <row r="887" customFormat="false" ht="28.5" hidden="false" customHeight="true" outlineLevel="0" collapsed="false">
      <c r="A887" s="1" t="n">
        <v>5</v>
      </c>
      <c r="B887" s="10" t="n">
        <v>45641</v>
      </c>
      <c r="C887" s="11" t="s">
        <v>905</v>
      </c>
      <c r="D887" s="1" t="s">
        <v>8</v>
      </c>
      <c r="E887" s="1" t="s">
        <v>18</v>
      </c>
      <c r="F887" s="1" t="str">
        <f aca="false">TEXT(B887,"mmm-yyyy")</f>
        <v>Dec-2024</v>
      </c>
    </row>
    <row r="888" customFormat="false" ht="72" hidden="false" customHeight="true" outlineLevel="0" collapsed="false">
      <c r="A888" s="1" t="n">
        <v>1</v>
      </c>
      <c r="B888" s="10" t="n">
        <v>45582</v>
      </c>
      <c r="C888" s="11" t="s">
        <v>906</v>
      </c>
      <c r="D888" s="1" t="s">
        <v>8</v>
      </c>
      <c r="E888" s="1" t="s">
        <v>20</v>
      </c>
      <c r="F888" s="1" t="str">
        <f aca="false">TEXT(B888,"mmm-yyyy")</f>
        <v>Oct-2024</v>
      </c>
    </row>
    <row r="889" customFormat="false" ht="57.75" hidden="false" customHeight="true" outlineLevel="0" collapsed="false">
      <c r="A889" s="1" t="n">
        <v>1</v>
      </c>
      <c r="B889" s="10" t="n">
        <v>45651</v>
      </c>
      <c r="C889" s="11" t="s">
        <v>907</v>
      </c>
      <c r="D889" s="1" t="s">
        <v>8</v>
      </c>
      <c r="E889" s="1" t="s">
        <v>20</v>
      </c>
      <c r="F889" s="1" t="str">
        <f aca="false">TEXT(B889,"mmm-yyyy")</f>
        <v>Dec-2024</v>
      </c>
    </row>
    <row r="890" customFormat="false" ht="101.25" hidden="false" customHeight="true" outlineLevel="0" collapsed="false">
      <c r="A890" s="1" t="n">
        <v>1</v>
      </c>
      <c r="B890" s="10" t="n">
        <v>45586</v>
      </c>
      <c r="C890" s="11" t="s">
        <v>908</v>
      </c>
      <c r="D890" s="1" t="s">
        <v>8</v>
      </c>
      <c r="E890" s="1" t="s">
        <v>20</v>
      </c>
      <c r="F890" s="1" t="str">
        <f aca="false">TEXT(B890,"mmm-yyyy")</f>
        <v>Oct-2024</v>
      </c>
    </row>
    <row r="891" customFormat="false" ht="72" hidden="false" customHeight="true" outlineLevel="0" collapsed="false">
      <c r="A891" s="1" t="n">
        <v>1</v>
      </c>
      <c r="B891" s="10" t="n">
        <v>45597</v>
      </c>
      <c r="C891" s="11" t="s">
        <v>909</v>
      </c>
      <c r="D891" s="1" t="s">
        <v>8</v>
      </c>
      <c r="E891" s="1" t="s">
        <v>20</v>
      </c>
      <c r="F891" s="1" t="str">
        <f aca="false">TEXT(B891,"mmm-yyyy")</f>
        <v>Nov-2024</v>
      </c>
    </row>
    <row r="892" customFormat="false" ht="72" hidden="false" customHeight="true" outlineLevel="0" collapsed="false">
      <c r="A892" s="1" t="n">
        <v>3</v>
      </c>
      <c r="B892" s="10" t="n">
        <v>45601</v>
      </c>
      <c r="C892" s="11" t="s">
        <v>910</v>
      </c>
      <c r="D892" s="1" t="s">
        <v>8</v>
      </c>
      <c r="E892" s="1" t="s">
        <v>18</v>
      </c>
      <c r="F892" s="1" t="str">
        <f aca="false">TEXT(B892,"mmm-yyyy")</f>
        <v>Nov-2024</v>
      </c>
    </row>
    <row r="893" customFormat="false" ht="115.5" hidden="false" customHeight="true" outlineLevel="0" collapsed="false">
      <c r="A893" s="1" t="n">
        <v>1</v>
      </c>
      <c r="B893" s="10" t="n">
        <v>45643</v>
      </c>
      <c r="C893" s="11" t="s">
        <v>911</v>
      </c>
      <c r="D893" s="1" t="s">
        <v>8</v>
      </c>
      <c r="E893" s="1" t="s">
        <v>20</v>
      </c>
      <c r="F893" s="1" t="str">
        <f aca="false">TEXT(B893,"mmm-yyyy")</f>
        <v>Dec-2024</v>
      </c>
    </row>
    <row r="894" customFormat="false" ht="57.75" hidden="false" customHeight="true" outlineLevel="0" collapsed="false">
      <c r="A894" s="1" t="n">
        <v>5</v>
      </c>
      <c r="B894" s="10" t="n">
        <v>45589</v>
      </c>
      <c r="C894" s="11" t="s">
        <v>912</v>
      </c>
      <c r="D894" s="1" t="s">
        <v>8</v>
      </c>
      <c r="E894" s="1" t="s">
        <v>18</v>
      </c>
      <c r="F894" s="1" t="str">
        <f aca="false">TEXT(B894,"mmm-yyyy")</f>
        <v>Oct-2024</v>
      </c>
    </row>
    <row r="895" customFormat="false" ht="43.5" hidden="false" customHeight="true" outlineLevel="0" collapsed="false">
      <c r="A895" s="1" t="n">
        <v>1</v>
      </c>
      <c r="B895" s="10" t="n">
        <v>45655</v>
      </c>
      <c r="C895" s="11" t="s">
        <v>913</v>
      </c>
      <c r="D895" s="1" t="s">
        <v>8</v>
      </c>
      <c r="E895" s="1" t="s">
        <v>20</v>
      </c>
      <c r="F895" s="1" t="str">
        <f aca="false">TEXT(B895,"mmm-yyyy")</f>
        <v>Dec-2024</v>
      </c>
    </row>
    <row r="896" customFormat="false" ht="115.5" hidden="false" customHeight="true" outlineLevel="0" collapsed="false">
      <c r="A896" s="1" t="n">
        <v>1</v>
      </c>
      <c r="B896" s="10" t="n">
        <v>45643</v>
      </c>
      <c r="C896" s="11" t="s">
        <v>914</v>
      </c>
      <c r="D896" s="1" t="s">
        <v>8</v>
      </c>
      <c r="E896" s="1" t="s">
        <v>20</v>
      </c>
      <c r="F896" s="1" t="str">
        <f aca="false">TEXT(B896,"mmm-yyyy")</f>
        <v>Dec-2024</v>
      </c>
    </row>
    <row r="897" customFormat="false" ht="115.5" hidden="false" customHeight="true" outlineLevel="0" collapsed="false">
      <c r="A897" s="1" t="n">
        <v>1</v>
      </c>
      <c r="B897" s="10" t="n">
        <v>45638</v>
      </c>
      <c r="C897" s="11" t="s">
        <v>915</v>
      </c>
      <c r="D897" s="1" t="s">
        <v>8</v>
      </c>
      <c r="E897" s="1" t="s">
        <v>20</v>
      </c>
      <c r="F897" s="1" t="str">
        <f aca="false">TEXT(B897,"mmm-yyyy")</f>
        <v>Dec-2024</v>
      </c>
    </row>
    <row r="898" customFormat="false" ht="57.75" hidden="false" customHeight="true" outlineLevel="0" collapsed="false">
      <c r="A898" s="1" t="n">
        <v>2</v>
      </c>
      <c r="B898" s="10" t="n">
        <v>45643</v>
      </c>
      <c r="C898" s="11" t="s">
        <v>916</v>
      </c>
      <c r="D898" s="1" t="s">
        <v>8</v>
      </c>
      <c r="E898" s="1" t="s">
        <v>18</v>
      </c>
      <c r="F898" s="1" t="str">
        <f aca="false">TEXT(B898,"mmm-yyyy")</f>
        <v>Dec-2024</v>
      </c>
    </row>
    <row r="899" customFormat="false" ht="115.5" hidden="false" customHeight="true" outlineLevel="0" collapsed="false">
      <c r="A899" s="1" t="n">
        <v>1</v>
      </c>
      <c r="B899" s="10" t="n">
        <v>45643</v>
      </c>
      <c r="C899" s="11" t="s">
        <v>917</v>
      </c>
      <c r="D899" s="1" t="s">
        <v>8</v>
      </c>
      <c r="E899" s="1" t="s">
        <v>18</v>
      </c>
      <c r="F899" s="1" t="str">
        <f aca="false">TEXT(B899,"mmm-yyyy")</f>
        <v>Dec-2024</v>
      </c>
    </row>
    <row r="900" customFormat="false" ht="101.25" hidden="false" customHeight="true" outlineLevel="0" collapsed="false">
      <c r="A900" s="1" t="n">
        <v>5</v>
      </c>
      <c r="B900" s="10" t="n">
        <v>45638</v>
      </c>
      <c r="C900" s="11" t="s">
        <v>918</v>
      </c>
      <c r="D900" s="1" t="s">
        <v>8</v>
      </c>
      <c r="E900" s="1" t="s">
        <v>18</v>
      </c>
      <c r="F900" s="1" t="str">
        <f aca="false">TEXT(B900,"mmm-yyyy")</f>
        <v>Dec-2024</v>
      </c>
    </row>
    <row r="901" customFormat="false" ht="43.5" hidden="false" customHeight="true" outlineLevel="0" collapsed="false">
      <c r="A901" s="1" t="n">
        <v>1</v>
      </c>
      <c r="B901" s="10" t="n">
        <v>45638</v>
      </c>
      <c r="C901" s="11" t="s">
        <v>919</v>
      </c>
      <c r="D901" s="1" t="s">
        <v>8</v>
      </c>
      <c r="E901" s="1" t="s">
        <v>20</v>
      </c>
      <c r="F901" s="1" t="str">
        <f aca="false">TEXT(B901,"mmm-yyyy")</f>
        <v>Dec-2024</v>
      </c>
    </row>
    <row r="902" customFormat="false" ht="101.25" hidden="false" customHeight="true" outlineLevel="0" collapsed="false">
      <c r="A902" s="1" t="n">
        <v>1</v>
      </c>
      <c r="B902" s="10" t="n">
        <v>45626</v>
      </c>
      <c r="C902" s="11" t="s">
        <v>920</v>
      </c>
      <c r="D902" s="1" t="s">
        <v>8</v>
      </c>
      <c r="E902" s="1" t="s">
        <v>20</v>
      </c>
      <c r="F902" s="1" t="str">
        <f aca="false">TEXT(B902,"mmm-yyyy")</f>
        <v>Nov-2024</v>
      </c>
    </row>
    <row r="903" customFormat="false" ht="43.5" hidden="false" customHeight="true" outlineLevel="0" collapsed="false">
      <c r="A903" s="1" t="n">
        <v>1</v>
      </c>
      <c r="B903" s="10" t="n">
        <v>45655</v>
      </c>
      <c r="C903" s="11" t="s">
        <v>921</v>
      </c>
      <c r="D903" s="1" t="s">
        <v>8</v>
      </c>
      <c r="E903" s="1" t="s">
        <v>18</v>
      </c>
      <c r="F903" s="1" t="str">
        <f aca="false">TEXT(B903,"mmm-yyyy")</f>
        <v>Dec-2024</v>
      </c>
    </row>
    <row r="904" customFormat="false" ht="43.5" hidden="false" customHeight="true" outlineLevel="0" collapsed="false">
      <c r="A904" s="1" t="n">
        <v>5</v>
      </c>
      <c r="B904" s="10" t="n">
        <v>45598</v>
      </c>
      <c r="C904" s="11" t="s">
        <v>922</v>
      </c>
      <c r="D904" s="1" t="s">
        <v>8</v>
      </c>
      <c r="E904" s="1" t="s">
        <v>18</v>
      </c>
      <c r="F904" s="1" t="str">
        <f aca="false">TEXT(B904,"mmm-yyyy")</f>
        <v>Nov-2024</v>
      </c>
    </row>
    <row r="905" customFormat="false" ht="57.75" hidden="false" customHeight="true" outlineLevel="0" collapsed="false">
      <c r="A905" s="1" t="n">
        <v>1</v>
      </c>
      <c r="B905" s="10" t="n">
        <v>45593</v>
      </c>
      <c r="C905" s="11" t="s">
        <v>923</v>
      </c>
      <c r="D905" s="1" t="s">
        <v>8</v>
      </c>
      <c r="E905" s="1" t="s">
        <v>20</v>
      </c>
      <c r="F905" s="1" t="str">
        <f aca="false">TEXT(B905,"mmm-yyyy")</f>
        <v>Oct-2024</v>
      </c>
    </row>
    <row r="906" customFormat="false" ht="115.5" hidden="false" customHeight="true" outlineLevel="0" collapsed="false">
      <c r="A906" s="1" t="n">
        <v>3</v>
      </c>
      <c r="B906" s="10" t="n">
        <v>45636</v>
      </c>
      <c r="C906" s="11" t="s">
        <v>924</v>
      </c>
      <c r="D906" s="1" t="s">
        <v>8</v>
      </c>
      <c r="E906" s="1" t="s">
        <v>18</v>
      </c>
      <c r="F906" s="1" t="str">
        <f aca="false">TEXT(B906,"mmm-yyyy")</f>
        <v>Dec-2024</v>
      </c>
    </row>
    <row r="907" customFormat="false" ht="72" hidden="false" customHeight="true" outlineLevel="0" collapsed="false">
      <c r="A907" s="1" t="n">
        <v>1</v>
      </c>
      <c r="B907" s="10" t="n">
        <v>45606</v>
      </c>
      <c r="C907" s="11" t="s">
        <v>925</v>
      </c>
      <c r="D907" s="1" t="s">
        <v>8</v>
      </c>
      <c r="E907" s="1" t="s">
        <v>20</v>
      </c>
      <c r="F907" s="1" t="str">
        <f aca="false">TEXT(B907,"mmm-yyyy")</f>
        <v>Nov-2024</v>
      </c>
    </row>
    <row r="908" customFormat="false" ht="57.75" hidden="false" customHeight="true" outlineLevel="0" collapsed="false">
      <c r="A908" s="1" t="n">
        <v>5</v>
      </c>
      <c r="B908" s="10" t="n">
        <v>45619</v>
      </c>
      <c r="C908" s="11" t="s">
        <v>926</v>
      </c>
      <c r="D908" s="1" t="s">
        <v>8</v>
      </c>
      <c r="E908" s="1" t="s">
        <v>18</v>
      </c>
      <c r="F908" s="1" t="str">
        <f aca="false">TEXT(B908,"mmm-yyyy")</f>
        <v>Nov-2024</v>
      </c>
    </row>
    <row r="909" customFormat="false" ht="87" hidden="false" customHeight="true" outlineLevel="0" collapsed="false">
      <c r="A909" s="1" t="n">
        <v>1</v>
      </c>
      <c r="B909" s="10" t="n">
        <v>45595</v>
      </c>
      <c r="C909" s="11" t="s">
        <v>927</v>
      </c>
      <c r="D909" s="1" t="s">
        <v>8</v>
      </c>
      <c r="E909" s="1" t="s">
        <v>18</v>
      </c>
      <c r="F909" s="1" t="str">
        <f aca="false">TEXT(B909,"mmm-yyyy")</f>
        <v>Oct-2024</v>
      </c>
    </row>
    <row r="910" customFormat="false" ht="72" hidden="false" customHeight="true" outlineLevel="0" collapsed="false">
      <c r="A910" s="1" t="n">
        <v>2</v>
      </c>
      <c r="B910" s="10" t="n">
        <v>45607</v>
      </c>
      <c r="C910" s="11" t="s">
        <v>928</v>
      </c>
      <c r="D910" s="1" t="s">
        <v>8</v>
      </c>
      <c r="E910" s="1" t="s">
        <v>20</v>
      </c>
      <c r="F910" s="1" t="str">
        <f aca="false">TEXT(B910,"mmm-yyyy")</f>
        <v>Nov-2024</v>
      </c>
    </row>
    <row r="911" customFormat="false" ht="72" hidden="false" customHeight="true" outlineLevel="0" collapsed="false">
      <c r="A911" s="1" t="n">
        <v>5</v>
      </c>
      <c r="B911" s="10" t="n">
        <v>45628</v>
      </c>
      <c r="C911" s="11" t="s">
        <v>929</v>
      </c>
      <c r="D911" s="1" t="s">
        <v>8</v>
      </c>
      <c r="E911" s="1" t="s">
        <v>18</v>
      </c>
      <c r="F911" s="1" t="str">
        <f aca="false">TEXT(B911,"mmm-yyyy")</f>
        <v>Dec-2024</v>
      </c>
    </row>
    <row r="912" customFormat="false" ht="72" hidden="false" customHeight="true" outlineLevel="0" collapsed="false">
      <c r="A912" s="1" t="n">
        <v>1</v>
      </c>
      <c r="B912" s="10" t="n">
        <v>45585</v>
      </c>
      <c r="C912" s="11" t="s">
        <v>930</v>
      </c>
      <c r="D912" s="1" t="s">
        <v>8</v>
      </c>
      <c r="E912" s="1" t="s">
        <v>20</v>
      </c>
      <c r="F912" s="1" t="str">
        <f aca="false">TEXT(B912,"mmm-yyyy")</f>
        <v>Oct-2024</v>
      </c>
    </row>
    <row r="913" customFormat="false" ht="57.75" hidden="false" customHeight="true" outlineLevel="0" collapsed="false">
      <c r="A913" s="1" t="n">
        <v>1</v>
      </c>
      <c r="B913" s="10" t="n">
        <v>45653</v>
      </c>
      <c r="C913" s="11" t="s">
        <v>931</v>
      </c>
      <c r="D913" s="1" t="s">
        <v>8</v>
      </c>
      <c r="E913" s="1" t="s">
        <v>20</v>
      </c>
      <c r="F913" s="1" t="str">
        <f aca="false">TEXT(B913,"mmm-yyyy")</f>
        <v>Dec-2024</v>
      </c>
    </row>
    <row r="914" customFormat="false" ht="57.75" hidden="false" customHeight="true" outlineLevel="0" collapsed="false">
      <c r="A914" s="1" t="n">
        <v>2</v>
      </c>
      <c r="B914" s="10" t="n">
        <v>45612</v>
      </c>
      <c r="C914" s="11" t="s">
        <v>932</v>
      </c>
      <c r="D914" s="1" t="s">
        <v>8</v>
      </c>
      <c r="E914" s="1" t="s">
        <v>20</v>
      </c>
      <c r="F914" s="1" t="str">
        <f aca="false">TEXT(B914,"mmm-yyyy")</f>
        <v>Nov-2024</v>
      </c>
    </row>
    <row r="915" customFormat="false" ht="43.5" hidden="false" customHeight="true" outlineLevel="0" collapsed="false">
      <c r="A915" s="1" t="n">
        <v>5</v>
      </c>
      <c r="B915" s="10" t="n">
        <v>45638</v>
      </c>
      <c r="C915" s="11" t="s">
        <v>933</v>
      </c>
      <c r="D915" s="1" t="s">
        <v>8</v>
      </c>
      <c r="E915" s="1" t="s">
        <v>18</v>
      </c>
      <c r="F915" s="1" t="str">
        <f aca="false">TEXT(B915,"mmm-yyyy")</f>
        <v>Dec-2024</v>
      </c>
    </row>
    <row r="916" customFormat="false" ht="130.5" hidden="false" customHeight="true" outlineLevel="0" collapsed="false">
      <c r="A916" s="1" t="n">
        <v>1</v>
      </c>
      <c r="B916" s="10" t="n">
        <v>45618</v>
      </c>
      <c r="C916" s="11" t="s">
        <v>934</v>
      </c>
      <c r="D916" s="1" t="s">
        <v>8</v>
      </c>
      <c r="E916" s="1" t="s">
        <v>20</v>
      </c>
      <c r="F916" s="1" t="str">
        <f aca="false">TEXT(B916,"mmm-yyyy")</f>
        <v>Nov-2024</v>
      </c>
    </row>
    <row r="917" customFormat="false" ht="115.5" hidden="false" customHeight="true" outlineLevel="0" collapsed="false">
      <c r="A917" s="1" t="n">
        <v>5</v>
      </c>
      <c r="B917" s="10" t="n">
        <v>45589</v>
      </c>
      <c r="C917" s="11" t="s">
        <v>935</v>
      </c>
      <c r="D917" s="1" t="s">
        <v>8</v>
      </c>
      <c r="E917" s="1" t="s">
        <v>18</v>
      </c>
      <c r="F917" s="1" t="str">
        <f aca="false">TEXT(B917,"mmm-yyyy")</f>
        <v>Oct-2024</v>
      </c>
    </row>
    <row r="918" customFormat="false" ht="72" hidden="false" customHeight="true" outlineLevel="0" collapsed="false">
      <c r="A918" s="1" t="n">
        <v>1</v>
      </c>
      <c r="B918" s="10" t="n">
        <v>45591</v>
      </c>
      <c r="C918" s="11" t="s">
        <v>936</v>
      </c>
      <c r="D918" s="1" t="s">
        <v>8</v>
      </c>
      <c r="E918" s="1" t="s">
        <v>18</v>
      </c>
      <c r="F918" s="1" t="str">
        <f aca="false">TEXT(B918,"mmm-yyyy")</f>
        <v>Oct-2024</v>
      </c>
    </row>
    <row r="919" customFormat="false" ht="57.75" hidden="false" customHeight="true" outlineLevel="0" collapsed="false">
      <c r="A919" s="1" t="n">
        <v>5</v>
      </c>
      <c r="B919" s="10" t="n">
        <v>45578</v>
      </c>
      <c r="C919" s="11" t="s">
        <v>937</v>
      </c>
      <c r="D919" s="1" t="s">
        <v>8</v>
      </c>
      <c r="E919" s="1" t="s">
        <v>18</v>
      </c>
      <c r="F919" s="1" t="str">
        <f aca="false">TEXT(B919,"mmm-yyyy")</f>
        <v>Oct-2024</v>
      </c>
    </row>
    <row r="920" customFormat="false" ht="72" hidden="false" customHeight="true" outlineLevel="0" collapsed="false">
      <c r="A920" s="1" t="n">
        <v>1</v>
      </c>
      <c r="B920" s="10" t="n">
        <v>45606</v>
      </c>
      <c r="C920" s="11" t="s">
        <v>938</v>
      </c>
      <c r="D920" s="1" t="s">
        <v>8</v>
      </c>
      <c r="E920" s="1" t="s">
        <v>18</v>
      </c>
      <c r="F920" s="1" t="str">
        <f aca="false">TEXT(B920,"mmm-yyyy")</f>
        <v>Nov-2024</v>
      </c>
    </row>
    <row r="921" customFormat="false" ht="43.5" hidden="false" customHeight="true" outlineLevel="0" collapsed="false">
      <c r="A921" s="1" t="n">
        <v>1</v>
      </c>
      <c r="B921" s="10" t="n">
        <v>45595</v>
      </c>
      <c r="C921" s="11" t="s">
        <v>939</v>
      </c>
      <c r="D921" s="1" t="s">
        <v>8</v>
      </c>
      <c r="E921" s="1" t="s">
        <v>20</v>
      </c>
      <c r="F921" s="1" t="str">
        <f aca="false">TEXT(B921,"mmm-yyyy")</f>
        <v>Oct-2024</v>
      </c>
    </row>
    <row r="922" customFormat="false" ht="57.75" hidden="false" customHeight="true" outlineLevel="0" collapsed="false">
      <c r="A922" s="1" t="n">
        <v>1</v>
      </c>
      <c r="B922" s="10" t="n">
        <v>45589</v>
      </c>
      <c r="C922" s="11" t="s">
        <v>940</v>
      </c>
      <c r="D922" s="1" t="s">
        <v>8</v>
      </c>
      <c r="E922" s="1" t="s">
        <v>20</v>
      </c>
      <c r="F922" s="1" t="str">
        <f aca="false">TEXT(B922,"mmm-yyyy")</f>
        <v>Oct-2024</v>
      </c>
    </row>
    <row r="923" customFormat="false" ht="72" hidden="false" customHeight="true" outlineLevel="0" collapsed="false">
      <c r="A923" s="1" t="n">
        <v>3</v>
      </c>
      <c r="B923" s="10" t="n">
        <v>45603</v>
      </c>
      <c r="C923" s="11" t="s">
        <v>941</v>
      </c>
      <c r="D923" s="1" t="s">
        <v>8</v>
      </c>
      <c r="E923" s="1" t="s">
        <v>18</v>
      </c>
      <c r="F923" s="1" t="str">
        <f aca="false">TEXT(B923,"mmm-yyyy")</f>
        <v>Nov-2024</v>
      </c>
    </row>
    <row r="924" customFormat="false" ht="57.75" hidden="false" customHeight="true" outlineLevel="0" collapsed="false">
      <c r="A924" s="1" t="n">
        <v>1</v>
      </c>
      <c r="B924" s="10" t="n">
        <v>45574</v>
      </c>
      <c r="C924" s="11" t="s">
        <v>942</v>
      </c>
      <c r="D924" s="1" t="s">
        <v>8</v>
      </c>
      <c r="E924" s="1" t="s">
        <v>20</v>
      </c>
      <c r="F924" s="1" t="str">
        <f aca="false">TEXT(B924,"mmm-yyyy")</f>
        <v>Oct-2024</v>
      </c>
    </row>
    <row r="925" customFormat="false" ht="43.5" hidden="false" customHeight="true" outlineLevel="0" collapsed="false">
      <c r="A925" s="1" t="n">
        <v>5</v>
      </c>
      <c r="B925" s="10" t="n">
        <v>45583</v>
      </c>
      <c r="C925" s="11" t="s">
        <v>943</v>
      </c>
      <c r="D925" s="1" t="s">
        <v>8</v>
      </c>
      <c r="E925" s="1" t="s">
        <v>18</v>
      </c>
      <c r="F925" s="1" t="str">
        <f aca="false">TEXT(B925,"mmm-yyyy")</f>
        <v>Oct-2024</v>
      </c>
    </row>
    <row r="926" customFormat="false" ht="57.75" hidden="false" customHeight="true" outlineLevel="0" collapsed="false">
      <c r="A926" s="1" t="n">
        <v>5</v>
      </c>
      <c r="B926" s="10" t="n">
        <v>45604</v>
      </c>
      <c r="C926" s="11" t="s">
        <v>944</v>
      </c>
      <c r="D926" s="1" t="s">
        <v>8</v>
      </c>
      <c r="E926" s="1" t="s">
        <v>18</v>
      </c>
      <c r="F926" s="1" t="str">
        <f aca="false">TEXT(B926,"mmm-yyyy")</f>
        <v>Nov-2024</v>
      </c>
    </row>
    <row r="927" customFormat="false" ht="57.75" hidden="false" customHeight="true" outlineLevel="0" collapsed="false">
      <c r="A927" s="1" t="n">
        <v>5</v>
      </c>
      <c r="B927" s="10" t="n">
        <v>45584</v>
      </c>
      <c r="C927" s="11" t="s">
        <v>945</v>
      </c>
      <c r="D927" s="1" t="s">
        <v>8</v>
      </c>
      <c r="E927" s="1" t="s">
        <v>18</v>
      </c>
      <c r="F927" s="1" t="str">
        <f aca="false">TEXT(B927,"mmm-yyyy")</f>
        <v>Oct-2024</v>
      </c>
    </row>
    <row r="928" customFormat="false" ht="72" hidden="false" customHeight="true" outlineLevel="0" collapsed="false">
      <c r="A928" s="1" t="n">
        <v>1</v>
      </c>
      <c r="B928" s="10" t="n">
        <v>45601</v>
      </c>
      <c r="C928" s="11" t="s">
        <v>946</v>
      </c>
      <c r="D928" s="1" t="s">
        <v>8</v>
      </c>
      <c r="E928" s="1" t="s">
        <v>18</v>
      </c>
      <c r="F928" s="1" t="str">
        <f aca="false">TEXT(B928,"mmm-yyyy")</f>
        <v>Nov-2024</v>
      </c>
    </row>
    <row r="929" customFormat="false" ht="57.75" hidden="false" customHeight="true" outlineLevel="0" collapsed="false">
      <c r="A929" s="1" t="n">
        <v>5</v>
      </c>
      <c r="B929" s="10" t="n">
        <v>45598</v>
      </c>
      <c r="C929" s="11" t="s">
        <v>947</v>
      </c>
      <c r="D929" s="1" t="s">
        <v>8</v>
      </c>
      <c r="E929" s="1" t="s">
        <v>18</v>
      </c>
      <c r="F929" s="1" t="str">
        <f aca="false">TEXT(B929,"mmm-yyyy")</f>
        <v>Nov-2024</v>
      </c>
    </row>
    <row r="930" customFormat="false" ht="87" hidden="false" customHeight="true" outlineLevel="0" collapsed="false">
      <c r="A930" s="1" t="n">
        <v>1</v>
      </c>
      <c r="B930" s="10" t="n">
        <v>45610</v>
      </c>
      <c r="C930" s="11" t="s">
        <v>948</v>
      </c>
      <c r="D930" s="1" t="s">
        <v>8</v>
      </c>
      <c r="E930" s="1" t="s">
        <v>20</v>
      </c>
      <c r="F930" s="1" t="str">
        <f aca="false">TEXT(B930,"mmm-yyyy")</f>
        <v>Nov-2024</v>
      </c>
    </row>
    <row r="931" customFormat="false" ht="57.75" hidden="false" customHeight="true" outlineLevel="0" collapsed="false">
      <c r="A931" s="1" t="n">
        <v>2</v>
      </c>
      <c r="B931" s="10" t="n">
        <v>45580</v>
      </c>
      <c r="C931" s="11" t="s">
        <v>949</v>
      </c>
      <c r="D931" s="1" t="s">
        <v>8</v>
      </c>
      <c r="E931" s="1" t="s">
        <v>20</v>
      </c>
      <c r="F931" s="1" t="str">
        <f aca="false">TEXT(B931,"mmm-yyyy")</f>
        <v>Oct-2024</v>
      </c>
    </row>
    <row r="932" customFormat="false" ht="72" hidden="false" customHeight="true" outlineLevel="0" collapsed="false">
      <c r="A932" s="1" t="n">
        <v>1</v>
      </c>
      <c r="B932" s="10" t="n">
        <v>45597</v>
      </c>
      <c r="C932" s="11" t="s">
        <v>950</v>
      </c>
      <c r="D932" s="1" t="s">
        <v>8</v>
      </c>
      <c r="E932" s="1" t="s">
        <v>20</v>
      </c>
      <c r="F932" s="1" t="str">
        <f aca="false">TEXT(B932,"mmm-yyyy")</f>
        <v>Nov-2024</v>
      </c>
    </row>
    <row r="933" customFormat="false" ht="57.75" hidden="false" customHeight="true" outlineLevel="0" collapsed="false">
      <c r="A933" s="1" t="n">
        <v>1</v>
      </c>
      <c r="B933" s="10" t="n">
        <v>45617</v>
      </c>
      <c r="C933" s="11" t="s">
        <v>951</v>
      </c>
      <c r="D933" s="1" t="s">
        <v>8</v>
      </c>
      <c r="E933" s="1" t="s">
        <v>20</v>
      </c>
      <c r="F933" s="1" t="str">
        <f aca="false">TEXT(B933,"mmm-yyyy")</f>
        <v>Nov-2024</v>
      </c>
    </row>
    <row r="934" customFormat="false" ht="87" hidden="false" customHeight="true" outlineLevel="0" collapsed="false">
      <c r="A934" s="1" t="n">
        <v>1</v>
      </c>
      <c r="B934" s="10" t="n">
        <v>45575</v>
      </c>
      <c r="C934" s="11" t="s">
        <v>952</v>
      </c>
      <c r="D934" s="1" t="s">
        <v>8</v>
      </c>
      <c r="E934" s="1" t="s">
        <v>20</v>
      </c>
      <c r="F934" s="1" t="str">
        <f aca="false">TEXT(B934,"mmm-yyyy")</f>
        <v>Oct-2024</v>
      </c>
    </row>
    <row r="935" customFormat="false" ht="87" hidden="false" customHeight="true" outlineLevel="0" collapsed="false">
      <c r="A935" s="1" t="n">
        <v>1</v>
      </c>
      <c r="B935" s="10" t="n">
        <v>45616</v>
      </c>
      <c r="C935" s="11" t="s">
        <v>953</v>
      </c>
      <c r="D935" s="1" t="s">
        <v>8</v>
      </c>
      <c r="E935" s="1" t="s">
        <v>20</v>
      </c>
      <c r="F935" s="1" t="str">
        <f aca="false">TEXT(B935,"mmm-yyyy")</f>
        <v>Nov-2024</v>
      </c>
    </row>
    <row r="936" customFormat="false" ht="115.5" hidden="false" customHeight="true" outlineLevel="0" collapsed="false">
      <c r="A936" s="1" t="n">
        <v>1</v>
      </c>
      <c r="B936" s="10" t="n">
        <v>45601</v>
      </c>
      <c r="C936" s="11" t="s">
        <v>954</v>
      </c>
      <c r="D936" s="1" t="s">
        <v>8</v>
      </c>
      <c r="E936" s="1" t="s">
        <v>18</v>
      </c>
      <c r="F936" s="1" t="str">
        <f aca="false">TEXT(B936,"mmm-yyyy")</f>
        <v>Nov-2024</v>
      </c>
    </row>
    <row r="937" customFormat="false" ht="115.5" hidden="false" customHeight="true" outlineLevel="0" collapsed="false">
      <c r="A937" s="1" t="n">
        <v>1</v>
      </c>
      <c r="B937" s="10" t="n">
        <v>45586</v>
      </c>
      <c r="C937" s="11" t="s">
        <v>955</v>
      </c>
      <c r="D937" s="1" t="s">
        <v>8</v>
      </c>
      <c r="E937" s="1" t="s">
        <v>18</v>
      </c>
      <c r="F937" s="1" t="str">
        <f aca="false">TEXT(B937,"mmm-yyyy")</f>
        <v>Oct-2024</v>
      </c>
    </row>
    <row r="938" customFormat="false" ht="115.5" hidden="false" customHeight="true" outlineLevel="0" collapsed="false">
      <c r="A938" s="1" t="n">
        <v>1</v>
      </c>
      <c r="B938" s="10" t="n">
        <v>45631</v>
      </c>
      <c r="C938" s="11" t="s">
        <v>956</v>
      </c>
      <c r="D938" s="1" t="s">
        <v>8</v>
      </c>
      <c r="E938" s="1" t="s">
        <v>20</v>
      </c>
      <c r="F938" s="1" t="str">
        <f aca="false">TEXT(B938,"mmm-yyyy")</f>
        <v>Dec-2024</v>
      </c>
    </row>
    <row r="939" customFormat="false" ht="87" hidden="false" customHeight="true" outlineLevel="0" collapsed="false">
      <c r="A939" s="1" t="n">
        <v>5</v>
      </c>
      <c r="B939" s="10" t="n">
        <v>45572</v>
      </c>
      <c r="C939" s="11" t="s">
        <v>957</v>
      </c>
      <c r="D939" s="1" t="s">
        <v>8</v>
      </c>
      <c r="E939" s="1" t="s">
        <v>18</v>
      </c>
      <c r="F939" s="1" t="str">
        <f aca="false">TEXT(B939,"mmm-yyyy")</f>
        <v>Oct-2024</v>
      </c>
    </row>
    <row r="940" customFormat="false" ht="87" hidden="false" customHeight="true" outlineLevel="0" collapsed="false">
      <c r="A940" s="1" t="n">
        <v>5</v>
      </c>
      <c r="B940" s="10" t="n">
        <v>45610</v>
      </c>
      <c r="C940" s="11" t="s">
        <v>958</v>
      </c>
      <c r="D940" s="1" t="s">
        <v>8</v>
      </c>
      <c r="E940" s="1" t="s">
        <v>18</v>
      </c>
      <c r="F940" s="1" t="str">
        <f aca="false">TEXT(B940,"mmm-yyyy")</f>
        <v>Nov-2024</v>
      </c>
    </row>
    <row r="941" customFormat="false" ht="57.75" hidden="false" customHeight="true" outlineLevel="0" collapsed="false">
      <c r="A941" s="1" t="n">
        <v>4</v>
      </c>
      <c r="B941" s="10" t="n">
        <v>45629</v>
      </c>
      <c r="C941" s="11" t="s">
        <v>959</v>
      </c>
      <c r="D941" s="1" t="s">
        <v>8</v>
      </c>
      <c r="E941" s="1" t="s">
        <v>18</v>
      </c>
      <c r="F941" s="1" t="str">
        <f aca="false">TEXT(B941,"mmm-yyyy")</f>
        <v>Dec-2024</v>
      </c>
    </row>
    <row r="942" customFormat="false" ht="43.5" hidden="false" customHeight="true" outlineLevel="0" collapsed="false">
      <c r="A942" s="1" t="n">
        <v>5</v>
      </c>
      <c r="B942" s="10" t="n">
        <v>45636</v>
      </c>
      <c r="C942" s="11" t="s">
        <v>960</v>
      </c>
      <c r="D942" s="1" t="s">
        <v>8</v>
      </c>
      <c r="E942" s="1" t="s">
        <v>18</v>
      </c>
      <c r="F942" s="1" t="str">
        <f aca="false">TEXT(B942,"mmm-yyyy")</f>
        <v>Dec-2024</v>
      </c>
    </row>
    <row r="943" customFormat="false" ht="43.5" hidden="false" customHeight="true" outlineLevel="0" collapsed="false">
      <c r="A943" s="1" t="n">
        <v>4</v>
      </c>
      <c r="B943" s="10" t="n">
        <v>45649</v>
      </c>
      <c r="C943" s="11" t="s">
        <v>961</v>
      </c>
      <c r="D943" s="1" t="s">
        <v>8</v>
      </c>
      <c r="E943" s="1" t="s">
        <v>18</v>
      </c>
      <c r="F943" s="1" t="str">
        <f aca="false">TEXT(B943,"mmm-yyyy")</f>
        <v>Dec-2024</v>
      </c>
    </row>
    <row r="944" customFormat="false" ht="57.75" hidden="false" customHeight="true" outlineLevel="0" collapsed="false">
      <c r="A944" s="1" t="n">
        <v>3</v>
      </c>
      <c r="B944" s="10" t="n">
        <v>45619</v>
      </c>
      <c r="C944" s="11" t="s">
        <v>962</v>
      </c>
      <c r="D944" s="1" t="s">
        <v>8</v>
      </c>
      <c r="E944" s="1" t="s">
        <v>18</v>
      </c>
      <c r="F944" s="1" t="str">
        <f aca="false">TEXT(B944,"mmm-yyyy")</f>
        <v>Nov-2024</v>
      </c>
    </row>
    <row r="945" customFormat="false" ht="87" hidden="false" customHeight="true" outlineLevel="0" collapsed="false">
      <c r="A945" s="1" t="n">
        <v>1</v>
      </c>
      <c r="B945" s="10" t="n">
        <v>45634</v>
      </c>
      <c r="C945" s="11" t="s">
        <v>963</v>
      </c>
      <c r="D945" s="1" t="s">
        <v>8</v>
      </c>
      <c r="E945" s="1" t="s">
        <v>18</v>
      </c>
      <c r="F945" s="1" t="str">
        <f aca="false">TEXT(B945,"mmm-yyyy")</f>
        <v>Dec-2024</v>
      </c>
    </row>
    <row r="946" customFormat="false" ht="43.5" hidden="false" customHeight="true" outlineLevel="0" collapsed="false">
      <c r="A946" s="1" t="n">
        <v>1</v>
      </c>
      <c r="B946" s="10" t="n">
        <v>45618</v>
      </c>
      <c r="C946" s="11" t="s">
        <v>964</v>
      </c>
      <c r="D946" s="1" t="s">
        <v>8</v>
      </c>
      <c r="E946" s="1" t="s">
        <v>20</v>
      </c>
      <c r="F946" s="1" t="str">
        <f aca="false">TEXT(B946,"mmm-yyyy")</f>
        <v>Nov-2024</v>
      </c>
    </row>
    <row r="947" customFormat="false" ht="57.75" hidden="false" customHeight="true" outlineLevel="0" collapsed="false">
      <c r="A947" s="1" t="n">
        <v>5</v>
      </c>
      <c r="B947" s="10" t="n">
        <v>45630</v>
      </c>
      <c r="C947" s="11" t="s">
        <v>965</v>
      </c>
      <c r="D947" s="1" t="s">
        <v>8</v>
      </c>
      <c r="E947" s="1" t="s">
        <v>18</v>
      </c>
      <c r="F947" s="1" t="str">
        <f aca="false">TEXT(B947,"mmm-yyyy")</f>
        <v>Dec-2024</v>
      </c>
    </row>
    <row r="948" customFormat="false" ht="43.5" hidden="false" customHeight="true" outlineLevel="0" collapsed="false">
      <c r="A948" s="1" t="n">
        <v>5</v>
      </c>
      <c r="B948" s="10" t="n">
        <v>45587</v>
      </c>
      <c r="C948" s="11" t="s">
        <v>966</v>
      </c>
      <c r="D948" s="1" t="s">
        <v>8</v>
      </c>
      <c r="E948" s="1" t="s">
        <v>18</v>
      </c>
      <c r="F948" s="1" t="str">
        <f aca="false">TEXT(B948,"mmm-yyyy")</f>
        <v>Oct-2024</v>
      </c>
    </row>
    <row r="949" customFormat="false" ht="57.75" hidden="false" customHeight="true" outlineLevel="0" collapsed="false">
      <c r="A949" s="1" t="n">
        <v>5</v>
      </c>
      <c r="B949" s="10" t="n">
        <v>45624</v>
      </c>
      <c r="C949" s="11" t="s">
        <v>967</v>
      </c>
      <c r="D949" s="1" t="s">
        <v>8</v>
      </c>
      <c r="E949" s="1" t="s">
        <v>18</v>
      </c>
      <c r="F949" s="1" t="str">
        <f aca="false">TEXT(B949,"mmm-yyyy")</f>
        <v>Nov-2024</v>
      </c>
    </row>
    <row r="950" customFormat="false" ht="87" hidden="false" customHeight="true" outlineLevel="0" collapsed="false">
      <c r="A950" s="1" t="n">
        <v>2</v>
      </c>
      <c r="B950" s="10" t="n">
        <v>45609</v>
      </c>
      <c r="C950" s="11" t="s">
        <v>968</v>
      </c>
      <c r="D950" s="1" t="s">
        <v>8</v>
      </c>
      <c r="E950" s="1" t="s">
        <v>20</v>
      </c>
      <c r="F950" s="1" t="str">
        <f aca="false">TEXT(B950,"mmm-yyyy")</f>
        <v>Nov-2024</v>
      </c>
    </row>
    <row r="951" customFormat="false" ht="57.75" hidden="false" customHeight="true" outlineLevel="0" collapsed="false">
      <c r="A951" s="1" t="n">
        <v>1</v>
      </c>
      <c r="B951" s="10" t="n">
        <v>45589</v>
      </c>
      <c r="C951" s="11" t="s">
        <v>969</v>
      </c>
      <c r="D951" s="1" t="s">
        <v>8</v>
      </c>
      <c r="E951" s="1" t="s">
        <v>20</v>
      </c>
      <c r="F951" s="1" t="str">
        <f aca="false">TEXT(B951,"mmm-yyyy")</f>
        <v>Oct-2024</v>
      </c>
    </row>
    <row r="952" customFormat="false" ht="72" hidden="false" customHeight="true" outlineLevel="0" collapsed="false">
      <c r="A952" s="1" t="n">
        <v>1</v>
      </c>
      <c r="B952" s="10" t="n">
        <v>45590</v>
      </c>
      <c r="C952" s="11" t="s">
        <v>970</v>
      </c>
      <c r="D952" s="1" t="s">
        <v>8</v>
      </c>
      <c r="E952" s="1" t="s">
        <v>20</v>
      </c>
      <c r="F952" s="1" t="str">
        <f aca="false">TEXT(B952,"mmm-yyyy")</f>
        <v>Oct-2024</v>
      </c>
    </row>
    <row r="953" customFormat="false" ht="43.5" hidden="false" customHeight="true" outlineLevel="0" collapsed="false">
      <c r="A953" s="1" t="n">
        <v>4</v>
      </c>
      <c r="B953" s="10" t="n">
        <v>45626</v>
      </c>
      <c r="C953" s="11" t="s">
        <v>971</v>
      </c>
      <c r="D953" s="1" t="s">
        <v>8</v>
      </c>
      <c r="E953" s="1" t="s">
        <v>18</v>
      </c>
      <c r="F953" s="1" t="str">
        <f aca="false">TEXT(B953,"mmm-yyyy")</f>
        <v>Nov-2024</v>
      </c>
    </row>
    <row r="954" customFormat="false" ht="115.5" hidden="false" customHeight="true" outlineLevel="0" collapsed="false">
      <c r="A954" s="1" t="n">
        <v>1</v>
      </c>
      <c r="B954" s="10" t="n">
        <v>45577</v>
      </c>
      <c r="C954" s="11" t="s">
        <v>972</v>
      </c>
      <c r="D954" s="1" t="s">
        <v>8</v>
      </c>
      <c r="E954" s="1" t="s">
        <v>20</v>
      </c>
      <c r="F954" s="1" t="str">
        <f aca="false">TEXT(B954,"mmm-yyyy")</f>
        <v>Oct-2024</v>
      </c>
    </row>
    <row r="955" customFormat="false" ht="43.5" hidden="false" customHeight="true" outlineLevel="0" collapsed="false">
      <c r="A955" s="1" t="n">
        <v>5</v>
      </c>
      <c r="B955" s="10" t="n">
        <v>45584</v>
      </c>
      <c r="C955" s="11" t="s">
        <v>973</v>
      </c>
      <c r="D955" s="1" t="s">
        <v>8</v>
      </c>
      <c r="E955" s="1" t="s">
        <v>18</v>
      </c>
      <c r="F955" s="1" t="str">
        <f aca="false">TEXT(B955,"mmm-yyyy")</f>
        <v>Oct-2024</v>
      </c>
    </row>
    <row r="956" customFormat="false" ht="43.5" hidden="false" customHeight="true" outlineLevel="0" collapsed="false">
      <c r="A956" s="1" t="n">
        <v>1</v>
      </c>
      <c r="B956" s="10" t="n">
        <v>45586</v>
      </c>
      <c r="C956" s="11" t="s">
        <v>974</v>
      </c>
      <c r="D956" s="1" t="s">
        <v>8</v>
      </c>
      <c r="E956" s="1" t="s">
        <v>20</v>
      </c>
      <c r="F956" s="1" t="str">
        <f aca="false">TEXT(B956,"mmm-yyyy")</f>
        <v>Oct-2024</v>
      </c>
    </row>
    <row r="957" customFormat="false" ht="43.5" hidden="false" customHeight="true" outlineLevel="0" collapsed="false">
      <c r="A957" s="1" t="n">
        <v>1</v>
      </c>
      <c r="B957" s="10" t="n">
        <v>45646</v>
      </c>
      <c r="C957" s="11" t="s">
        <v>975</v>
      </c>
      <c r="D957" s="1" t="s">
        <v>8</v>
      </c>
      <c r="E957" s="1" t="s">
        <v>20</v>
      </c>
      <c r="F957" s="1" t="str">
        <f aca="false">TEXT(B957,"mmm-yyyy")</f>
        <v>Dec-2024</v>
      </c>
    </row>
    <row r="958" customFormat="false" ht="87" hidden="false" customHeight="true" outlineLevel="0" collapsed="false">
      <c r="A958" s="1" t="n">
        <v>1</v>
      </c>
      <c r="B958" s="10" t="n">
        <v>45627</v>
      </c>
      <c r="C958" s="11" t="s">
        <v>976</v>
      </c>
      <c r="D958" s="1" t="s">
        <v>8</v>
      </c>
      <c r="E958" s="1" t="s">
        <v>20</v>
      </c>
      <c r="F958" s="1" t="str">
        <f aca="false">TEXT(B958,"mmm-yyyy")</f>
        <v>Dec-2024</v>
      </c>
    </row>
    <row r="959" customFormat="false" ht="57.75" hidden="false" customHeight="true" outlineLevel="0" collapsed="false">
      <c r="A959" s="1" t="n">
        <v>5</v>
      </c>
      <c r="B959" s="10" t="n">
        <v>45588</v>
      </c>
      <c r="C959" s="11" t="s">
        <v>977</v>
      </c>
      <c r="D959" s="1" t="s">
        <v>8</v>
      </c>
      <c r="E959" s="1" t="s">
        <v>18</v>
      </c>
      <c r="F959" s="1" t="str">
        <f aca="false">TEXT(B959,"mmm-yyyy")</f>
        <v>Oct-2024</v>
      </c>
    </row>
    <row r="960" customFormat="false" ht="72" hidden="false" customHeight="true" outlineLevel="0" collapsed="false">
      <c r="A960" s="1" t="n">
        <v>5</v>
      </c>
      <c r="B960" s="10" t="n">
        <v>45600</v>
      </c>
      <c r="C960" s="11" t="s">
        <v>978</v>
      </c>
      <c r="D960" s="1" t="s">
        <v>8</v>
      </c>
      <c r="E960" s="1" t="s">
        <v>18</v>
      </c>
      <c r="F960" s="1" t="str">
        <f aca="false">TEXT(B960,"mmm-yyyy")</f>
        <v>Nov-2024</v>
      </c>
    </row>
    <row r="961" customFormat="false" ht="101.25" hidden="false" customHeight="true" outlineLevel="0" collapsed="false">
      <c r="A961" s="1" t="n">
        <v>1</v>
      </c>
      <c r="B961" s="10" t="n">
        <v>45610</v>
      </c>
      <c r="C961" s="11" t="s">
        <v>979</v>
      </c>
      <c r="D961" s="1" t="s">
        <v>8</v>
      </c>
      <c r="E961" s="1" t="s">
        <v>20</v>
      </c>
      <c r="F961" s="1" t="str">
        <f aca="false">TEXT(B961,"mmm-yyyy")</f>
        <v>Nov-2024</v>
      </c>
    </row>
    <row r="962" customFormat="false" ht="87" hidden="false" customHeight="true" outlineLevel="0" collapsed="false">
      <c r="A962" s="1" t="n">
        <v>1</v>
      </c>
      <c r="B962" s="10" t="n">
        <v>45592</v>
      </c>
      <c r="C962" s="11" t="s">
        <v>980</v>
      </c>
      <c r="D962" s="1" t="s">
        <v>8</v>
      </c>
      <c r="E962" s="1" t="s">
        <v>20</v>
      </c>
      <c r="F962" s="1" t="str">
        <f aca="false">TEXT(B962,"mmm-yyyy")</f>
        <v>Oct-2024</v>
      </c>
    </row>
    <row r="963" customFormat="false" ht="72" hidden="false" customHeight="true" outlineLevel="0" collapsed="false">
      <c r="A963" s="1" t="n">
        <v>2</v>
      </c>
      <c r="B963" s="10" t="n">
        <v>45606</v>
      </c>
      <c r="C963" s="11" t="s">
        <v>981</v>
      </c>
      <c r="D963" s="1" t="s">
        <v>8</v>
      </c>
      <c r="E963" s="1" t="s">
        <v>20</v>
      </c>
      <c r="F963" s="1" t="str">
        <f aca="false">TEXT(B963,"mmm-yyyy")</f>
        <v>Nov-2024</v>
      </c>
    </row>
    <row r="964" customFormat="false" ht="87" hidden="false" customHeight="true" outlineLevel="0" collapsed="false">
      <c r="A964" s="1" t="n">
        <v>5</v>
      </c>
      <c r="B964" s="10" t="n">
        <v>45574</v>
      </c>
      <c r="C964" s="11" t="s">
        <v>982</v>
      </c>
      <c r="D964" s="1" t="s">
        <v>8</v>
      </c>
      <c r="E964" s="1" t="s">
        <v>18</v>
      </c>
      <c r="F964" s="1" t="str">
        <f aca="false">TEXT(B964,"mmm-yyyy")</f>
        <v>Oct-2024</v>
      </c>
    </row>
    <row r="965" customFormat="false" ht="72" hidden="false" customHeight="true" outlineLevel="0" collapsed="false">
      <c r="A965" s="1" t="n">
        <v>1</v>
      </c>
      <c r="B965" s="10" t="n">
        <v>45570</v>
      </c>
      <c r="C965" s="11" t="s">
        <v>983</v>
      </c>
      <c r="D965" s="1" t="s">
        <v>8</v>
      </c>
      <c r="E965" s="1" t="s">
        <v>20</v>
      </c>
      <c r="F965" s="1" t="str">
        <f aca="false">TEXT(B965,"mmm-yyyy")</f>
        <v>Oct-2024</v>
      </c>
    </row>
    <row r="966" customFormat="false" ht="57.75" hidden="false" customHeight="true" outlineLevel="0" collapsed="false">
      <c r="A966" s="1" t="n">
        <v>1</v>
      </c>
      <c r="B966" s="10" t="n">
        <v>45615</v>
      </c>
      <c r="C966" s="11" t="s">
        <v>984</v>
      </c>
      <c r="D966" s="1" t="s">
        <v>8</v>
      </c>
      <c r="E966" s="1" t="s">
        <v>20</v>
      </c>
      <c r="F966" s="1" t="str">
        <f aca="false">TEXT(B966,"mmm-yyyy")</f>
        <v>Nov-2024</v>
      </c>
    </row>
    <row r="967" customFormat="false" ht="72" hidden="false" customHeight="true" outlineLevel="0" collapsed="false">
      <c r="A967" s="1" t="n">
        <v>1</v>
      </c>
      <c r="B967" s="10" t="n">
        <v>45615</v>
      </c>
      <c r="C967" s="11" t="s">
        <v>985</v>
      </c>
      <c r="D967" s="1" t="s">
        <v>8</v>
      </c>
      <c r="E967" s="1" t="s">
        <v>18</v>
      </c>
      <c r="F967" s="1" t="str">
        <f aca="false">TEXT(B967,"mmm-yyyy")</f>
        <v>Nov-2024</v>
      </c>
    </row>
    <row r="968" customFormat="false" ht="43.5" hidden="false" customHeight="true" outlineLevel="0" collapsed="false">
      <c r="A968" s="1" t="n">
        <v>5</v>
      </c>
      <c r="B968" s="10" t="n">
        <v>45583</v>
      </c>
      <c r="C968" s="11" t="s">
        <v>986</v>
      </c>
      <c r="D968" s="1" t="s">
        <v>8</v>
      </c>
      <c r="E968" s="1" t="s">
        <v>18</v>
      </c>
      <c r="F968" s="1" t="str">
        <f aca="false">TEXT(B968,"mmm-yyyy")</f>
        <v>Oct-2024</v>
      </c>
    </row>
    <row r="969" customFormat="false" ht="43.5" hidden="false" customHeight="true" outlineLevel="0" collapsed="false">
      <c r="A969" s="1" t="n">
        <v>5</v>
      </c>
      <c r="B969" s="10" t="n">
        <v>45602</v>
      </c>
      <c r="C969" s="11" t="s">
        <v>987</v>
      </c>
      <c r="D969" s="1" t="s">
        <v>8</v>
      </c>
      <c r="E969" s="1" t="s">
        <v>18</v>
      </c>
      <c r="F969" s="1" t="str">
        <f aca="false">TEXT(B969,"mmm-yyyy")</f>
        <v>Nov-2024</v>
      </c>
    </row>
    <row r="970" customFormat="false" ht="130.5" hidden="false" customHeight="true" outlineLevel="0" collapsed="false">
      <c r="A970" s="1" t="n">
        <v>5</v>
      </c>
      <c r="B970" s="10" t="n">
        <v>45557</v>
      </c>
      <c r="C970" s="11" t="s">
        <v>988</v>
      </c>
      <c r="D970" s="1" t="s">
        <v>8</v>
      </c>
      <c r="E970" s="1" t="s">
        <v>18</v>
      </c>
      <c r="F970" s="1" t="str">
        <f aca="false">TEXT(B970,"mmm-yyyy")</f>
        <v>Sep-2024</v>
      </c>
    </row>
    <row r="971" customFormat="false" ht="43.5" hidden="false" customHeight="true" outlineLevel="0" collapsed="false">
      <c r="A971" s="1" t="n">
        <v>4</v>
      </c>
      <c r="B971" s="10" t="n">
        <v>45600</v>
      </c>
      <c r="C971" s="11" t="s">
        <v>989</v>
      </c>
      <c r="D971" s="1" t="s">
        <v>8</v>
      </c>
      <c r="E971" s="1" t="s">
        <v>18</v>
      </c>
      <c r="F971" s="1" t="str">
        <f aca="false">TEXT(B971,"mmm-yyyy")</f>
        <v>Nov-2024</v>
      </c>
    </row>
    <row r="972" customFormat="false" ht="43.5" hidden="false" customHeight="true" outlineLevel="0" collapsed="false">
      <c r="A972" s="1" t="n">
        <v>5</v>
      </c>
      <c r="B972" s="10" t="n">
        <v>45655</v>
      </c>
      <c r="C972" s="11" t="s">
        <v>990</v>
      </c>
      <c r="D972" s="1" t="s">
        <v>8</v>
      </c>
      <c r="E972" s="1" t="s">
        <v>18</v>
      </c>
      <c r="F972" s="1" t="str">
        <f aca="false">TEXT(B972,"mmm-yyyy")</f>
        <v>Dec-2024</v>
      </c>
    </row>
    <row r="973" customFormat="false" ht="115.5" hidden="false" customHeight="true" outlineLevel="0" collapsed="false">
      <c r="A973" s="1" t="n">
        <v>5</v>
      </c>
      <c r="B973" s="10" t="n">
        <v>45508</v>
      </c>
      <c r="C973" s="11" t="s">
        <v>991</v>
      </c>
      <c r="D973" s="1" t="s">
        <v>8</v>
      </c>
      <c r="E973" s="1" t="s">
        <v>18</v>
      </c>
      <c r="F973" s="1" t="str">
        <f aca="false">TEXT(B973,"mmm-yyyy")</f>
        <v>Aug-2024</v>
      </c>
    </row>
    <row r="974" customFormat="false" ht="72" hidden="false" customHeight="true" outlineLevel="0" collapsed="false">
      <c r="A974" s="1" t="n">
        <v>5</v>
      </c>
      <c r="B974" s="10" t="n">
        <v>45606</v>
      </c>
      <c r="C974" s="11" t="s">
        <v>992</v>
      </c>
      <c r="D974" s="1" t="s">
        <v>8</v>
      </c>
      <c r="E974" s="1" t="s">
        <v>18</v>
      </c>
      <c r="F974" s="1" t="str">
        <f aca="false">TEXT(B974,"mmm-yyyy")</f>
        <v>Nov-2024</v>
      </c>
    </row>
    <row r="975" customFormat="false" ht="115.5" hidden="false" customHeight="true" outlineLevel="0" collapsed="false">
      <c r="A975" s="1" t="n">
        <v>5</v>
      </c>
      <c r="B975" s="10" t="n">
        <v>45528</v>
      </c>
      <c r="C975" s="11" t="s">
        <v>993</v>
      </c>
      <c r="D975" s="1" t="s">
        <v>8</v>
      </c>
      <c r="E975" s="1" t="s">
        <v>18</v>
      </c>
      <c r="F975" s="1" t="str">
        <f aca="false">TEXT(B975,"mmm-yyyy")</f>
        <v>Aug-2024</v>
      </c>
    </row>
    <row r="976" customFormat="false" ht="115.5" hidden="false" customHeight="true" outlineLevel="0" collapsed="false">
      <c r="A976" s="1" t="n">
        <v>1</v>
      </c>
      <c r="B976" s="10" t="n">
        <v>45594</v>
      </c>
      <c r="C976" s="11" t="s">
        <v>994</v>
      </c>
      <c r="D976" s="1" t="s">
        <v>8</v>
      </c>
      <c r="E976" s="1" t="s">
        <v>18</v>
      </c>
      <c r="F976" s="1" t="str">
        <f aca="false">TEXT(B976,"mmm-yyyy")</f>
        <v>Oct-2024</v>
      </c>
    </row>
    <row r="977" customFormat="false" ht="87" hidden="false" customHeight="true" outlineLevel="0" collapsed="false">
      <c r="A977" s="1" t="n">
        <v>1</v>
      </c>
      <c r="B977" s="10" t="n">
        <v>45620</v>
      </c>
      <c r="C977" s="11" t="s">
        <v>995</v>
      </c>
      <c r="D977" s="1" t="s">
        <v>8</v>
      </c>
      <c r="E977" s="1" t="s">
        <v>20</v>
      </c>
      <c r="F977" s="1" t="str">
        <f aca="false">TEXT(B977,"mmm-yyyy")</f>
        <v>Nov-2024</v>
      </c>
    </row>
    <row r="978" customFormat="false" ht="72" hidden="false" customHeight="true" outlineLevel="0" collapsed="false">
      <c r="A978" s="1" t="n">
        <v>1</v>
      </c>
      <c r="B978" s="10" t="n">
        <v>45591</v>
      </c>
      <c r="C978" s="11" t="s">
        <v>996</v>
      </c>
      <c r="D978" s="1" t="s">
        <v>8</v>
      </c>
      <c r="E978" s="1" t="s">
        <v>20</v>
      </c>
      <c r="F978" s="1" t="str">
        <f aca="false">TEXT(B978,"mmm-yyyy")</f>
        <v>Oct-2024</v>
      </c>
    </row>
    <row r="979" customFormat="false" ht="87" hidden="false" customHeight="true" outlineLevel="0" collapsed="false">
      <c r="A979" s="1" t="n">
        <v>1</v>
      </c>
      <c r="B979" s="10" t="n">
        <v>45592</v>
      </c>
      <c r="C979" s="11" t="s">
        <v>997</v>
      </c>
      <c r="D979" s="1" t="s">
        <v>8</v>
      </c>
      <c r="E979" s="1" t="s">
        <v>18</v>
      </c>
      <c r="F979" s="1" t="str">
        <f aca="false">TEXT(B979,"mmm-yyyy")</f>
        <v>Oct-2024</v>
      </c>
    </row>
    <row r="980" customFormat="false" ht="72" hidden="false" customHeight="true" outlineLevel="0" collapsed="false">
      <c r="A980" s="1" t="n">
        <v>1</v>
      </c>
      <c r="B980" s="10" t="n">
        <v>45595</v>
      </c>
      <c r="C980" s="11" t="s">
        <v>998</v>
      </c>
      <c r="D980" s="1" t="s">
        <v>8</v>
      </c>
      <c r="E980" s="1" t="s">
        <v>20</v>
      </c>
      <c r="F980" s="1" t="str">
        <f aca="false">TEXT(B980,"mmm-yyyy")</f>
        <v>Oct-2024</v>
      </c>
    </row>
    <row r="981" customFormat="false" ht="72" hidden="false" customHeight="true" outlineLevel="0" collapsed="false">
      <c r="A981" s="1" t="n">
        <v>4</v>
      </c>
      <c r="B981" s="10" t="n">
        <v>45600</v>
      </c>
      <c r="C981" s="11" t="s">
        <v>999</v>
      </c>
      <c r="D981" s="1" t="s">
        <v>8</v>
      </c>
      <c r="E981" s="1" t="s">
        <v>18</v>
      </c>
      <c r="F981" s="1" t="str">
        <f aca="false">TEXT(B981,"mmm-yyyy")</f>
        <v>Nov-2024</v>
      </c>
    </row>
    <row r="982" customFormat="false" ht="57.75" hidden="false" customHeight="true" outlineLevel="0" collapsed="false">
      <c r="A982" s="1" t="n">
        <v>4</v>
      </c>
      <c r="B982" s="10" t="n">
        <v>45587</v>
      </c>
      <c r="C982" s="11" t="s">
        <v>1000</v>
      </c>
      <c r="D982" s="1" t="s">
        <v>8</v>
      </c>
      <c r="E982" s="1" t="s">
        <v>20</v>
      </c>
      <c r="F982" s="1" t="str">
        <f aca="false">TEXT(B982,"mmm-yyyy")</f>
        <v>Oct-2024</v>
      </c>
    </row>
    <row r="983" customFormat="false" ht="28.5" hidden="false" customHeight="true" outlineLevel="0" collapsed="false">
      <c r="A983" s="1" t="n">
        <v>5</v>
      </c>
      <c r="B983" s="10" t="n">
        <v>45639</v>
      </c>
      <c r="C983" s="11" t="s">
        <v>1001</v>
      </c>
      <c r="D983" s="1" t="s">
        <v>8</v>
      </c>
      <c r="E983" s="1" t="s">
        <v>18</v>
      </c>
      <c r="F983" s="1" t="str">
        <f aca="false">TEXT(B983,"mmm-yyyy")</f>
        <v>Dec-2024</v>
      </c>
    </row>
    <row r="984" customFormat="false" ht="57.75" hidden="false" customHeight="true" outlineLevel="0" collapsed="false">
      <c r="A984" s="1" t="n">
        <v>1</v>
      </c>
      <c r="B984" s="10" t="n">
        <v>45596</v>
      </c>
      <c r="C984" s="11" t="s">
        <v>1002</v>
      </c>
      <c r="D984" s="1" t="s">
        <v>8</v>
      </c>
      <c r="E984" s="1" t="s">
        <v>20</v>
      </c>
      <c r="F984" s="1" t="str">
        <f aca="false">TEXT(B984,"mmm-yyyy")</f>
        <v>Oct-2024</v>
      </c>
    </row>
    <row r="985" customFormat="false" ht="87" hidden="false" customHeight="true" outlineLevel="0" collapsed="false">
      <c r="A985" s="1" t="n">
        <v>1</v>
      </c>
      <c r="B985" s="10" t="n">
        <v>45579</v>
      </c>
      <c r="C985" s="11" t="s">
        <v>1003</v>
      </c>
      <c r="D985" s="1" t="s">
        <v>8</v>
      </c>
      <c r="E985" s="1" t="s">
        <v>20</v>
      </c>
      <c r="F985" s="1" t="str">
        <f aca="false">TEXT(B985,"mmm-yyyy")</f>
        <v>Oct-2024</v>
      </c>
    </row>
    <row r="986" customFormat="false" ht="57.75" hidden="false" customHeight="true" outlineLevel="0" collapsed="false">
      <c r="A986" s="1" t="n">
        <v>1</v>
      </c>
      <c r="B986" s="10" t="n">
        <v>45620</v>
      </c>
      <c r="C986" s="11" t="s">
        <v>1004</v>
      </c>
      <c r="D986" s="1" t="s">
        <v>8</v>
      </c>
      <c r="E986" s="1" t="s">
        <v>20</v>
      </c>
      <c r="F986" s="1" t="str">
        <f aca="false">TEXT(B986,"mmm-yyyy")</f>
        <v>Nov-2024</v>
      </c>
    </row>
    <row r="987" customFormat="false" ht="43.5" hidden="false" customHeight="true" outlineLevel="0" collapsed="false">
      <c r="A987" s="1" t="n">
        <v>5</v>
      </c>
      <c r="B987" s="10" t="n">
        <v>45647</v>
      </c>
      <c r="C987" s="11" t="s">
        <v>1005</v>
      </c>
      <c r="D987" s="1" t="s">
        <v>8</v>
      </c>
      <c r="E987" s="1" t="s">
        <v>18</v>
      </c>
      <c r="F987" s="1" t="str">
        <f aca="false">TEXT(B987,"mmm-yyyy")</f>
        <v>Dec-2024</v>
      </c>
    </row>
    <row r="988" customFormat="false" ht="72" hidden="false" customHeight="true" outlineLevel="0" collapsed="false">
      <c r="A988" s="1" t="n">
        <v>1</v>
      </c>
      <c r="B988" s="10" t="n">
        <v>45594</v>
      </c>
      <c r="C988" s="11" t="s">
        <v>1006</v>
      </c>
      <c r="D988" s="1" t="s">
        <v>8</v>
      </c>
      <c r="E988" s="1" t="s">
        <v>20</v>
      </c>
      <c r="F988" s="1" t="str">
        <f aca="false">TEXT(B988,"mmm-yyyy")</f>
        <v>Oct-2024</v>
      </c>
    </row>
    <row r="989" customFormat="false" ht="57.75" hidden="false" customHeight="true" outlineLevel="0" collapsed="false">
      <c r="A989" s="1" t="n">
        <v>5</v>
      </c>
      <c r="B989" s="10" t="n">
        <v>45636</v>
      </c>
      <c r="C989" s="11" t="s">
        <v>1007</v>
      </c>
      <c r="D989" s="1" t="s">
        <v>8</v>
      </c>
      <c r="E989" s="1" t="s">
        <v>18</v>
      </c>
      <c r="F989" s="1" t="str">
        <f aca="false">TEXT(B989,"mmm-yyyy")</f>
        <v>Dec-2024</v>
      </c>
    </row>
    <row r="990" customFormat="false" ht="72" hidden="false" customHeight="true" outlineLevel="0" collapsed="false">
      <c r="A990" s="1" t="n">
        <v>1</v>
      </c>
      <c r="B990" s="10" t="n">
        <v>45600</v>
      </c>
      <c r="C990" s="11" t="s">
        <v>1008</v>
      </c>
      <c r="D990" s="1" t="s">
        <v>8</v>
      </c>
      <c r="E990" s="1" t="s">
        <v>18</v>
      </c>
      <c r="F990" s="1" t="str">
        <f aca="false">TEXT(B990,"mmm-yyyy")</f>
        <v>Nov-2024</v>
      </c>
    </row>
    <row r="991" customFormat="false" ht="87" hidden="false" customHeight="true" outlineLevel="0" collapsed="false">
      <c r="A991" s="1" t="n">
        <v>1</v>
      </c>
      <c r="B991" s="10" t="n">
        <v>45616</v>
      </c>
      <c r="C991" s="11" t="s">
        <v>1009</v>
      </c>
      <c r="D991" s="1" t="s">
        <v>8</v>
      </c>
      <c r="E991" s="1" t="s">
        <v>18</v>
      </c>
      <c r="F991" s="1" t="str">
        <f aca="false">TEXT(B991,"mmm-yyyy")</f>
        <v>Nov-2024</v>
      </c>
    </row>
    <row r="992" customFormat="false" ht="72" hidden="false" customHeight="true" outlineLevel="0" collapsed="false">
      <c r="A992" s="1" t="n">
        <v>1</v>
      </c>
      <c r="B992" s="10" t="n">
        <v>45602</v>
      </c>
      <c r="C992" s="11" t="s">
        <v>1010</v>
      </c>
      <c r="D992" s="1" t="s">
        <v>8</v>
      </c>
      <c r="E992" s="1" t="s">
        <v>20</v>
      </c>
      <c r="F992" s="1" t="str">
        <f aca="false">TEXT(B992,"mmm-yyyy")</f>
        <v>Nov-2024</v>
      </c>
    </row>
    <row r="993" customFormat="false" ht="43.5" hidden="false" customHeight="true" outlineLevel="0" collapsed="false">
      <c r="A993" s="1" t="n">
        <v>5</v>
      </c>
      <c r="B993" s="10" t="n">
        <v>45657</v>
      </c>
      <c r="C993" s="11" t="s">
        <v>1011</v>
      </c>
      <c r="D993" s="1" t="s">
        <v>8</v>
      </c>
      <c r="E993" s="1" t="s">
        <v>18</v>
      </c>
      <c r="F993" s="1" t="str">
        <f aca="false">TEXT(B993,"mmm-yyyy")</f>
        <v>Dec-2024</v>
      </c>
    </row>
    <row r="994" customFormat="false" ht="43.5" hidden="false" customHeight="true" outlineLevel="0" collapsed="false">
      <c r="A994" s="1" t="n">
        <v>5</v>
      </c>
      <c r="B994" s="10" t="n">
        <v>45616</v>
      </c>
      <c r="C994" s="11" t="s">
        <v>1012</v>
      </c>
      <c r="D994" s="1" t="s">
        <v>8</v>
      </c>
      <c r="E994" s="1" t="s">
        <v>18</v>
      </c>
      <c r="F994" s="1" t="str">
        <f aca="false">TEXT(B994,"mmm-yyyy")</f>
        <v>Nov-2024</v>
      </c>
    </row>
    <row r="995" customFormat="false" ht="87" hidden="false" customHeight="true" outlineLevel="0" collapsed="false">
      <c r="A995" s="1" t="n">
        <v>2</v>
      </c>
      <c r="B995" s="10" t="n">
        <v>45609</v>
      </c>
      <c r="C995" s="11" t="s">
        <v>1013</v>
      </c>
      <c r="D995" s="1" t="s">
        <v>8</v>
      </c>
      <c r="E995" s="1" t="s">
        <v>18</v>
      </c>
      <c r="F995" s="1" t="str">
        <f aca="false">TEXT(B995,"mmm-yyyy")</f>
        <v>Nov-2024</v>
      </c>
    </row>
    <row r="996" customFormat="false" ht="57.75" hidden="false" customHeight="true" outlineLevel="0" collapsed="false">
      <c r="A996" s="1" t="n">
        <v>1</v>
      </c>
      <c r="B996" s="10" t="n">
        <v>45619</v>
      </c>
      <c r="C996" s="11" t="s">
        <v>1014</v>
      </c>
      <c r="D996" s="1" t="s">
        <v>8</v>
      </c>
      <c r="E996" s="1" t="s">
        <v>20</v>
      </c>
      <c r="F996" s="1" t="str">
        <f aca="false">TEXT(B996,"mmm-yyyy")</f>
        <v>Nov-2024</v>
      </c>
    </row>
    <row r="997" customFormat="false" ht="43.5" hidden="false" customHeight="true" outlineLevel="0" collapsed="false">
      <c r="A997" s="1" t="n">
        <v>1</v>
      </c>
      <c r="B997" s="10" t="n">
        <v>45583</v>
      </c>
      <c r="C997" s="11" t="s">
        <v>1015</v>
      </c>
      <c r="D997" s="1" t="s">
        <v>8</v>
      </c>
      <c r="E997" s="1" t="s">
        <v>20</v>
      </c>
      <c r="F997" s="1" t="str">
        <f aca="false">TEXT(B997,"mmm-yyyy")</f>
        <v>Oct-2024</v>
      </c>
    </row>
    <row r="998" customFormat="false" ht="72" hidden="false" customHeight="true" outlineLevel="0" collapsed="false">
      <c r="A998" s="1" t="n">
        <v>4</v>
      </c>
      <c r="B998" s="10" t="n">
        <v>45621</v>
      </c>
      <c r="C998" s="11" t="s">
        <v>1016</v>
      </c>
      <c r="D998" s="1" t="s">
        <v>8</v>
      </c>
      <c r="E998" s="1" t="s">
        <v>18</v>
      </c>
      <c r="F998" s="1" t="str">
        <f aca="false">TEXT(B998,"mmm-yyyy")</f>
        <v>Nov-2024</v>
      </c>
    </row>
    <row r="999" customFormat="false" ht="72" hidden="false" customHeight="true" outlineLevel="0" collapsed="false">
      <c r="A999" s="1" t="n">
        <v>3</v>
      </c>
      <c r="B999" s="10" t="n">
        <v>45589</v>
      </c>
      <c r="C999" s="11" t="s">
        <v>1017</v>
      </c>
      <c r="D999" s="1" t="s">
        <v>8</v>
      </c>
      <c r="E999" s="1" t="s">
        <v>18</v>
      </c>
      <c r="F999" s="1" t="str">
        <f aca="false">TEXT(B999,"mmm-yyyy")</f>
        <v>Oct-2024</v>
      </c>
    </row>
    <row r="1000" customFormat="false" ht="87" hidden="false" customHeight="true" outlineLevel="0" collapsed="false">
      <c r="A1000" s="1" t="n">
        <v>1</v>
      </c>
      <c r="B1000" s="10" t="n">
        <v>45519</v>
      </c>
      <c r="C1000" s="11" t="s">
        <v>1018</v>
      </c>
      <c r="D1000" s="1" t="s">
        <v>8</v>
      </c>
      <c r="E1000" s="1" t="s">
        <v>18</v>
      </c>
      <c r="F1000" s="1" t="str">
        <f aca="false">TEXT(B1000,"mmm-yyyy")</f>
        <v>Aug-2024</v>
      </c>
    </row>
    <row r="1001" customFormat="false" ht="72" hidden="false" customHeight="true" outlineLevel="0" collapsed="false">
      <c r="A1001" s="1" t="n">
        <v>1</v>
      </c>
      <c r="B1001" s="10" t="n">
        <v>45581</v>
      </c>
      <c r="C1001" s="11" t="s">
        <v>1019</v>
      </c>
      <c r="D1001" s="1" t="s">
        <v>8</v>
      </c>
      <c r="E1001" s="1" t="s">
        <v>20</v>
      </c>
      <c r="F1001" s="1" t="str">
        <f aca="false">TEXT(B1001,"mmm-yyyy")</f>
        <v>Oct-2024</v>
      </c>
    </row>
    <row r="1002" customFormat="false" ht="72" hidden="false" customHeight="true" outlineLevel="0" collapsed="false">
      <c r="A1002" s="1" t="n">
        <v>1</v>
      </c>
      <c r="B1002" s="10" t="n">
        <v>45626</v>
      </c>
      <c r="C1002" s="11" t="s">
        <v>1020</v>
      </c>
      <c r="D1002" s="1" t="s">
        <v>8</v>
      </c>
      <c r="E1002" s="1" t="s">
        <v>18</v>
      </c>
      <c r="F1002" s="1" t="str">
        <f aca="false">TEXT(B1002,"mmm-yyyy")</f>
        <v>Nov-2024</v>
      </c>
    </row>
    <row r="1003" customFormat="false" ht="57.75" hidden="false" customHeight="true" outlineLevel="0" collapsed="false">
      <c r="A1003" s="1" t="n">
        <v>3</v>
      </c>
      <c r="B1003" s="10" t="n">
        <v>45589</v>
      </c>
      <c r="C1003" s="11" t="s">
        <v>1021</v>
      </c>
      <c r="D1003" s="1" t="s">
        <v>8</v>
      </c>
      <c r="E1003" s="1" t="s">
        <v>20</v>
      </c>
      <c r="F1003" s="1" t="str">
        <f aca="false">TEXT(B1003,"mmm-yyyy")</f>
        <v>Oct-2024</v>
      </c>
    </row>
    <row r="1004" customFormat="false" ht="115.5" hidden="false" customHeight="true" outlineLevel="0" collapsed="false">
      <c r="A1004" s="1" t="n">
        <v>1</v>
      </c>
      <c r="B1004" s="10" t="n">
        <v>45625</v>
      </c>
      <c r="C1004" s="11" t="s">
        <v>1022</v>
      </c>
      <c r="D1004" s="1" t="s">
        <v>8</v>
      </c>
      <c r="E1004" s="1" t="s">
        <v>20</v>
      </c>
      <c r="F1004" s="1" t="str">
        <f aca="false">TEXT(B1004,"mmm-yyyy")</f>
        <v>Nov-2024</v>
      </c>
    </row>
    <row r="1005" customFormat="false" ht="87" hidden="false" customHeight="true" outlineLevel="0" collapsed="false">
      <c r="A1005" s="1" t="n">
        <v>1</v>
      </c>
      <c r="B1005" s="10" t="n">
        <v>45590</v>
      </c>
      <c r="C1005" s="11" t="s">
        <v>1023</v>
      </c>
      <c r="D1005" s="1" t="s">
        <v>8</v>
      </c>
      <c r="E1005" s="1" t="s">
        <v>18</v>
      </c>
      <c r="F1005" s="1" t="str">
        <f aca="false">TEXT(B1005,"mmm-yyyy")</f>
        <v>Oct-2024</v>
      </c>
    </row>
    <row r="1006" customFormat="false" ht="57.75" hidden="false" customHeight="true" outlineLevel="0" collapsed="false">
      <c r="A1006" s="1" t="n">
        <v>4</v>
      </c>
      <c r="B1006" s="10" t="n">
        <v>45626</v>
      </c>
      <c r="C1006" s="11" t="s">
        <v>1024</v>
      </c>
      <c r="D1006" s="1" t="s">
        <v>8</v>
      </c>
      <c r="E1006" s="1" t="s">
        <v>18</v>
      </c>
      <c r="F1006" s="1" t="str">
        <f aca="false">TEXT(B1006,"mmm-yyyy")</f>
        <v>Nov-2024</v>
      </c>
    </row>
    <row r="1007" customFormat="false" ht="101.25" hidden="false" customHeight="true" outlineLevel="0" collapsed="false">
      <c r="A1007" s="1" t="n">
        <v>4</v>
      </c>
      <c r="B1007" s="10" t="n">
        <v>45612</v>
      </c>
      <c r="C1007" s="11" t="s">
        <v>1025</v>
      </c>
      <c r="D1007" s="1" t="s">
        <v>8</v>
      </c>
      <c r="E1007" s="1" t="s">
        <v>18</v>
      </c>
      <c r="F1007" s="1" t="str">
        <f aca="false">TEXT(B1007,"mmm-yyyy")</f>
        <v>Nov-2024</v>
      </c>
    </row>
    <row r="1008" customFormat="false" ht="57.75" hidden="false" customHeight="true" outlineLevel="0" collapsed="false">
      <c r="A1008" s="1" t="n">
        <v>1</v>
      </c>
      <c r="B1008" s="10" t="n">
        <v>45611</v>
      </c>
      <c r="C1008" s="11" t="s">
        <v>1026</v>
      </c>
      <c r="D1008" s="1" t="s">
        <v>8</v>
      </c>
      <c r="E1008" s="1" t="s">
        <v>20</v>
      </c>
      <c r="F1008" s="1" t="str">
        <f aca="false">TEXT(B1008,"mmm-yyyy")</f>
        <v>Nov-2024</v>
      </c>
    </row>
    <row r="1009" customFormat="false" ht="43.5" hidden="false" customHeight="true" outlineLevel="0" collapsed="false">
      <c r="A1009" s="1" t="n">
        <v>5</v>
      </c>
      <c r="B1009" s="10" t="n">
        <v>45603</v>
      </c>
      <c r="C1009" s="11" t="s">
        <v>1027</v>
      </c>
      <c r="D1009" s="1" t="s">
        <v>8</v>
      </c>
      <c r="E1009" s="1" t="s">
        <v>18</v>
      </c>
      <c r="F1009" s="1" t="str">
        <f aca="false">TEXT(B1009,"mmm-yyyy")</f>
        <v>Nov-2024</v>
      </c>
    </row>
    <row r="1010" customFormat="false" ht="57.75" hidden="false" customHeight="true" outlineLevel="0" collapsed="false">
      <c r="A1010" s="1" t="n">
        <v>5</v>
      </c>
      <c r="B1010" s="10" t="n">
        <v>45621</v>
      </c>
      <c r="C1010" s="11" t="s">
        <v>1028</v>
      </c>
      <c r="D1010" s="1" t="s">
        <v>8</v>
      </c>
      <c r="E1010" s="1" t="s">
        <v>18</v>
      </c>
      <c r="F1010" s="1" t="str">
        <f aca="false">TEXT(B1010,"mmm-yyyy")</f>
        <v>Nov-2024</v>
      </c>
    </row>
    <row r="1011" customFormat="false" ht="115.5" hidden="false" customHeight="true" outlineLevel="0" collapsed="false">
      <c r="A1011" s="1" t="n">
        <v>1</v>
      </c>
      <c r="B1011" s="10" t="n">
        <v>45601</v>
      </c>
      <c r="C1011" s="11" t="s">
        <v>1029</v>
      </c>
      <c r="D1011" s="1" t="s">
        <v>8</v>
      </c>
      <c r="E1011" s="1" t="s">
        <v>18</v>
      </c>
      <c r="F1011" s="1" t="str">
        <f aca="false">TEXT(B1011,"mmm-yyyy")</f>
        <v>Nov-2024</v>
      </c>
    </row>
    <row r="1012" customFormat="false" ht="57.75" hidden="false" customHeight="true" outlineLevel="0" collapsed="false">
      <c r="A1012" s="1" t="n">
        <v>4</v>
      </c>
      <c r="B1012" s="10" t="n">
        <v>45606</v>
      </c>
      <c r="C1012" s="11" t="s">
        <v>1030</v>
      </c>
      <c r="D1012" s="1" t="s">
        <v>8</v>
      </c>
      <c r="E1012" s="1" t="s">
        <v>18</v>
      </c>
      <c r="F1012" s="1" t="str">
        <f aca="false">TEXT(B1012,"mmm-yyyy")</f>
        <v>Nov-2024</v>
      </c>
    </row>
    <row r="1013" customFormat="false" ht="72" hidden="false" customHeight="true" outlineLevel="0" collapsed="false">
      <c r="A1013" s="1" t="n">
        <v>5</v>
      </c>
      <c r="B1013" s="10" t="n">
        <v>45627</v>
      </c>
      <c r="C1013" s="11" t="s">
        <v>1031</v>
      </c>
      <c r="D1013" s="1" t="s">
        <v>8</v>
      </c>
      <c r="E1013" s="1" t="s">
        <v>20</v>
      </c>
      <c r="F1013" s="1" t="str">
        <f aca="false">TEXT(B1013,"mmm-yyyy")</f>
        <v>Dec-2024</v>
      </c>
    </row>
    <row r="1014" customFormat="false" ht="57.75" hidden="false" customHeight="true" outlineLevel="0" collapsed="false">
      <c r="A1014" s="1" t="n">
        <v>1</v>
      </c>
      <c r="B1014" s="10" t="n">
        <v>45585</v>
      </c>
      <c r="C1014" s="11" t="s">
        <v>1032</v>
      </c>
      <c r="D1014" s="1" t="s">
        <v>8</v>
      </c>
      <c r="E1014" s="1" t="s">
        <v>20</v>
      </c>
      <c r="F1014" s="1" t="str">
        <f aca="false">TEXT(B1014,"mmm-yyyy")</f>
        <v>Oct-2024</v>
      </c>
    </row>
    <row r="1015" customFormat="false" ht="43.5" hidden="false" customHeight="true" outlineLevel="0" collapsed="false">
      <c r="A1015" s="1" t="n">
        <v>5</v>
      </c>
      <c r="B1015" s="10" t="n">
        <v>45614</v>
      </c>
      <c r="C1015" s="11" t="s">
        <v>1033</v>
      </c>
      <c r="D1015" s="1" t="s">
        <v>8</v>
      </c>
      <c r="E1015" s="1" t="s">
        <v>18</v>
      </c>
      <c r="F1015" s="1" t="str">
        <f aca="false">TEXT(B1015,"mmm-yyyy")</f>
        <v>Nov-2024</v>
      </c>
    </row>
    <row r="1016" customFormat="false" ht="101.25" hidden="false" customHeight="true" outlineLevel="0" collapsed="false">
      <c r="A1016" s="1" t="n">
        <v>2</v>
      </c>
      <c r="B1016" s="10" t="n">
        <v>45602</v>
      </c>
      <c r="C1016" s="11" t="s">
        <v>1034</v>
      </c>
      <c r="D1016" s="1" t="s">
        <v>8</v>
      </c>
      <c r="E1016" s="1" t="s">
        <v>20</v>
      </c>
      <c r="F1016" s="1" t="str">
        <f aca="false">TEXT(B1016,"mmm-yyyy")</f>
        <v>Nov-2024</v>
      </c>
    </row>
    <row r="1017" customFormat="false" ht="87" hidden="false" customHeight="true" outlineLevel="0" collapsed="false">
      <c r="A1017" s="1" t="n">
        <v>1</v>
      </c>
      <c r="B1017" s="10" t="n">
        <v>45602</v>
      </c>
      <c r="C1017" s="11" t="s">
        <v>1035</v>
      </c>
      <c r="D1017" s="1" t="s">
        <v>8</v>
      </c>
      <c r="E1017" s="1" t="s">
        <v>20</v>
      </c>
      <c r="F1017" s="1" t="str">
        <f aca="false">TEXT(B1017,"mmm-yyyy")</f>
        <v>Nov-2024</v>
      </c>
    </row>
    <row r="1018" customFormat="false" ht="57.75" hidden="false" customHeight="true" outlineLevel="0" collapsed="false">
      <c r="A1018" s="1" t="n">
        <v>1</v>
      </c>
      <c r="B1018" s="10" t="n">
        <v>45595</v>
      </c>
      <c r="C1018" s="11" t="s">
        <v>1036</v>
      </c>
      <c r="D1018" s="1" t="s">
        <v>8</v>
      </c>
      <c r="E1018" s="1" t="s">
        <v>20</v>
      </c>
      <c r="F1018" s="1" t="str">
        <f aca="false">TEXT(B1018,"mmm-yyyy")</f>
        <v>Oct-2024</v>
      </c>
    </row>
    <row r="1019" customFormat="false" ht="57.75" hidden="false" customHeight="true" outlineLevel="0" collapsed="false">
      <c r="A1019" s="1" t="n">
        <v>1</v>
      </c>
      <c r="B1019" s="10" t="n">
        <v>45603</v>
      </c>
      <c r="C1019" s="11" t="s">
        <v>1037</v>
      </c>
      <c r="D1019" s="1" t="s">
        <v>8</v>
      </c>
      <c r="E1019" s="1" t="s">
        <v>32</v>
      </c>
      <c r="F1019" s="1" t="str">
        <f aca="false">TEXT(B1019,"mmm-yyyy")</f>
        <v>Nov-2024</v>
      </c>
    </row>
    <row r="1020" customFormat="false" ht="72" hidden="false" customHeight="true" outlineLevel="0" collapsed="false">
      <c r="A1020" s="1" t="n">
        <v>2</v>
      </c>
      <c r="B1020" s="10" t="n">
        <v>45579</v>
      </c>
      <c r="C1020" s="11" t="s">
        <v>1038</v>
      </c>
      <c r="D1020" s="1" t="s">
        <v>8</v>
      </c>
      <c r="E1020" s="1" t="s">
        <v>18</v>
      </c>
      <c r="F1020" s="1" t="str">
        <f aca="false">TEXT(B1020,"mmm-yyyy")</f>
        <v>Oct-2024</v>
      </c>
    </row>
    <row r="1021" customFormat="false" ht="43.5" hidden="false" customHeight="true" outlineLevel="0" collapsed="false">
      <c r="A1021" s="1" t="n">
        <v>5</v>
      </c>
      <c r="B1021" s="10" t="n">
        <v>45583</v>
      </c>
      <c r="C1021" s="11" t="s">
        <v>1039</v>
      </c>
      <c r="D1021" s="1" t="s">
        <v>8</v>
      </c>
      <c r="E1021" s="1" t="s">
        <v>20</v>
      </c>
      <c r="F1021" s="1" t="str">
        <f aca="false">TEXT(B1021,"mmm-yyyy")</f>
        <v>Oct-2024</v>
      </c>
    </row>
    <row r="1022" customFormat="false" ht="101.25" hidden="false" customHeight="true" outlineLevel="0" collapsed="false">
      <c r="A1022" s="1" t="n">
        <v>1</v>
      </c>
      <c r="B1022" s="10" t="n">
        <v>45607</v>
      </c>
      <c r="C1022" s="11" t="s">
        <v>1040</v>
      </c>
      <c r="D1022" s="1" t="s">
        <v>8</v>
      </c>
      <c r="E1022" s="1" t="s">
        <v>20</v>
      </c>
      <c r="F1022" s="1" t="str">
        <f aca="false">TEXT(B1022,"mmm-yyyy")</f>
        <v>Nov-2024</v>
      </c>
    </row>
    <row r="1023" customFormat="false" ht="72" hidden="false" customHeight="true" outlineLevel="0" collapsed="false">
      <c r="A1023" s="1" t="n">
        <v>1</v>
      </c>
      <c r="B1023" s="10" t="n">
        <v>45590</v>
      </c>
      <c r="C1023" s="11" t="s">
        <v>1041</v>
      </c>
      <c r="D1023" s="1" t="s">
        <v>8</v>
      </c>
      <c r="E1023" s="1" t="s">
        <v>18</v>
      </c>
      <c r="F1023" s="1" t="str">
        <f aca="false">TEXT(B1023,"mmm-yyyy")</f>
        <v>Oct-2024</v>
      </c>
    </row>
    <row r="1024" customFormat="false" ht="72" hidden="false" customHeight="true" outlineLevel="0" collapsed="false">
      <c r="A1024" s="1" t="n">
        <v>5</v>
      </c>
      <c r="B1024" s="10" t="n">
        <v>45604</v>
      </c>
      <c r="C1024" s="11" t="s">
        <v>1042</v>
      </c>
      <c r="D1024" s="1" t="s">
        <v>8</v>
      </c>
      <c r="E1024" s="1" t="s">
        <v>18</v>
      </c>
      <c r="F1024" s="1" t="str">
        <f aca="false">TEXT(B1024,"mmm-yyyy")</f>
        <v>Nov-2024</v>
      </c>
    </row>
    <row r="1025" customFormat="false" ht="43.5" hidden="false" customHeight="true" outlineLevel="0" collapsed="false">
      <c r="A1025" s="1" t="n">
        <v>3</v>
      </c>
      <c r="B1025" s="10" t="n">
        <v>45649</v>
      </c>
      <c r="C1025" s="11" t="s">
        <v>1043</v>
      </c>
      <c r="D1025" s="1" t="s">
        <v>8</v>
      </c>
      <c r="E1025" s="1" t="s">
        <v>32</v>
      </c>
      <c r="F1025" s="1" t="str">
        <f aca="false">TEXT(B1025,"mmm-yyyy")</f>
        <v>Dec-2024</v>
      </c>
    </row>
    <row r="1026" customFormat="false" ht="57.75" hidden="false" customHeight="true" outlineLevel="0" collapsed="false">
      <c r="A1026" s="1" t="n">
        <v>1</v>
      </c>
      <c r="B1026" s="10" t="n">
        <v>45616</v>
      </c>
      <c r="C1026" s="11" t="s">
        <v>1044</v>
      </c>
      <c r="D1026" s="1" t="s">
        <v>8</v>
      </c>
      <c r="E1026" s="1" t="s">
        <v>20</v>
      </c>
      <c r="F1026" s="1" t="str">
        <f aca="false">TEXT(B1026,"mmm-yyyy")</f>
        <v>Nov-2024</v>
      </c>
    </row>
    <row r="1027" customFormat="false" ht="57.75" hidden="false" customHeight="true" outlineLevel="0" collapsed="false">
      <c r="A1027" s="1" t="n">
        <v>5</v>
      </c>
      <c r="B1027" s="10" t="n">
        <v>45595</v>
      </c>
      <c r="C1027" s="11" t="s">
        <v>1045</v>
      </c>
      <c r="D1027" s="1" t="s">
        <v>8</v>
      </c>
      <c r="E1027" s="1" t="s">
        <v>18</v>
      </c>
      <c r="F1027" s="1" t="str">
        <f aca="false">TEXT(B1027,"mmm-yyyy")</f>
        <v>Oct-2024</v>
      </c>
    </row>
    <row r="1028" customFormat="false" ht="101.25" hidden="false" customHeight="true" outlineLevel="0" collapsed="false">
      <c r="A1028" s="1" t="n">
        <v>1</v>
      </c>
      <c r="B1028" s="10" t="n">
        <v>45626</v>
      </c>
      <c r="C1028" s="11" t="s">
        <v>1046</v>
      </c>
      <c r="D1028" s="1" t="s">
        <v>8</v>
      </c>
      <c r="E1028" s="1" t="s">
        <v>20</v>
      </c>
      <c r="F1028" s="1" t="str">
        <f aca="false">TEXT(B1028,"mmm-yyyy")</f>
        <v>Nov-2024</v>
      </c>
    </row>
    <row r="1029" customFormat="false" ht="57.75" hidden="false" customHeight="true" outlineLevel="0" collapsed="false">
      <c r="A1029" s="1" t="n">
        <v>4</v>
      </c>
      <c r="B1029" s="10" t="n">
        <v>45592</v>
      </c>
      <c r="C1029" s="11" t="s">
        <v>1047</v>
      </c>
      <c r="D1029" s="1" t="s">
        <v>8</v>
      </c>
      <c r="E1029" s="1" t="s">
        <v>18</v>
      </c>
      <c r="F1029" s="1" t="str">
        <f aca="false">TEXT(B1029,"mmm-yyyy")</f>
        <v>Oct-2024</v>
      </c>
    </row>
    <row r="1030" customFormat="false" ht="57.75" hidden="false" customHeight="true" outlineLevel="0" collapsed="false">
      <c r="A1030" s="1" t="n">
        <v>5</v>
      </c>
      <c r="B1030" s="10" t="n">
        <v>45617</v>
      </c>
      <c r="C1030" s="11" t="s">
        <v>1048</v>
      </c>
      <c r="D1030" s="1" t="s">
        <v>8</v>
      </c>
      <c r="E1030" s="1" t="s">
        <v>18</v>
      </c>
      <c r="F1030" s="1" t="str">
        <f aca="false">TEXT(B1030,"mmm-yyyy")</f>
        <v>Nov-2024</v>
      </c>
    </row>
    <row r="1031" customFormat="false" ht="72" hidden="false" customHeight="true" outlineLevel="0" collapsed="false">
      <c r="A1031" s="1" t="n">
        <v>1</v>
      </c>
      <c r="B1031" s="10" t="n">
        <v>45617</v>
      </c>
      <c r="C1031" s="11" t="s">
        <v>1049</v>
      </c>
      <c r="D1031" s="1" t="s">
        <v>8</v>
      </c>
      <c r="E1031" s="1" t="s">
        <v>20</v>
      </c>
      <c r="F1031" s="1" t="str">
        <f aca="false">TEXT(B1031,"mmm-yyyy")</f>
        <v>Nov-2024</v>
      </c>
    </row>
    <row r="1032" customFormat="false" ht="57.75" hidden="false" customHeight="true" outlineLevel="0" collapsed="false">
      <c r="A1032" s="1" t="n">
        <v>1</v>
      </c>
      <c r="B1032" s="10" t="n">
        <v>45592</v>
      </c>
      <c r="C1032" s="11" t="s">
        <v>1050</v>
      </c>
      <c r="D1032" s="1" t="s">
        <v>8</v>
      </c>
      <c r="E1032" s="1" t="s">
        <v>18</v>
      </c>
      <c r="F1032" s="1" t="str">
        <f aca="false">TEXT(B1032,"mmm-yyyy")</f>
        <v>Oct-2024</v>
      </c>
    </row>
    <row r="1033" customFormat="false" ht="57.75" hidden="false" customHeight="true" outlineLevel="0" collapsed="false">
      <c r="A1033" s="1" t="n">
        <v>5</v>
      </c>
      <c r="B1033" s="10" t="n">
        <v>45585</v>
      </c>
      <c r="C1033" s="11" t="s">
        <v>1051</v>
      </c>
      <c r="D1033" s="1" t="s">
        <v>8</v>
      </c>
      <c r="E1033" s="1" t="s">
        <v>18</v>
      </c>
      <c r="F1033" s="1" t="str">
        <f aca="false">TEXT(B1033,"mmm-yyyy")</f>
        <v>Oct-2024</v>
      </c>
    </row>
    <row r="1034" customFormat="false" ht="87" hidden="false" customHeight="true" outlineLevel="0" collapsed="false">
      <c r="A1034" s="1" t="n">
        <v>5</v>
      </c>
      <c r="B1034" s="10" t="n">
        <v>45614</v>
      </c>
      <c r="C1034" s="11" t="s">
        <v>1052</v>
      </c>
      <c r="D1034" s="1" t="s">
        <v>8</v>
      </c>
      <c r="E1034" s="1" t="s">
        <v>18</v>
      </c>
      <c r="F1034" s="1" t="str">
        <f aca="false">TEXT(B1034,"mmm-yyyy")</f>
        <v>Nov-2024</v>
      </c>
    </row>
    <row r="1035" customFormat="false" ht="57.75" hidden="false" customHeight="true" outlineLevel="0" collapsed="false">
      <c r="A1035" s="1" t="n">
        <v>4</v>
      </c>
      <c r="B1035" s="10" t="n">
        <v>45646</v>
      </c>
      <c r="C1035" s="11" t="s">
        <v>1053</v>
      </c>
      <c r="D1035" s="1" t="s">
        <v>8</v>
      </c>
      <c r="E1035" s="1" t="s">
        <v>18</v>
      </c>
      <c r="F1035" s="1" t="str">
        <f aca="false">TEXT(B1035,"mmm-yyyy")</f>
        <v>Dec-2024</v>
      </c>
    </row>
    <row r="1036" customFormat="false" ht="43.5" hidden="false" customHeight="true" outlineLevel="0" collapsed="false">
      <c r="A1036" s="1" t="n">
        <v>5</v>
      </c>
      <c r="B1036" s="10" t="n">
        <v>45591</v>
      </c>
      <c r="C1036" s="11" t="s">
        <v>1054</v>
      </c>
      <c r="D1036" s="1" t="s">
        <v>8</v>
      </c>
      <c r="E1036" s="1" t="s">
        <v>18</v>
      </c>
      <c r="F1036" s="1" t="str">
        <f aca="false">TEXT(B1036,"mmm-yyyy")</f>
        <v>Oct-2024</v>
      </c>
    </row>
    <row r="1037" customFormat="false" ht="28.5" hidden="false" customHeight="true" outlineLevel="0" collapsed="false">
      <c r="A1037" s="1" t="n">
        <v>5</v>
      </c>
      <c r="B1037" s="10" t="n">
        <v>45588</v>
      </c>
      <c r="C1037" s="11" t="s">
        <v>1055</v>
      </c>
      <c r="D1037" s="1" t="s">
        <v>8</v>
      </c>
      <c r="E1037" s="1" t="s">
        <v>18</v>
      </c>
      <c r="F1037" s="1" t="str">
        <f aca="false">TEXT(B1037,"mmm-yyyy")</f>
        <v>Oct-2024</v>
      </c>
    </row>
    <row r="1038" customFormat="false" ht="130.5" hidden="false" customHeight="true" outlineLevel="0" collapsed="false">
      <c r="A1038" s="1" t="n">
        <v>5</v>
      </c>
      <c r="B1038" s="10" t="n">
        <v>45592</v>
      </c>
      <c r="C1038" s="11" t="s">
        <v>1056</v>
      </c>
      <c r="D1038" s="1" t="s">
        <v>8</v>
      </c>
      <c r="E1038" s="1" t="s">
        <v>18</v>
      </c>
      <c r="F1038" s="1" t="str">
        <f aca="false">TEXT(B1038,"mmm-yyyy")</f>
        <v>Oct-2024</v>
      </c>
    </row>
    <row r="1039" customFormat="false" ht="115.5" hidden="false" customHeight="true" outlineLevel="0" collapsed="false">
      <c r="A1039" s="1" t="n">
        <v>1</v>
      </c>
      <c r="B1039" s="10" t="n">
        <v>45613</v>
      </c>
      <c r="C1039" s="11" t="s">
        <v>1057</v>
      </c>
      <c r="D1039" s="1" t="s">
        <v>8</v>
      </c>
      <c r="E1039" s="1" t="s">
        <v>20</v>
      </c>
      <c r="F1039" s="1" t="str">
        <f aca="false">TEXT(B1039,"mmm-yyyy")</f>
        <v>Nov-2024</v>
      </c>
    </row>
    <row r="1040" customFormat="false" ht="43.5" hidden="false" customHeight="true" outlineLevel="0" collapsed="false">
      <c r="A1040" s="1" t="n">
        <v>5</v>
      </c>
      <c r="B1040" s="10" t="n">
        <v>45575</v>
      </c>
      <c r="C1040" s="11" t="s">
        <v>1058</v>
      </c>
      <c r="D1040" s="1" t="s">
        <v>8</v>
      </c>
      <c r="E1040" s="1" t="s">
        <v>18</v>
      </c>
      <c r="F1040" s="1" t="str">
        <f aca="false">TEXT(B1040,"mmm-yyyy")</f>
        <v>Oct-2024</v>
      </c>
    </row>
    <row r="1041" customFormat="false" ht="57.75" hidden="false" customHeight="true" outlineLevel="0" collapsed="false">
      <c r="A1041" s="1" t="n">
        <v>1</v>
      </c>
      <c r="B1041" s="10" t="n">
        <v>45586</v>
      </c>
      <c r="C1041" s="11" t="s">
        <v>1059</v>
      </c>
      <c r="D1041" s="1" t="s">
        <v>8</v>
      </c>
      <c r="E1041" s="1" t="s">
        <v>20</v>
      </c>
      <c r="F1041" s="1" t="str">
        <f aca="false">TEXT(B1041,"mmm-yyyy")</f>
        <v>Oct-2024</v>
      </c>
    </row>
    <row r="1042" customFormat="false" ht="57.75" hidden="false" customHeight="true" outlineLevel="0" collapsed="false">
      <c r="A1042" s="1" t="n">
        <v>5</v>
      </c>
      <c r="B1042" s="10" t="n">
        <v>45595</v>
      </c>
      <c r="C1042" s="11" t="s">
        <v>1060</v>
      </c>
      <c r="D1042" s="1" t="s">
        <v>8</v>
      </c>
      <c r="E1042" s="1" t="s">
        <v>18</v>
      </c>
      <c r="F1042" s="1" t="str">
        <f aca="false">TEXT(B1042,"mmm-yyyy")</f>
        <v>Oct-2024</v>
      </c>
    </row>
    <row r="1043" customFormat="false" ht="115.5" hidden="false" customHeight="true" outlineLevel="0" collapsed="false">
      <c r="A1043" s="1" t="n">
        <v>5</v>
      </c>
      <c r="B1043" s="10" t="n">
        <v>45641</v>
      </c>
      <c r="C1043" s="11" t="s">
        <v>1061</v>
      </c>
      <c r="D1043" s="1" t="s">
        <v>8</v>
      </c>
      <c r="E1043" s="1" t="s">
        <v>18</v>
      </c>
      <c r="F1043" s="1" t="str">
        <f aca="false">TEXT(B1043,"mmm-yyyy")</f>
        <v>Dec-2024</v>
      </c>
    </row>
    <row r="1044" customFormat="false" ht="43.5" hidden="false" customHeight="true" outlineLevel="0" collapsed="false">
      <c r="A1044" s="1" t="n">
        <v>4</v>
      </c>
      <c r="B1044" s="10" t="n">
        <v>45652</v>
      </c>
      <c r="C1044" s="11" t="s">
        <v>1062</v>
      </c>
      <c r="D1044" s="1" t="s">
        <v>8</v>
      </c>
      <c r="E1044" s="1" t="s">
        <v>18</v>
      </c>
      <c r="F1044" s="1" t="str">
        <f aca="false">TEXT(B1044,"mmm-yyyy")</f>
        <v>Dec-2024</v>
      </c>
    </row>
    <row r="1045" customFormat="false" ht="72" hidden="false" customHeight="true" outlineLevel="0" collapsed="false">
      <c r="A1045" s="1" t="n">
        <v>1</v>
      </c>
      <c r="B1045" s="10" t="n">
        <v>45614</v>
      </c>
      <c r="C1045" s="11" t="s">
        <v>1063</v>
      </c>
      <c r="D1045" s="1" t="s">
        <v>8</v>
      </c>
      <c r="E1045" s="1" t="s">
        <v>18</v>
      </c>
      <c r="F1045" s="1" t="str">
        <f aca="false">TEXT(B1045,"mmm-yyyy")</f>
        <v>Nov-2024</v>
      </c>
    </row>
    <row r="1046" customFormat="false" ht="144.75" hidden="false" customHeight="true" outlineLevel="0" collapsed="false">
      <c r="A1046" s="1" t="n">
        <v>1</v>
      </c>
      <c r="B1046" s="10" t="n">
        <v>45646</v>
      </c>
      <c r="C1046" s="11" t="s">
        <v>1064</v>
      </c>
      <c r="D1046" s="1" t="s">
        <v>8</v>
      </c>
      <c r="E1046" s="1" t="s">
        <v>20</v>
      </c>
      <c r="F1046" s="1" t="str">
        <f aca="false">TEXT(B1046,"mmm-yyyy")</f>
        <v>Dec-2024</v>
      </c>
    </row>
    <row r="1047" customFormat="false" ht="72" hidden="false" customHeight="true" outlineLevel="0" collapsed="false">
      <c r="A1047" s="1" t="n">
        <v>3</v>
      </c>
      <c r="B1047" s="10" t="n">
        <v>45613</v>
      </c>
      <c r="C1047" s="11" t="s">
        <v>1065</v>
      </c>
      <c r="D1047" s="1" t="s">
        <v>8</v>
      </c>
      <c r="E1047" s="1" t="s">
        <v>20</v>
      </c>
      <c r="F1047" s="1" t="str">
        <f aca="false">TEXT(B1047,"mmm-yyyy")</f>
        <v>Nov-2024</v>
      </c>
    </row>
    <row r="1048" customFormat="false" ht="72" hidden="false" customHeight="true" outlineLevel="0" collapsed="false">
      <c r="A1048" s="1" t="n">
        <v>1</v>
      </c>
      <c r="B1048" s="10" t="n">
        <v>45637</v>
      </c>
      <c r="C1048" s="11" t="s">
        <v>1066</v>
      </c>
      <c r="D1048" s="1" t="s">
        <v>8</v>
      </c>
      <c r="E1048" s="1" t="s">
        <v>18</v>
      </c>
      <c r="F1048" s="1" t="str">
        <f aca="false">TEXT(B1048,"mmm-yyyy")</f>
        <v>Dec-2024</v>
      </c>
    </row>
    <row r="1049" customFormat="false" ht="115.5" hidden="false" customHeight="true" outlineLevel="0" collapsed="false">
      <c r="A1049" s="1" t="n">
        <v>2</v>
      </c>
      <c r="B1049" s="10" t="n">
        <v>45625</v>
      </c>
      <c r="C1049" s="11" t="s">
        <v>1067</v>
      </c>
      <c r="D1049" s="1" t="s">
        <v>8</v>
      </c>
      <c r="E1049" s="1" t="s">
        <v>20</v>
      </c>
      <c r="F1049" s="1" t="str">
        <f aca="false">TEXT(B1049,"mmm-yyyy")</f>
        <v>Nov-2024</v>
      </c>
    </row>
    <row r="1050" customFormat="false" ht="57.75" hidden="false" customHeight="true" outlineLevel="0" collapsed="false">
      <c r="A1050" s="1" t="n">
        <v>5</v>
      </c>
      <c r="B1050" s="10" t="n">
        <v>45581</v>
      </c>
      <c r="C1050" s="11" t="s">
        <v>1068</v>
      </c>
      <c r="D1050" s="1" t="s">
        <v>8</v>
      </c>
      <c r="E1050" s="1" t="s">
        <v>18</v>
      </c>
      <c r="F1050" s="1" t="str">
        <f aca="false">TEXT(B1050,"mmm-yyyy")</f>
        <v>Oct-2024</v>
      </c>
    </row>
    <row r="1051" customFormat="false" ht="43.5" hidden="false" customHeight="true" outlineLevel="0" collapsed="false">
      <c r="A1051" s="1" t="n">
        <v>5</v>
      </c>
      <c r="B1051" s="10" t="n">
        <v>45574</v>
      </c>
      <c r="C1051" s="11" t="s">
        <v>1069</v>
      </c>
      <c r="D1051" s="1" t="s">
        <v>8</v>
      </c>
      <c r="E1051" s="1" t="s">
        <v>18</v>
      </c>
      <c r="F1051" s="1" t="str">
        <f aca="false">TEXT(B1051,"mmm-yyyy")</f>
        <v>Oct-2024</v>
      </c>
    </row>
    <row r="1052" customFormat="false" ht="72" hidden="false" customHeight="true" outlineLevel="0" collapsed="false">
      <c r="A1052" s="1" t="n">
        <v>2</v>
      </c>
      <c r="B1052" s="10" t="n">
        <v>45580</v>
      </c>
      <c r="C1052" s="11" t="s">
        <v>1070</v>
      </c>
      <c r="D1052" s="1" t="s">
        <v>8</v>
      </c>
      <c r="E1052" s="1" t="s">
        <v>20</v>
      </c>
      <c r="F1052" s="1" t="str">
        <f aca="false">TEXT(B1052,"mmm-yyyy")</f>
        <v>Oct-2024</v>
      </c>
    </row>
    <row r="1053" customFormat="false" ht="115.5" hidden="false" customHeight="true" outlineLevel="0" collapsed="false">
      <c r="A1053" s="1" t="n">
        <v>1</v>
      </c>
      <c r="B1053" s="10" t="n">
        <v>45590</v>
      </c>
      <c r="C1053" s="11" t="s">
        <v>1071</v>
      </c>
      <c r="D1053" s="1" t="s">
        <v>8</v>
      </c>
      <c r="E1053" s="1" t="s">
        <v>20</v>
      </c>
      <c r="F1053" s="1" t="str">
        <f aca="false">TEXT(B1053,"mmm-yyyy")</f>
        <v>Oct-2024</v>
      </c>
    </row>
    <row r="1054" customFormat="false" ht="101.25" hidden="false" customHeight="true" outlineLevel="0" collapsed="false">
      <c r="A1054" s="1" t="n">
        <v>2</v>
      </c>
      <c r="B1054" s="10" t="n">
        <v>45593</v>
      </c>
      <c r="C1054" s="11" t="s">
        <v>1072</v>
      </c>
      <c r="D1054" s="1" t="s">
        <v>8</v>
      </c>
      <c r="E1054" s="1" t="s">
        <v>20</v>
      </c>
      <c r="F1054" s="1" t="str">
        <f aca="false">TEXT(B1054,"mmm-yyyy")</f>
        <v>Oct-2024</v>
      </c>
    </row>
    <row r="1055" customFormat="false" ht="43.5" hidden="false" customHeight="true" outlineLevel="0" collapsed="false">
      <c r="A1055" s="1" t="n">
        <v>1</v>
      </c>
      <c r="B1055" s="10" t="n">
        <v>45587</v>
      </c>
      <c r="C1055" s="11" t="s">
        <v>1073</v>
      </c>
      <c r="D1055" s="1" t="s">
        <v>8</v>
      </c>
      <c r="E1055" s="1" t="s">
        <v>18</v>
      </c>
      <c r="F1055" s="1" t="str">
        <f aca="false">TEXT(B1055,"mmm-yyyy")</f>
        <v>Oct-2024</v>
      </c>
    </row>
    <row r="1056" customFormat="false" ht="43.5" hidden="false" customHeight="true" outlineLevel="0" collapsed="false">
      <c r="A1056" s="1" t="n">
        <v>1</v>
      </c>
      <c r="B1056" s="10" t="n">
        <v>45657</v>
      </c>
      <c r="C1056" s="11" t="s">
        <v>1074</v>
      </c>
      <c r="D1056" s="1" t="s">
        <v>8</v>
      </c>
      <c r="E1056" s="1" t="s">
        <v>18</v>
      </c>
      <c r="F1056" s="1" t="str">
        <f aca="false">TEXT(B1056,"mmm-yyyy")</f>
        <v>Dec-2024</v>
      </c>
    </row>
    <row r="1057" customFormat="false" ht="43.5" hidden="false" customHeight="true" outlineLevel="0" collapsed="false">
      <c r="A1057" s="1" t="n">
        <v>1</v>
      </c>
      <c r="B1057" s="10" t="n">
        <v>45653</v>
      </c>
      <c r="C1057" s="11" t="s">
        <v>1075</v>
      </c>
      <c r="D1057" s="1" t="s">
        <v>8</v>
      </c>
      <c r="E1057" s="1" t="s">
        <v>18</v>
      </c>
      <c r="F1057" s="1" t="str">
        <f aca="false">TEXT(B1057,"mmm-yyyy")</f>
        <v>Dec-2024</v>
      </c>
    </row>
    <row r="1058" customFormat="false" ht="57.75" hidden="false" customHeight="true" outlineLevel="0" collapsed="false">
      <c r="A1058" s="1" t="n">
        <v>5</v>
      </c>
      <c r="B1058" s="10" t="n">
        <v>45590</v>
      </c>
      <c r="C1058" s="11" t="s">
        <v>1076</v>
      </c>
      <c r="D1058" s="1" t="s">
        <v>8</v>
      </c>
      <c r="E1058" s="1" t="s">
        <v>18</v>
      </c>
      <c r="F1058" s="1" t="str">
        <f aca="false">TEXT(B1058,"mmm-yyyy")</f>
        <v>Oct-2024</v>
      </c>
    </row>
    <row r="1059" customFormat="false" ht="28.5" hidden="false" customHeight="true" outlineLevel="0" collapsed="false">
      <c r="A1059" s="1" t="n">
        <v>5</v>
      </c>
      <c r="B1059" s="10" t="n">
        <v>45650</v>
      </c>
      <c r="C1059" s="11" t="s">
        <v>1077</v>
      </c>
      <c r="D1059" s="1" t="s">
        <v>8</v>
      </c>
      <c r="E1059" s="1" t="s">
        <v>18</v>
      </c>
      <c r="F1059" s="1" t="str">
        <f aca="false">TEXT(B1059,"mmm-yyyy")</f>
        <v>Dec-2024</v>
      </c>
    </row>
    <row r="1060" customFormat="false" ht="72" hidden="false" customHeight="true" outlineLevel="0" collapsed="false">
      <c r="A1060" s="1" t="n">
        <v>1</v>
      </c>
      <c r="B1060" s="10" t="n">
        <v>45625</v>
      </c>
      <c r="C1060" s="11" t="s">
        <v>1078</v>
      </c>
      <c r="D1060" s="1" t="s">
        <v>8</v>
      </c>
      <c r="E1060" s="1" t="s">
        <v>20</v>
      </c>
      <c r="F1060" s="1" t="str">
        <f aca="false">TEXT(B1060,"mmm-yyyy")</f>
        <v>Nov-2024</v>
      </c>
    </row>
    <row r="1061" customFormat="false" ht="72" hidden="false" customHeight="true" outlineLevel="0" collapsed="false">
      <c r="A1061" s="1" t="n">
        <v>5</v>
      </c>
      <c r="B1061" s="10" t="n">
        <v>45610</v>
      </c>
      <c r="C1061" s="11" t="s">
        <v>1079</v>
      </c>
      <c r="D1061" s="1" t="s">
        <v>8</v>
      </c>
      <c r="E1061" s="1" t="s">
        <v>18</v>
      </c>
      <c r="F1061" s="1" t="str">
        <f aca="false">TEXT(B1061,"mmm-yyyy")</f>
        <v>Nov-2024</v>
      </c>
    </row>
    <row r="1062" customFormat="false" ht="57.75" hidden="false" customHeight="true" outlineLevel="0" collapsed="false">
      <c r="A1062" s="1" t="n">
        <v>5</v>
      </c>
      <c r="B1062" s="10" t="n">
        <v>45638</v>
      </c>
      <c r="C1062" s="11" t="s">
        <v>1080</v>
      </c>
      <c r="D1062" s="1" t="s">
        <v>8</v>
      </c>
      <c r="E1062" s="1" t="s">
        <v>18</v>
      </c>
      <c r="F1062" s="1" t="str">
        <f aca="false">TEXT(B1062,"mmm-yyyy")</f>
        <v>Dec-2024</v>
      </c>
    </row>
    <row r="1063" customFormat="false" ht="72" hidden="false" customHeight="true" outlineLevel="0" collapsed="false">
      <c r="A1063" s="1" t="n">
        <v>1</v>
      </c>
      <c r="B1063" s="10" t="n">
        <v>45620</v>
      </c>
      <c r="C1063" s="11" t="s">
        <v>1081</v>
      </c>
      <c r="D1063" s="1" t="s">
        <v>8</v>
      </c>
      <c r="E1063" s="1" t="s">
        <v>18</v>
      </c>
      <c r="F1063" s="1" t="str">
        <f aca="false">TEXT(B1063,"mmm-yyyy")</f>
        <v>Nov-2024</v>
      </c>
    </row>
    <row r="1064" customFormat="false" ht="43.5" hidden="false" customHeight="true" outlineLevel="0" collapsed="false">
      <c r="A1064" s="1" t="n">
        <v>1</v>
      </c>
      <c r="B1064" s="10" t="n">
        <v>45644</v>
      </c>
      <c r="C1064" s="11" t="s">
        <v>1082</v>
      </c>
      <c r="D1064" s="1" t="s">
        <v>8</v>
      </c>
      <c r="E1064" s="1" t="s">
        <v>20</v>
      </c>
      <c r="F1064" s="1" t="str">
        <f aca="false">TEXT(B1064,"mmm-yyyy")</f>
        <v>Dec-2024</v>
      </c>
    </row>
    <row r="1065" customFormat="false" ht="115.5" hidden="false" customHeight="true" outlineLevel="0" collapsed="false">
      <c r="A1065" s="1" t="n">
        <v>1</v>
      </c>
      <c r="B1065" s="10" t="n">
        <v>45542</v>
      </c>
      <c r="C1065" s="11" t="s">
        <v>1083</v>
      </c>
      <c r="D1065" s="1" t="s">
        <v>8</v>
      </c>
      <c r="E1065" s="1" t="s">
        <v>20</v>
      </c>
      <c r="F1065" s="1" t="str">
        <f aca="false">TEXT(B1065,"mmm-yyyy")</f>
        <v>Sep-2024</v>
      </c>
    </row>
    <row r="1066" customFormat="false" ht="115.5" hidden="false" customHeight="true" outlineLevel="0" collapsed="false">
      <c r="A1066" s="1" t="n">
        <v>1</v>
      </c>
      <c r="B1066" s="10" t="n">
        <v>45649</v>
      </c>
      <c r="C1066" s="11" t="s">
        <v>1084</v>
      </c>
      <c r="D1066" s="1" t="s">
        <v>8</v>
      </c>
      <c r="E1066" s="1" t="s">
        <v>20</v>
      </c>
      <c r="F1066" s="1" t="str">
        <f aca="false">TEXT(B1066,"mmm-yyyy")</f>
        <v>Dec-2024</v>
      </c>
    </row>
    <row r="1067" customFormat="false" ht="43.5" hidden="false" customHeight="true" outlineLevel="0" collapsed="false">
      <c r="A1067" s="1" t="n">
        <v>1</v>
      </c>
      <c r="B1067" s="10" t="n">
        <v>45645</v>
      </c>
      <c r="C1067" s="11" t="s">
        <v>1085</v>
      </c>
      <c r="D1067" s="1" t="s">
        <v>8</v>
      </c>
      <c r="E1067" s="1" t="s">
        <v>20</v>
      </c>
      <c r="F1067" s="1" t="str">
        <f aca="false">TEXT(B1067,"mmm-yyyy")</f>
        <v>Dec-2024</v>
      </c>
    </row>
    <row r="1068" customFormat="false" ht="101.25" hidden="false" customHeight="true" outlineLevel="0" collapsed="false">
      <c r="A1068" s="1" t="n">
        <v>1</v>
      </c>
      <c r="B1068" s="10" t="n">
        <v>45500</v>
      </c>
      <c r="C1068" s="11" t="s">
        <v>1086</v>
      </c>
      <c r="D1068" s="1" t="s">
        <v>8</v>
      </c>
      <c r="E1068" s="1" t="s">
        <v>20</v>
      </c>
      <c r="F1068" s="1" t="str">
        <f aca="false">TEXT(B1068,"mmm-yyyy")</f>
        <v>Jul-2024</v>
      </c>
    </row>
    <row r="1069" customFormat="false" ht="57.75" hidden="false" customHeight="true" outlineLevel="0" collapsed="false">
      <c r="A1069" s="1" t="n">
        <v>4</v>
      </c>
      <c r="B1069" s="10" t="n">
        <v>45592</v>
      </c>
      <c r="C1069" s="11" t="s">
        <v>1087</v>
      </c>
      <c r="D1069" s="1" t="s">
        <v>8</v>
      </c>
      <c r="E1069" s="1" t="s">
        <v>18</v>
      </c>
      <c r="F1069" s="1" t="str">
        <f aca="false">TEXT(B1069,"mmm-yyyy")</f>
        <v>Oct-2024</v>
      </c>
    </row>
    <row r="1070" customFormat="false" ht="115.5" hidden="false" customHeight="true" outlineLevel="0" collapsed="false">
      <c r="A1070" s="1" t="n">
        <v>1</v>
      </c>
      <c r="B1070" s="10" t="n">
        <v>45655</v>
      </c>
      <c r="C1070" s="11" t="s">
        <v>1088</v>
      </c>
      <c r="D1070" s="1" t="s">
        <v>8</v>
      </c>
      <c r="E1070" s="1" t="s">
        <v>20</v>
      </c>
      <c r="F1070" s="1" t="str">
        <f aca="false">TEXT(B1070,"mmm-yyyy")</f>
        <v>Dec-2024</v>
      </c>
    </row>
    <row r="1071" customFormat="false" ht="101.25" hidden="false" customHeight="true" outlineLevel="0" collapsed="false">
      <c r="A1071" s="1" t="n">
        <v>1</v>
      </c>
      <c r="B1071" s="10" t="n">
        <v>45516</v>
      </c>
      <c r="C1071" s="11" t="s">
        <v>1089</v>
      </c>
      <c r="D1071" s="1" t="s">
        <v>8</v>
      </c>
      <c r="E1071" s="1" t="s">
        <v>18</v>
      </c>
      <c r="F1071" s="1" t="str">
        <f aca="false">TEXT(B1071,"mmm-yyyy")</f>
        <v>Aug-2024</v>
      </c>
    </row>
    <row r="1072" customFormat="false" ht="28.5" hidden="false" customHeight="true" outlineLevel="0" collapsed="false">
      <c r="A1072" s="1" t="n">
        <v>3</v>
      </c>
      <c r="B1072" s="10" t="n">
        <v>45646</v>
      </c>
      <c r="C1072" s="11" t="s">
        <v>1090</v>
      </c>
      <c r="D1072" s="1" t="s">
        <v>8</v>
      </c>
      <c r="E1072" s="1" t="s">
        <v>18</v>
      </c>
      <c r="F1072" s="1" t="str">
        <f aca="false">TEXT(B1072,"mmm-yyyy")</f>
        <v>Dec-2024</v>
      </c>
    </row>
    <row r="1073" customFormat="false" ht="28.5" hidden="false" customHeight="true" outlineLevel="0" collapsed="false">
      <c r="A1073" s="1" t="n">
        <v>1</v>
      </c>
      <c r="B1073" s="10" t="n">
        <v>45656</v>
      </c>
      <c r="C1073" s="11" t="s">
        <v>1091</v>
      </c>
      <c r="D1073" s="1" t="s">
        <v>8</v>
      </c>
      <c r="E1073" s="1" t="s">
        <v>20</v>
      </c>
      <c r="F1073" s="1" t="str">
        <f aca="false">TEXT(B1073,"mmm-yyyy")</f>
        <v>Dec-2024</v>
      </c>
    </row>
    <row r="1074" customFormat="false" ht="101.25" hidden="false" customHeight="true" outlineLevel="0" collapsed="false">
      <c r="A1074" s="1" t="n">
        <v>1</v>
      </c>
      <c r="B1074" s="10" t="n">
        <v>45570</v>
      </c>
      <c r="C1074" s="11" t="s">
        <v>1092</v>
      </c>
      <c r="D1074" s="1" t="s">
        <v>8</v>
      </c>
      <c r="E1074" s="1" t="s">
        <v>20</v>
      </c>
      <c r="F1074" s="1" t="str">
        <f aca="false">TEXT(B1074,"mmm-yyyy")</f>
        <v>Oct-2024</v>
      </c>
    </row>
    <row r="1075" customFormat="false" ht="101.25" hidden="false" customHeight="true" outlineLevel="0" collapsed="false">
      <c r="A1075" s="1" t="n">
        <v>5</v>
      </c>
      <c r="B1075" s="10" t="n">
        <v>45563</v>
      </c>
      <c r="C1075" s="11" t="s">
        <v>1093</v>
      </c>
      <c r="D1075" s="1" t="s">
        <v>8</v>
      </c>
      <c r="E1075" s="1" t="s">
        <v>18</v>
      </c>
      <c r="F1075" s="1" t="str">
        <f aca="false">TEXT(B1075,"mmm-yyyy")</f>
        <v>Sep-2024</v>
      </c>
    </row>
    <row r="1076" customFormat="false" ht="101.25" hidden="false" customHeight="true" outlineLevel="0" collapsed="false">
      <c r="A1076" s="1" t="n">
        <v>2</v>
      </c>
      <c r="B1076" s="10" t="n">
        <v>45573</v>
      </c>
      <c r="C1076" s="11" t="s">
        <v>1094</v>
      </c>
      <c r="D1076" s="1" t="s">
        <v>8</v>
      </c>
      <c r="E1076" s="1" t="s">
        <v>20</v>
      </c>
      <c r="F1076" s="1" t="str">
        <f aca="false">TEXT(B1076,"mmm-yyyy")</f>
        <v>Oct-2024</v>
      </c>
    </row>
    <row r="1077" customFormat="false" ht="101.25" hidden="false" customHeight="true" outlineLevel="0" collapsed="false">
      <c r="A1077" s="1" t="n">
        <v>2</v>
      </c>
      <c r="B1077" s="10" t="n">
        <v>45572</v>
      </c>
      <c r="C1077" s="11" t="s">
        <v>1095</v>
      </c>
      <c r="D1077" s="1" t="s">
        <v>8</v>
      </c>
      <c r="E1077" s="1" t="s">
        <v>18</v>
      </c>
      <c r="F1077" s="1" t="str">
        <f aca="false">TEXT(B1077,"mmm-yyyy")</f>
        <v>Oct-2024</v>
      </c>
    </row>
    <row r="1078" customFormat="false" ht="101.25" hidden="false" customHeight="true" outlineLevel="0" collapsed="false">
      <c r="A1078" s="1" t="n">
        <v>1</v>
      </c>
      <c r="B1078" s="10" t="n">
        <v>45570</v>
      </c>
      <c r="C1078" s="11" t="s">
        <v>1096</v>
      </c>
      <c r="D1078" s="1" t="s">
        <v>8</v>
      </c>
      <c r="E1078" s="1" t="s">
        <v>20</v>
      </c>
      <c r="F1078" s="1" t="str">
        <f aca="false">TEXT(B1078,"mmm-yyyy")</f>
        <v>Oct-2024</v>
      </c>
    </row>
    <row r="1079" customFormat="false" ht="130.5" hidden="false" customHeight="true" outlineLevel="0" collapsed="false">
      <c r="A1079" s="1" t="n">
        <v>5</v>
      </c>
      <c r="B1079" s="10" t="n">
        <v>45569</v>
      </c>
      <c r="C1079" s="11" t="s">
        <v>1097</v>
      </c>
      <c r="D1079" s="1" t="s">
        <v>8</v>
      </c>
      <c r="E1079" s="1" t="s">
        <v>18</v>
      </c>
      <c r="F1079" s="1" t="str">
        <f aca="false">TEXT(B1079,"mmm-yyyy")</f>
        <v>Oct-2024</v>
      </c>
    </row>
    <row r="1080" customFormat="false" ht="72" hidden="false" customHeight="true" outlineLevel="0" collapsed="false">
      <c r="A1080" s="1" t="n">
        <v>1</v>
      </c>
      <c r="B1080" s="10" t="n">
        <v>45572</v>
      </c>
      <c r="C1080" s="11" t="s">
        <v>1098</v>
      </c>
      <c r="D1080" s="1" t="s">
        <v>8</v>
      </c>
      <c r="E1080" s="1" t="s">
        <v>20</v>
      </c>
      <c r="F1080" s="1" t="str">
        <f aca="false">TEXT(B1080,"mmm-yyyy")</f>
        <v>Oct-2024</v>
      </c>
    </row>
    <row r="1081" customFormat="false" ht="72" hidden="false" customHeight="true" outlineLevel="0" collapsed="false">
      <c r="A1081" s="1" t="n">
        <v>5</v>
      </c>
      <c r="B1081" s="10" t="n">
        <v>45605</v>
      </c>
      <c r="C1081" s="11" t="s">
        <v>1099</v>
      </c>
      <c r="D1081" s="1" t="s">
        <v>8</v>
      </c>
      <c r="E1081" s="1" t="s">
        <v>18</v>
      </c>
      <c r="F1081" s="1" t="str">
        <f aca="false">TEXT(B1081,"mmm-yyyy")</f>
        <v>Nov-2024</v>
      </c>
    </row>
    <row r="1082" customFormat="false" ht="115.5" hidden="false" customHeight="true" outlineLevel="0" collapsed="false">
      <c r="A1082" s="1" t="n">
        <v>5</v>
      </c>
      <c r="B1082" s="10" t="n">
        <v>45570</v>
      </c>
      <c r="C1082" s="11" t="s">
        <v>1100</v>
      </c>
      <c r="D1082" s="1" t="s">
        <v>8</v>
      </c>
      <c r="E1082" s="1" t="s">
        <v>18</v>
      </c>
      <c r="F1082" s="1" t="str">
        <f aca="false">TEXT(B1082,"mmm-yyyy")</f>
        <v>Oct-2024</v>
      </c>
    </row>
    <row r="1083" customFormat="false" ht="87" hidden="false" customHeight="true" outlineLevel="0" collapsed="false">
      <c r="A1083" s="1" t="n">
        <v>5</v>
      </c>
      <c r="B1083" s="10" t="n">
        <v>45571</v>
      </c>
      <c r="C1083" s="11" t="s">
        <v>1101</v>
      </c>
      <c r="D1083" s="1" t="s">
        <v>8</v>
      </c>
      <c r="E1083" s="1" t="s">
        <v>18</v>
      </c>
      <c r="F1083" s="1" t="str">
        <f aca="false">TEXT(B1083,"mmm-yyyy")</f>
        <v>Oct-2024</v>
      </c>
    </row>
    <row r="1084" customFormat="false" ht="87" hidden="false" customHeight="true" outlineLevel="0" collapsed="false">
      <c r="A1084" s="1" t="n">
        <v>4</v>
      </c>
      <c r="B1084" s="10" t="n">
        <v>45584</v>
      </c>
      <c r="C1084" s="11" t="s">
        <v>1102</v>
      </c>
      <c r="D1084" s="1" t="s">
        <v>8</v>
      </c>
      <c r="E1084" s="1" t="s">
        <v>18</v>
      </c>
      <c r="F1084" s="1" t="str">
        <f aca="false">TEXT(B1084,"mmm-yyyy")</f>
        <v>Oct-2024</v>
      </c>
    </row>
    <row r="1085" customFormat="false" ht="87" hidden="false" customHeight="true" outlineLevel="0" collapsed="false">
      <c r="A1085" s="1" t="n">
        <v>1</v>
      </c>
      <c r="B1085" s="10" t="n">
        <v>45571</v>
      </c>
      <c r="C1085" s="11" t="s">
        <v>1103</v>
      </c>
      <c r="D1085" s="1" t="s">
        <v>8</v>
      </c>
      <c r="E1085" s="1" t="s">
        <v>20</v>
      </c>
      <c r="F1085" s="1" t="str">
        <f aca="false">TEXT(B1085,"mmm-yyyy")</f>
        <v>Oct-2024</v>
      </c>
    </row>
    <row r="1086" customFormat="false" ht="101.25" hidden="false" customHeight="true" outlineLevel="0" collapsed="false">
      <c r="A1086" s="1" t="n">
        <v>5</v>
      </c>
      <c r="B1086" s="10" t="n">
        <v>45570</v>
      </c>
      <c r="C1086" s="11" t="s">
        <v>1104</v>
      </c>
      <c r="D1086" s="1" t="s">
        <v>8</v>
      </c>
      <c r="E1086" s="1" t="s">
        <v>18</v>
      </c>
      <c r="F1086" s="1" t="str">
        <f aca="false">TEXT(B1086,"mmm-yyyy")</f>
        <v>Oct-2024</v>
      </c>
    </row>
    <row r="1087" customFormat="false" ht="115.5" hidden="false" customHeight="true" outlineLevel="0" collapsed="false">
      <c r="A1087" s="1" t="n">
        <v>5</v>
      </c>
      <c r="B1087" s="10" t="n">
        <v>45569</v>
      </c>
      <c r="C1087" s="11" t="s">
        <v>1105</v>
      </c>
      <c r="D1087" s="1" t="s">
        <v>8</v>
      </c>
      <c r="E1087" s="1" t="s">
        <v>18</v>
      </c>
      <c r="F1087" s="1" t="str">
        <f aca="false">TEXT(B1087,"mmm-yyyy")</f>
        <v>Oct-2024</v>
      </c>
    </row>
    <row r="1088" customFormat="false" ht="87" hidden="false" customHeight="true" outlineLevel="0" collapsed="false">
      <c r="A1088" s="1" t="n">
        <v>1</v>
      </c>
      <c r="B1088" s="10" t="n">
        <v>45569</v>
      </c>
      <c r="C1088" s="11" t="s">
        <v>1106</v>
      </c>
      <c r="D1088" s="1" t="s">
        <v>8</v>
      </c>
      <c r="E1088" s="1" t="s">
        <v>20</v>
      </c>
      <c r="F1088" s="1" t="str">
        <f aca="false">TEXT(B1088,"mmm-yyyy")</f>
        <v>Oct-2024</v>
      </c>
    </row>
    <row r="1089" customFormat="false" ht="87" hidden="false" customHeight="true" outlineLevel="0" collapsed="false">
      <c r="A1089" s="1" t="n">
        <v>5</v>
      </c>
      <c r="B1089" s="10" t="n">
        <v>45574</v>
      </c>
      <c r="C1089" s="11" t="s">
        <v>1107</v>
      </c>
      <c r="D1089" s="1" t="s">
        <v>8</v>
      </c>
      <c r="E1089" s="1" t="s">
        <v>18</v>
      </c>
      <c r="F1089" s="1" t="str">
        <f aca="false">TEXT(B1089,"mmm-yyyy")</f>
        <v>Oct-2024</v>
      </c>
    </row>
    <row r="1090" customFormat="false" ht="115.5" hidden="false" customHeight="true" outlineLevel="0" collapsed="false">
      <c r="A1090" s="1" t="n">
        <v>2</v>
      </c>
      <c r="B1090" s="10" t="n">
        <v>45584</v>
      </c>
      <c r="C1090" s="11" t="s">
        <v>1108</v>
      </c>
      <c r="D1090" s="1" t="s">
        <v>8</v>
      </c>
      <c r="E1090" s="1" t="s">
        <v>20</v>
      </c>
      <c r="F1090" s="1" t="str">
        <f aca="false">TEXT(B1090,"mmm-yyyy")</f>
        <v>Oct-2024</v>
      </c>
    </row>
    <row r="1091" customFormat="false" ht="72" hidden="false" customHeight="true" outlineLevel="0" collapsed="false">
      <c r="A1091" s="1" t="n">
        <v>1</v>
      </c>
      <c r="B1091" s="10" t="n">
        <v>45571</v>
      </c>
      <c r="C1091" s="11" t="s">
        <v>1109</v>
      </c>
      <c r="D1091" s="1" t="s">
        <v>8</v>
      </c>
      <c r="E1091" s="1" t="s">
        <v>18</v>
      </c>
      <c r="F1091" s="1" t="str">
        <f aca="false">TEXT(B1091,"mmm-yyyy")</f>
        <v>Oct-2024</v>
      </c>
    </row>
    <row r="1092" customFormat="false" ht="72" hidden="false" customHeight="true" outlineLevel="0" collapsed="false">
      <c r="A1092" s="1" t="n">
        <v>1</v>
      </c>
      <c r="B1092" s="10" t="n">
        <v>45568</v>
      </c>
      <c r="C1092" s="11" t="s">
        <v>1110</v>
      </c>
      <c r="D1092" s="1" t="s">
        <v>8</v>
      </c>
      <c r="E1092" s="1" t="s">
        <v>20</v>
      </c>
      <c r="F1092" s="1" t="str">
        <f aca="false">TEXT(B1092,"mmm-yyyy")</f>
        <v>Oct-2024</v>
      </c>
    </row>
    <row r="1093" customFormat="false" ht="144.75" hidden="false" customHeight="true" outlineLevel="0" collapsed="false">
      <c r="A1093" s="1" t="n">
        <v>1</v>
      </c>
      <c r="B1093" s="10" t="n">
        <v>45573</v>
      </c>
      <c r="C1093" s="11" t="s">
        <v>1111</v>
      </c>
      <c r="D1093" s="1" t="s">
        <v>8</v>
      </c>
      <c r="E1093" s="1" t="s">
        <v>20</v>
      </c>
      <c r="F1093" s="1" t="str">
        <f aca="false">TEXT(B1093,"mmm-yyyy")</f>
        <v>Oct-2024</v>
      </c>
    </row>
    <row r="1094" customFormat="false" ht="87" hidden="false" customHeight="true" outlineLevel="0" collapsed="false">
      <c r="A1094" s="1" t="n">
        <v>5</v>
      </c>
      <c r="B1094" s="10" t="n">
        <v>45537</v>
      </c>
      <c r="C1094" s="11" t="s">
        <v>1112</v>
      </c>
      <c r="D1094" s="1" t="s">
        <v>8</v>
      </c>
      <c r="E1094" s="1" t="s">
        <v>18</v>
      </c>
      <c r="F1094" s="1" t="str">
        <f aca="false">TEXT(B1094,"mmm-yyyy")</f>
        <v>Sep-2024</v>
      </c>
    </row>
    <row r="1095" customFormat="false" ht="87" hidden="false" customHeight="true" outlineLevel="0" collapsed="false">
      <c r="A1095" s="1" t="n">
        <v>1</v>
      </c>
      <c r="B1095" s="10" t="n">
        <v>45651</v>
      </c>
      <c r="C1095" s="11" t="s">
        <v>1113</v>
      </c>
      <c r="D1095" s="1" t="s">
        <v>8</v>
      </c>
      <c r="E1095" s="1" t="s">
        <v>18</v>
      </c>
      <c r="F1095" s="1" t="str">
        <f aca="false">TEXT(B1095,"mmm-yyyy")</f>
        <v>Dec-2024</v>
      </c>
    </row>
    <row r="1096" customFormat="false" ht="130.5" hidden="false" customHeight="true" outlineLevel="0" collapsed="false">
      <c r="A1096" s="1" t="n">
        <v>1</v>
      </c>
      <c r="B1096" s="10" t="n">
        <v>45570</v>
      </c>
      <c r="C1096" s="11" t="s">
        <v>1114</v>
      </c>
      <c r="D1096" s="1" t="s">
        <v>8</v>
      </c>
      <c r="E1096" s="1" t="s">
        <v>20</v>
      </c>
      <c r="F1096" s="1" t="str">
        <f aca="false">TEXT(B1096,"mmm-yyyy")</f>
        <v>Oct-2024</v>
      </c>
    </row>
    <row r="1097" customFormat="false" ht="43.5" hidden="false" customHeight="true" outlineLevel="0" collapsed="false">
      <c r="A1097" s="1" t="n">
        <v>1</v>
      </c>
      <c r="B1097" s="10" t="n">
        <v>45653</v>
      </c>
      <c r="C1097" s="11" t="s">
        <v>1115</v>
      </c>
      <c r="D1097" s="1" t="s">
        <v>8</v>
      </c>
      <c r="E1097" s="1" t="s">
        <v>20</v>
      </c>
      <c r="F1097" s="1" t="str">
        <f aca="false">TEXT(B1097,"mmm-yyyy")</f>
        <v>Dec-2024</v>
      </c>
    </row>
    <row r="1098" customFormat="false" ht="130.5" hidden="false" customHeight="true" outlineLevel="0" collapsed="false">
      <c r="A1098" s="1" t="n">
        <v>1</v>
      </c>
      <c r="B1098" s="10" t="n">
        <v>45572</v>
      </c>
      <c r="C1098" s="11" t="s">
        <v>1116</v>
      </c>
      <c r="D1098" s="1" t="s">
        <v>8</v>
      </c>
      <c r="E1098" s="1" t="s">
        <v>20</v>
      </c>
      <c r="F1098" s="1" t="str">
        <f aca="false">TEXT(B1098,"mmm-yyyy")</f>
        <v>Oct-2024</v>
      </c>
    </row>
    <row r="1099" customFormat="false" ht="57.75" hidden="false" customHeight="true" outlineLevel="0" collapsed="false">
      <c r="A1099" s="1" t="n">
        <v>4</v>
      </c>
      <c r="B1099" s="10" t="n">
        <v>45610</v>
      </c>
      <c r="C1099" s="11" t="s">
        <v>1117</v>
      </c>
      <c r="D1099" s="1" t="s">
        <v>8</v>
      </c>
      <c r="E1099" s="1" t="s">
        <v>20</v>
      </c>
      <c r="F1099" s="1" t="str">
        <f aca="false">TEXT(B1099,"mmm-yyyy")</f>
        <v>Nov-2024</v>
      </c>
    </row>
    <row r="1100" customFormat="false" ht="43.5" hidden="false" customHeight="true" outlineLevel="0" collapsed="false">
      <c r="A1100" s="1" t="n">
        <v>5</v>
      </c>
      <c r="B1100" s="10" t="n">
        <v>45657</v>
      </c>
      <c r="C1100" s="11" t="s">
        <v>1118</v>
      </c>
      <c r="D1100" s="1" t="s">
        <v>8</v>
      </c>
      <c r="E1100" s="1" t="s">
        <v>18</v>
      </c>
      <c r="F1100" s="1" t="str">
        <f aca="false">TEXT(B1100,"mmm-yyyy")</f>
        <v>Dec-2024</v>
      </c>
    </row>
    <row r="1101" customFormat="false" ht="43.5" hidden="false" customHeight="true" outlineLevel="0" collapsed="false">
      <c r="A1101" s="1" t="n">
        <v>1</v>
      </c>
      <c r="B1101" s="10" t="n">
        <v>45647</v>
      </c>
      <c r="C1101" s="11" t="s">
        <v>1119</v>
      </c>
      <c r="D1101" s="1" t="s">
        <v>8</v>
      </c>
      <c r="E1101" s="1" t="s">
        <v>20</v>
      </c>
      <c r="F1101" s="1" t="str">
        <f aca="false">TEXT(B1101,"mmm-yyyy")</f>
        <v>Dec-2024</v>
      </c>
    </row>
    <row r="1102" customFormat="false" ht="101.25" hidden="false" customHeight="true" outlineLevel="0" collapsed="false">
      <c r="A1102" s="1" t="n">
        <v>1</v>
      </c>
      <c r="B1102" s="10" t="n">
        <v>45571</v>
      </c>
      <c r="C1102" s="11" t="s">
        <v>1120</v>
      </c>
      <c r="D1102" s="1" t="s">
        <v>8</v>
      </c>
      <c r="E1102" s="1" t="s">
        <v>18</v>
      </c>
      <c r="F1102" s="1" t="str">
        <f aca="false">TEXT(B1102,"mmm-yyyy")</f>
        <v>Oct-2024</v>
      </c>
    </row>
    <row r="1103" customFormat="false" ht="115.5" hidden="false" customHeight="true" outlineLevel="0" collapsed="false">
      <c r="A1103" s="1" t="n">
        <v>1</v>
      </c>
      <c r="B1103" s="10" t="n">
        <v>45577</v>
      </c>
      <c r="C1103" s="11" t="s">
        <v>1121</v>
      </c>
      <c r="D1103" s="1" t="s">
        <v>8</v>
      </c>
      <c r="E1103" s="1" t="s">
        <v>20</v>
      </c>
      <c r="F1103" s="1" t="str">
        <f aca="false">TEXT(B1103,"mmm-yyyy")</f>
        <v>Oct-2024</v>
      </c>
    </row>
    <row r="1104" customFormat="false" ht="72" hidden="false" customHeight="true" outlineLevel="0" collapsed="false">
      <c r="A1104" s="1" t="n">
        <v>1</v>
      </c>
      <c r="B1104" s="10" t="n">
        <v>45592</v>
      </c>
      <c r="C1104" s="11" t="s">
        <v>1122</v>
      </c>
      <c r="D1104" s="1" t="s">
        <v>8</v>
      </c>
      <c r="E1104" s="1" t="s">
        <v>20</v>
      </c>
      <c r="F1104" s="1" t="str">
        <f aca="false">TEXT(B1104,"mmm-yyyy")</f>
        <v>Oct-2024</v>
      </c>
    </row>
    <row r="1105" customFormat="false" ht="57.75" hidden="false" customHeight="true" outlineLevel="0" collapsed="false">
      <c r="A1105" s="1" t="n">
        <v>4</v>
      </c>
      <c r="B1105" s="10" t="n">
        <v>45646</v>
      </c>
      <c r="C1105" s="11" t="s">
        <v>1123</v>
      </c>
      <c r="D1105" s="1" t="s">
        <v>8</v>
      </c>
      <c r="E1105" s="1" t="s">
        <v>18</v>
      </c>
      <c r="F1105" s="1" t="str">
        <f aca="false">TEXT(B1105,"mmm-yyyy")</f>
        <v>Dec-2024</v>
      </c>
    </row>
    <row r="1106" customFormat="false" ht="57.75" hidden="false" customHeight="true" outlineLevel="0" collapsed="false">
      <c r="A1106" s="1" t="n">
        <v>1</v>
      </c>
      <c r="B1106" s="10" t="n">
        <v>45647</v>
      </c>
      <c r="C1106" s="11" t="s">
        <v>1124</v>
      </c>
      <c r="D1106" s="1" t="s">
        <v>8</v>
      </c>
      <c r="E1106" s="1" t="s">
        <v>20</v>
      </c>
      <c r="F1106" s="1" t="str">
        <f aca="false">TEXT(B1106,"mmm-yyyy")</f>
        <v>Dec-2024</v>
      </c>
    </row>
    <row r="1107" customFormat="false" ht="43.5" hidden="false" customHeight="true" outlineLevel="0" collapsed="false">
      <c r="A1107" s="1" t="n">
        <v>1</v>
      </c>
      <c r="B1107" s="10" t="n">
        <v>45644</v>
      </c>
      <c r="C1107" s="11" t="s">
        <v>1125</v>
      </c>
      <c r="D1107" s="1" t="s">
        <v>8</v>
      </c>
      <c r="E1107" s="1" t="s">
        <v>20</v>
      </c>
      <c r="F1107" s="1" t="str">
        <f aca="false">TEXT(B1107,"mmm-yyyy")</f>
        <v>Dec-2024</v>
      </c>
    </row>
    <row r="1108" customFormat="false" ht="87" hidden="false" customHeight="true" outlineLevel="0" collapsed="false">
      <c r="A1108" s="1" t="n">
        <v>5</v>
      </c>
      <c r="B1108" s="10" t="n">
        <v>45653</v>
      </c>
      <c r="C1108" s="11" t="s">
        <v>1126</v>
      </c>
      <c r="D1108" s="1" t="s">
        <v>8</v>
      </c>
      <c r="E1108" s="1" t="s">
        <v>18</v>
      </c>
      <c r="F1108" s="1" t="str">
        <f aca="false">TEXT(B1108,"mmm-yyyy")</f>
        <v>Dec-2024</v>
      </c>
    </row>
    <row r="1109" customFormat="false" ht="87" hidden="false" customHeight="true" outlineLevel="0" collapsed="false">
      <c r="A1109" s="1" t="n">
        <v>4</v>
      </c>
      <c r="B1109" s="10" t="n">
        <v>45645</v>
      </c>
      <c r="C1109" s="11" t="s">
        <v>1127</v>
      </c>
      <c r="D1109" s="1" t="s">
        <v>8</v>
      </c>
      <c r="E1109" s="1" t="s">
        <v>18</v>
      </c>
      <c r="F1109" s="1" t="str">
        <f aca="false">TEXT(B1109,"mmm-yyyy")</f>
        <v>Dec-2024</v>
      </c>
    </row>
    <row r="1110" customFormat="false" ht="72" hidden="false" customHeight="true" outlineLevel="0" collapsed="false">
      <c r="A1110" s="1" t="n">
        <v>1</v>
      </c>
      <c r="B1110" s="10" t="n">
        <v>45633</v>
      </c>
      <c r="C1110" s="11" t="s">
        <v>1128</v>
      </c>
      <c r="D1110" s="1" t="s">
        <v>8</v>
      </c>
      <c r="E1110" s="1" t="s">
        <v>20</v>
      </c>
      <c r="F1110" s="1" t="str">
        <f aca="false">TEXT(B1110,"mmm-yyyy")</f>
        <v>Dec-2024</v>
      </c>
    </row>
    <row r="1111" customFormat="false" ht="43.5" hidden="false" customHeight="true" outlineLevel="0" collapsed="false">
      <c r="A1111" s="1" t="n">
        <v>1</v>
      </c>
      <c r="B1111" s="10" t="n">
        <v>45648</v>
      </c>
      <c r="C1111" s="11" t="s">
        <v>1129</v>
      </c>
      <c r="D1111" s="1" t="s">
        <v>8</v>
      </c>
      <c r="E1111" s="1" t="s">
        <v>32</v>
      </c>
      <c r="F1111" s="1" t="str">
        <f aca="false">TEXT(B1111,"mmm-yyyy")</f>
        <v>Dec-2024</v>
      </c>
    </row>
    <row r="1112" customFormat="false" ht="28.5" hidden="false" customHeight="true" outlineLevel="0" collapsed="false">
      <c r="A1112" s="1" t="n">
        <v>3</v>
      </c>
      <c r="B1112" s="10" t="n">
        <v>45657</v>
      </c>
      <c r="C1112" s="11" t="s">
        <v>1130</v>
      </c>
      <c r="D1112" s="1" t="s">
        <v>8</v>
      </c>
      <c r="E1112" s="1" t="s">
        <v>32</v>
      </c>
      <c r="F1112" s="1" t="str">
        <f aca="false">TEXT(B1112,"mmm-yyyy")</f>
        <v>Dec-2024</v>
      </c>
    </row>
    <row r="1113" customFormat="false" ht="72" hidden="false" customHeight="true" outlineLevel="0" collapsed="false">
      <c r="A1113" s="1" t="n">
        <v>1</v>
      </c>
      <c r="B1113" s="10" t="n">
        <v>45575</v>
      </c>
      <c r="C1113" s="11" t="s">
        <v>1131</v>
      </c>
      <c r="D1113" s="1" t="s">
        <v>8</v>
      </c>
      <c r="E1113" s="1" t="s">
        <v>20</v>
      </c>
      <c r="F1113" s="1" t="str">
        <f aca="false">TEXT(B1113,"mmm-yyyy")</f>
        <v>Oct-2024</v>
      </c>
    </row>
    <row r="1114" customFormat="false" ht="115.5" hidden="false" customHeight="true" outlineLevel="0" collapsed="false">
      <c r="A1114" s="1" t="n">
        <v>1</v>
      </c>
      <c r="B1114" s="10" t="n">
        <v>45587</v>
      </c>
      <c r="C1114" s="11" t="s">
        <v>1132</v>
      </c>
      <c r="D1114" s="1" t="s">
        <v>8</v>
      </c>
      <c r="E1114" s="1" t="s">
        <v>20</v>
      </c>
      <c r="F1114" s="1" t="str">
        <f aca="false">TEXT(B1114,"mmm-yyyy")</f>
        <v>Oct-2024</v>
      </c>
    </row>
    <row r="1115" customFormat="false" ht="28.5" hidden="false" customHeight="true" outlineLevel="0" collapsed="false">
      <c r="A1115" s="1" t="n">
        <v>5</v>
      </c>
      <c r="B1115" s="10" t="n">
        <v>45655</v>
      </c>
      <c r="C1115" s="11" t="s">
        <v>1133</v>
      </c>
      <c r="D1115" s="1" t="s">
        <v>8</v>
      </c>
      <c r="E1115" s="1" t="s">
        <v>18</v>
      </c>
      <c r="F1115" s="1" t="str">
        <f aca="false">TEXT(B1115,"mmm-yyyy")</f>
        <v>Dec-2024</v>
      </c>
    </row>
    <row r="1116" customFormat="false" ht="28.5" hidden="false" customHeight="true" outlineLevel="0" collapsed="false">
      <c r="A1116" s="1" t="n">
        <v>1</v>
      </c>
      <c r="B1116" s="10" t="n">
        <v>45652</v>
      </c>
      <c r="C1116" s="11" t="s">
        <v>1134</v>
      </c>
      <c r="D1116" s="1" t="s">
        <v>8</v>
      </c>
      <c r="E1116" s="1" t="s">
        <v>20</v>
      </c>
      <c r="F1116" s="1" t="str">
        <f aca="false">TEXT(B1116,"mmm-yyyy")</f>
        <v>Dec-2024</v>
      </c>
    </row>
    <row r="1117" customFormat="false" ht="43.5" hidden="false" customHeight="true" outlineLevel="0" collapsed="false">
      <c r="A1117" s="1" t="n">
        <v>1</v>
      </c>
      <c r="B1117" s="10" t="n">
        <v>45633</v>
      </c>
      <c r="C1117" s="11" t="s">
        <v>1135</v>
      </c>
      <c r="D1117" s="1" t="s">
        <v>8</v>
      </c>
      <c r="E1117" s="1" t="s">
        <v>20</v>
      </c>
      <c r="F1117" s="1" t="str">
        <f aca="false">TEXT(B1117,"mmm-yyyy")</f>
        <v>Dec-2024</v>
      </c>
    </row>
    <row r="1118" customFormat="false" ht="43.5" hidden="false" customHeight="true" outlineLevel="0" collapsed="false">
      <c r="A1118" s="1" t="n">
        <v>3</v>
      </c>
      <c r="B1118" s="10" t="n">
        <v>45651</v>
      </c>
      <c r="C1118" s="11" t="s">
        <v>1136</v>
      </c>
      <c r="D1118" s="1" t="s">
        <v>8</v>
      </c>
      <c r="E1118" s="1" t="s">
        <v>20</v>
      </c>
      <c r="F1118" s="1" t="str">
        <f aca="false">TEXT(B1118,"mmm-yyyy")</f>
        <v>Dec-2024</v>
      </c>
    </row>
    <row r="1119" customFormat="false" ht="28.5" hidden="false" customHeight="true" outlineLevel="0" collapsed="false">
      <c r="A1119" s="1" t="n">
        <v>5</v>
      </c>
      <c r="B1119" s="10" t="n">
        <v>45648</v>
      </c>
      <c r="C1119" s="11" t="s">
        <v>1137</v>
      </c>
      <c r="D1119" s="1" t="s">
        <v>8</v>
      </c>
      <c r="E1119" s="1" t="s">
        <v>18</v>
      </c>
      <c r="F1119" s="1" t="str">
        <f aca="false">TEXT(B1119,"mmm-yyyy")</f>
        <v>Dec-2024</v>
      </c>
    </row>
    <row r="1120" customFormat="false" ht="101.25" hidden="false" customHeight="true" outlineLevel="0" collapsed="false">
      <c r="A1120" s="1" t="n">
        <v>1</v>
      </c>
      <c r="B1120" s="10" t="n">
        <v>45638</v>
      </c>
      <c r="C1120" s="11" t="s">
        <v>1138</v>
      </c>
      <c r="D1120" s="1" t="s">
        <v>8</v>
      </c>
      <c r="E1120" s="1" t="s">
        <v>18</v>
      </c>
      <c r="F1120" s="1" t="str">
        <f aca="false">TEXT(B1120,"mmm-yyyy")</f>
        <v>Dec-2024</v>
      </c>
    </row>
    <row r="1121" customFormat="false" ht="87" hidden="false" customHeight="true" outlineLevel="0" collapsed="false">
      <c r="A1121" s="1" t="n">
        <v>1</v>
      </c>
      <c r="B1121" s="10" t="n">
        <v>45633</v>
      </c>
      <c r="C1121" s="11" t="s">
        <v>1139</v>
      </c>
      <c r="D1121" s="1" t="s">
        <v>8</v>
      </c>
      <c r="E1121" s="1" t="s">
        <v>32</v>
      </c>
      <c r="F1121" s="1" t="str">
        <f aca="false">TEXT(B1121,"mmm-yyyy")</f>
        <v>Dec-2024</v>
      </c>
    </row>
    <row r="1122" customFormat="false" ht="72" hidden="false" customHeight="true" outlineLevel="0" collapsed="false">
      <c r="A1122" s="1" t="n">
        <v>1</v>
      </c>
      <c r="B1122" s="10" t="n">
        <v>45632</v>
      </c>
      <c r="C1122" s="11" t="s">
        <v>1140</v>
      </c>
      <c r="D1122" s="1" t="s">
        <v>8</v>
      </c>
      <c r="E1122" s="1" t="s">
        <v>20</v>
      </c>
      <c r="F1122" s="1" t="str">
        <f aca="false">TEXT(B1122,"mmm-yyyy")</f>
        <v>Dec-2024</v>
      </c>
    </row>
    <row r="1123" customFormat="false" ht="87" hidden="false" customHeight="true" outlineLevel="0" collapsed="false">
      <c r="A1123" s="1" t="n">
        <v>1</v>
      </c>
      <c r="B1123" s="10" t="n">
        <v>45633</v>
      </c>
      <c r="C1123" s="11" t="s">
        <v>1141</v>
      </c>
      <c r="D1123" s="1" t="s">
        <v>8</v>
      </c>
      <c r="E1123" s="1" t="s">
        <v>20</v>
      </c>
      <c r="F1123" s="1" t="str">
        <f aca="false">TEXT(B1123,"mmm-yyyy")</f>
        <v>Dec-2024</v>
      </c>
    </row>
    <row r="1124" customFormat="false" ht="43.5" hidden="false" customHeight="true" outlineLevel="0" collapsed="false">
      <c r="A1124" s="1" t="n">
        <v>1</v>
      </c>
      <c r="B1124" s="10" t="n">
        <v>45631</v>
      </c>
      <c r="C1124" s="11" t="s">
        <v>1142</v>
      </c>
      <c r="D1124" s="1" t="s">
        <v>8</v>
      </c>
      <c r="E1124" s="1" t="s">
        <v>20</v>
      </c>
      <c r="F1124" s="1" t="str">
        <f aca="false">TEXT(B1124,"mmm-yyyy")</f>
        <v>Dec-2024</v>
      </c>
    </row>
    <row r="1125" customFormat="false" ht="43.5" hidden="false" customHeight="true" outlineLevel="0" collapsed="false">
      <c r="A1125" s="1" t="n">
        <v>5</v>
      </c>
      <c r="B1125" s="10" t="n">
        <v>45633</v>
      </c>
      <c r="C1125" s="11" t="s">
        <v>1143</v>
      </c>
      <c r="D1125" s="1" t="s">
        <v>8</v>
      </c>
      <c r="E1125" s="1" t="s">
        <v>32</v>
      </c>
      <c r="F1125" s="1" t="str">
        <f aca="false">TEXT(B1125,"mmm-yyyy")</f>
        <v>Dec-2024</v>
      </c>
    </row>
    <row r="1126" customFormat="false" ht="43.5" hidden="false" customHeight="true" outlineLevel="0" collapsed="false">
      <c r="A1126" s="1" t="n">
        <v>5</v>
      </c>
      <c r="B1126" s="10" t="n">
        <v>45632</v>
      </c>
      <c r="C1126" s="11" t="s">
        <v>1144</v>
      </c>
      <c r="D1126" s="1" t="s">
        <v>8</v>
      </c>
      <c r="E1126" s="1" t="s">
        <v>18</v>
      </c>
      <c r="F1126" s="1" t="str">
        <f aca="false">TEXT(B1126,"mmm-yyyy")</f>
        <v>Dec-2024</v>
      </c>
    </row>
    <row r="1127" customFormat="false" ht="57.75" hidden="false" customHeight="true" outlineLevel="0" collapsed="false">
      <c r="A1127" s="1" t="n">
        <v>5</v>
      </c>
      <c r="B1127" s="10" t="n">
        <v>45631</v>
      </c>
      <c r="C1127" s="11" t="s">
        <v>1145</v>
      </c>
      <c r="D1127" s="1" t="s">
        <v>8</v>
      </c>
      <c r="E1127" s="1" t="s">
        <v>18</v>
      </c>
      <c r="F1127" s="1" t="str">
        <f aca="false">TEXT(B1127,"mmm-yyyy")</f>
        <v>Dec-2024</v>
      </c>
    </row>
    <row r="1128" customFormat="false" ht="57.75" hidden="false" customHeight="true" outlineLevel="0" collapsed="false">
      <c r="A1128" s="1" t="n">
        <v>1</v>
      </c>
      <c r="B1128" s="10" t="n">
        <v>45637</v>
      </c>
      <c r="C1128" s="11" t="s">
        <v>1146</v>
      </c>
      <c r="D1128" s="1" t="s">
        <v>8</v>
      </c>
      <c r="E1128" s="1" t="s">
        <v>18</v>
      </c>
      <c r="F1128" s="1" t="str">
        <f aca="false">TEXT(B1128,"mmm-yyyy")</f>
        <v>Dec-2024</v>
      </c>
    </row>
    <row r="1129" customFormat="false" ht="57.75" hidden="false" customHeight="true" outlineLevel="0" collapsed="false">
      <c r="A1129" s="1" t="n">
        <v>5</v>
      </c>
      <c r="B1129" s="10" t="n">
        <v>45636</v>
      </c>
      <c r="C1129" s="11" t="s">
        <v>1147</v>
      </c>
      <c r="D1129" s="1" t="s">
        <v>8</v>
      </c>
      <c r="E1129" s="1" t="s">
        <v>18</v>
      </c>
      <c r="F1129" s="1" t="str">
        <f aca="false">TEXT(B1129,"mmm-yyyy")</f>
        <v>Dec-2024</v>
      </c>
    </row>
    <row r="1130" customFormat="false" ht="72" hidden="false" customHeight="true" outlineLevel="0" collapsed="false">
      <c r="A1130" s="1" t="n">
        <v>5</v>
      </c>
      <c r="B1130" s="10" t="n">
        <v>45634</v>
      </c>
      <c r="C1130" s="11" t="s">
        <v>1148</v>
      </c>
      <c r="D1130" s="1" t="s">
        <v>8</v>
      </c>
      <c r="E1130" s="1" t="s">
        <v>18</v>
      </c>
      <c r="F1130" s="1" t="str">
        <f aca="false">TEXT(B1130,"mmm-yyyy")</f>
        <v>Dec-2024</v>
      </c>
    </row>
    <row r="1131" customFormat="false" ht="57.75" hidden="false" customHeight="true" outlineLevel="0" collapsed="false">
      <c r="A1131" s="1" t="n">
        <v>1</v>
      </c>
      <c r="B1131" s="10" t="n">
        <v>45634</v>
      </c>
      <c r="C1131" s="11" t="s">
        <v>1149</v>
      </c>
      <c r="D1131" s="1" t="s">
        <v>8</v>
      </c>
      <c r="E1131" s="1" t="s">
        <v>20</v>
      </c>
      <c r="F1131" s="1" t="str">
        <f aca="false">TEXT(B1131,"mmm-yyyy")</f>
        <v>Dec-2024</v>
      </c>
    </row>
    <row r="1132" customFormat="false" ht="43.5" hidden="false" customHeight="true" outlineLevel="0" collapsed="false">
      <c r="A1132" s="1" t="n">
        <v>5</v>
      </c>
      <c r="B1132" s="10" t="n">
        <v>45635</v>
      </c>
      <c r="C1132" s="11" t="s">
        <v>1150</v>
      </c>
      <c r="D1132" s="1" t="s">
        <v>8</v>
      </c>
      <c r="E1132" s="1" t="s">
        <v>18</v>
      </c>
      <c r="F1132" s="1" t="str">
        <f aca="false">TEXT(B1132,"mmm-yyyy")</f>
        <v>Dec-2024</v>
      </c>
    </row>
    <row r="1133" customFormat="false" ht="57.75" hidden="false" customHeight="true" outlineLevel="0" collapsed="false">
      <c r="A1133" s="1" t="n">
        <v>1</v>
      </c>
      <c r="B1133" s="10" t="n">
        <v>45633</v>
      </c>
      <c r="C1133" s="11" t="s">
        <v>1151</v>
      </c>
      <c r="D1133" s="1" t="s">
        <v>8</v>
      </c>
      <c r="E1133" s="1" t="s">
        <v>20</v>
      </c>
      <c r="F1133" s="1" t="str">
        <f aca="false">TEXT(B1133,"mmm-yyyy")</f>
        <v>Dec-2024</v>
      </c>
    </row>
    <row r="1134" customFormat="false" ht="72" hidden="false" customHeight="true" outlineLevel="0" collapsed="false">
      <c r="A1134" s="1" t="n">
        <v>5</v>
      </c>
      <c r="B1134" s="10" t="n">
        <v>45631</v>
      </c>
      <c r="C1134" s="11" t="s">
        <v>1152</v>
      </c>
      <c r="D1134" s="1" t="s">
        <v>8</v>
      </c>
      <c r="E1134" s="1" t="s">
        <v>18</v>
      </c>
      <c r="F1134" s="1" t="str">
        <f aca="false">TEXT(B1134,"mmm-yyyy")</f>
        <v>Dec-2024</v>
      </c>
    </row>
    <row r="1135" customFormat="false" ht="115.5" hidden="false" customHeight="true" outlineLevel="0" collapsed="false">
      <c r="A1135" s="1" t="n">
        <v>1</v>
      </c>
      <c r="B1135" s="10" t="n">
        <v>45634</v>
      </c>
      <c r="C1135" s="11" t="s">
        <v>1153</v>
      </c>
      <c r="D1135" s="1" t="s">
        <v>8</v>
      </c>
      <c r="E1135" s="1" t="s">
        <v>20</v>
      </c>
      <c r="F1135" s="1" t="str">
        <f aca="false">TEXT(B1135,"mmm-yyyy")</f>
        <v>Dec-2024</v>
      </c>
    </row>
    <row r="1136" customFormat="false" ht="72" hidden="false" customHeight="true" outlineLevel="0" collapsed="false">
      <c r="A1136" s="1" t="n">
        <v>5</v>
      </c>
      <c r="B1136" s="10" t="n">
        <v>45629</v>
      </c>
      <c r="C1136" s="11" t="s">
        <v>1154</v>
      </c>
      <c r="D1136" s="1" t="s">
        <v>8</v>
      </c>
      <c r="E1136" s="1" t="s">
        <v>18</v>
      </c>
      <c r="F1136" s="1" t="str">
        <f aca="false">TEXT(B1136,"mmm-yyyy")</f>
        <v>Dec-2024</v>
      </c>
    </row>
    <row r="1137" customFormat="false" ht="72" hidden="false" customHeight="true" outlineLevel="0" collapsed="false">
      <c r="A1137" s="1" t="n">
        <v>5</v>
      </c>
      <c r="B1137" s="10" t="n">
        <v>45629</v>
      </c>
      <c r="C1137" s="11" t="s">
        <v>1155</v>
      </c>
      <c r="D1137" s="1" t="s">
        <v>8</v>
      </c>
      <c r="E1137" s="1" t="s">
        <v>18</v>
      </c>
      <c r="F1137" s="1" t="str">
        <f aca="false">TEXT(B1137,"mmm-yyyy")</f>
        <v>Dec-2024</v>
      </c>
    </row>
    <row r="1138" customFormat="false" ht="57.75" hidden="false" customHeight="true" outlineLevel="0" collapsed="false">
      <c r="A1138" s="1" t="n">
        <v>1</v>
      </c>
      <c r="B1138" s="10" t="n">
        <v>45639</v>
      </c>
      <c r="C1138" s="11" t="s">
        <v>1156</v>
      </c>
      <c r="D1138" s="1" t="s">
        <v>8</v>
      </c>
      <c r="E1138" s="1" t="s">
        <v>20</v>
      </c>
      <c r="F1138" s="1" t="str">
        <f aca="false">TEXT(B1138,"mmm-yyyy")</f>
        <v>Dec-2024</v>
      </c>
    </row>
    <row r="1139" customFormat="false" ht="43.5" hidden="false" customHeight="true" outlineLevel="0" collapsed="false">
      <c r="A1139" s="1" t="n">
        <v>5</v>
      </c>
      <c r="B1139" s="10" t="n">
        <v>45636</v>
      </c>
      <c r="C1139" s="11" t="s">
        <v>1157</v>
      </c>
      <c r="D1139" s="1" t="s">
        <v>8</v>
      </c>
      <c r="E1139" s="1" t="s">
        <v>18</v>
      </c>
      <c r="F1139" s="1" t="str">
        <f aca="false">TEXT(B1139,"mmm-yyyy")</f>
        <v>Dec-2024</v>
      </c>
    </row>
    <row r="1140" customFormat="false" ht="130.5" hidden="false" customHeight="true" outlineLevel="0" collapsed="false">
      <c r="A1140" s="1" t="n">
        <v>1</v>
      </c>
      <c r="B1140" s="10" t="n">
        <v>45633</v>
      </c>
      <c r="C1140" s="11" t="s">
        <v>1158</v>
      </c>
      <c r="D1140" s="1" t="s">
        <v>8</v>
      </c>
      <c r="E1140" s="1" t="s">
        <v>32</v>
      </c>
      <c r="F1140" s="1" t="str">
        <f aca="false">TEXT(B1140,"mmm-yyyy")</f>
        <v>Dec-2024</v>
      </c>
    </row>
    <row r="1141" customFormat="false" ht="87" hidden="false" customHeight="true" outlineLevel="0" collapsed="false">
      <c r="A1141" s="1" t="n">
        <v>5</v>
      </c>
      <c r="B1141" s="10" t="n">
        <v>45640</v>
      </c>
      <c r="C1141" s="11" t="s">
        <v>1159</v>
      </c>
      <c r="D1141" s="1" t="s">
        <v>8</v>
      </c>
      <c r="E1141" s="1" t="s">
        <v>18</v>
      </c>
      <c r="F1141" s="1" t="str">
        <f aca="false">TEXT(B1141,"mmm-yyyy")</f>
        <v>Dec-2024</v>
      </c>
    </row>
    <row r="1142" customFormat="false" ht="57.75" hidden="false" customHeight="true" outlineLevel="0" collapsed="false">
      <c r="A1142" s="1" t="n">
        <v>2</v>
      </c>
      <c r="B1142" s="10" t="n">
        <v>45638</v>
      </c>
      <c r="C1142" s="11" t="s">
        <v>1160</v>
      </c>
      <c r="D1142" s="1" t="s">
        <v>8</v>
      </c>
      <c r="E1142" s="1" t="s">
        <v>20</v>
      </c>
      <c r="F1142" s="1" t="str">
        <f aca="false">TEXT(B1142,"mmm-yyyy")</f>
        <v>Dec-2024</v>
      </c>
    </row>
    <row r="1143" customFormat="false" ht="57.75" hidden="false" customHeight="true" outlineLevel="0" collapsed="false">
      <c r="A1143" s="1" t="n">
        <v>1</v>
      </c>
      <c r="B1143" s="10" t="n">
        <v>45629</v>
      </c>
      <c r="C1143" s="11" t="s">
        <v>1161</v>
      </c>
      <c r="D1143" s="1" t="s">
        <v>8</v>
      </c>
      <c r="E1143" s="1" t="s">
        <v>32</v>
      </c>
      <c r="F1143" s="1" t="str">
        <f aca="false">TEXT(B1143,"mmm-yyyy")</f>
        <v>Dec-2024</v>
      </c>
    </row>
    <row r="1144" customFormat="false" ht="115.5" hidden="false" customHeight="true" outlineLevel="0" collapsed="false">
      <c r="A1144" s="1" t="n">
        <v>1</v>
      </c>
      <c r="B1144" s="10" t="n">
        <v>45630</v>
      </c>
      <c r="C1144" s="11" t="s">
        <v>1162</v>
      </c>
      <c r="D1144" s="1" t="s">
        <v>8</v>
      </c>
      <c r="E1144" s="1" t="s">
        <v>18</v>
      </c>
      <c r="F1144" s="1" t="str">
        <f aca="false">TEXT(B1144,"mmm-yyyy")</f>
        <v>Dec-2024</v>
      </c>
    </row>
    <row r="1145" customFormat="false" ht="72" hidden="false" customHeight="true" outlineLevel="0" collapsed="false">
      <c r="A1145" s="1" t="n">
        <v>5</v>
      </c>
      <c r="B1145" s="10" t="n">
        <v>45636</v>
      </c>
      <c r="C1145" s="11" t="s">
        <v>1163</v>
      </c>
      <c r="D1145" s="1" t="s">
        <v>8</v>
      </c>
      <c r="E1145" s="1" t="s">
        <v>18</v>
      </c>
      <c r="F1145" s="1" t="str">
        <f aca="false">TEXT(B1145,"mmm-yyyy")</f>
        <v>Dec-2024</v>
      </c>
    </row>
    <row r="1146" customFormat="false" ht="57.75" hidden="false" customHeight="true" outlineLevel="0" collapsed="false">
      <c r="A1146" s="1" t="n">
        <v>1</v>
      </c>
      <c r="B1146" s="10" t="n">
        <v>45632</v>
      </c>
      <c r="C1146" s="11" t="s">
        <v>1164</v>
      </c>
      <c r="D1146" s="1" t="s">
        <v>8</v>
      </c>
      <c r="E1146" s="1" t="s">
        <v>20</v>
      </c>
      <c r="F1146" s="1" t="str">
        <f aca="false">TEXT(B1146,"mmm-yyyy")</f>
        <v>Dec-2024</v>
      </c>
    </row>
    <row r="1147" customFormat="false" ht="57.75" hidden="false" customHeight="true" outlineLevel="0" collapsed="false">
      <c r="A1147" s="1" t="n">
        <v>1</v>
      </c>
      <c r="B1147" s="10" t="n">
        <v>45634</v>
      </c>
      <c r="C1147" s="11" t="s">
        <v>1165</v>
      </c>
      <c r="D1147" s="1" t="s">
        <v>8</v>
      </c>
      <c r="E1147" s="1" t="s">
        <v>20</v>
      </c>
      <c r="F1147" s="1" t="str">
        <f aca="false">TEXT(B1147,"mmm-yyyy")</f>
        <v>Dec-2024</v>
      </c>
    </row>
    <row r="1148" customFormat="false" ht="72" hidden="false" customHeight="true" outlineLevel="0" collapsed="false">
      <c r="A1148" s="1" t="n">
        <v>1</v>
      </c>
      <c r="B1148" s="10" t="n">
        <v>45633</v>
      </c>
      <c r="C1148" s="11" t="s">
        <v>1166</v>
      </c>
      <c r="D1148" s="1" t="s">
        <v>8</v>
      </c>
      <c r="E1148" s="1" t="s">
        <v>18</v>
      </c>
      <c r="F1148" s="1" t="str">
        <f aca="false">TEXT(B1148,"mmm-yyyy")</f>
        <v>Dec-2024</v>
      </c>
    </row>
    <row r="1149" customFormat="false" ht="57.75" hidden="false" customHeight="true" outlineLevel="0" collapsed="false">
      <c r="A1149" s="1" t="n">
        <v>4</v>
      </c>
      <c r="B1149" s="10" t="n">
        <v>45637</v>
      </c>
      <c r="C1149" s="11" t="s">
        <v>1167</v>
      </c>
      <c r="D1149" s="1" t="s">
        <v>8</v>
      </c>
      <c r="E1149" s="1" t="s">
        <v>18</v>
      </c>
      <c r="F1149" s="1" t="str">
        <f aca="false">TEXT(B1149,"mmm-yyyy")</f>
        <v>Dec-2024</v>
      </c>
    </row>
    <row r="1150" customFormat="false" ht="43.5" hidden="false" customHeight="true" outlineLevel="0" collapsed="false">
      <c r="A1150" s="1" t="n">
        <v>1</v>
      </c>
      <c r="B1150" s="10" t="n">
        <v>45642</v>
      </c>
      <c r="C1150" s="11" t="s">
        <v>1168</v>
      </c>
      <c r="D1150" s="1" t="s">
        <v>8</v>
      </c>
      <c r="E1150" s="1" t="s">
        <v>20</v>
      </c>
      <c r="F1150" s="1" t="str">
        <f aca="false">TEXT(B1150,"mmm-yyyy")</f>
        <v>Dec-2024</v>
      </c>
    </row>
    <row r="1151" customFormat="false" ht="72" hidden="false" customHeight="true" outlineLevel="0" collapsed="false">
      <c r="A1151" s="1" t="n">
        <v>1</v>
      </c>
      <c r="B1151" s="10" t="n">
        <v>45628</v>
      </c>
      <c r="C1151" s="11" t="s">
        <v>1169</v>
      </c>
      <c r="D1151" s="1" t="s">
        <v>8</v>
      </c>
      <c r="E1151" s="1" t="s">
        <v>20</v>
      </c>
      <c r="F1151" s="1" t="str">
        <f aca="false">TEXT(B1151,"mmm-yyyy")</f>
        <v>Dec-2024</v>
      </c>
    </row>
    <row r="1152" customFormat="false" ht="28.5" hidden="false" customHeight="true" outlineLevel="0" collapsed="false">
      <c r="A1152" s="1" t="n">
        <v>5</v>
      </c>
      <c r="B1152" s="10" t="n">
        <v>45631</v>
      </c>
      <c r="C1152" s="11" t="s">
        <v>1170</v>
      </c>
      <c r="D1152" s="1" t="s">
        <v>8</v>
      </c>
      <c r="E1152" s="1" t="s">
        <v>18</v>
      </c>
      <c r="F1152" s="1" t="str">
        <f aca="false">TEXT(B1152,"mmm-yyyy")</f>
        <v>Dec-2024</v>
      </c>
    </row>
    <row r="1153" customFormat="false" ht="43.5" hidden="false" customHeight="true" outlineLevel="0" collapsed="false">
      <c r="A1153" s="1" t="n">
        <v>5</v>
      </c>
      <c r="B1153" s="10" t="n">
        <v>45639</v>
      </c>
      <c r="C1153" s="11" t="s">
        <v>1171</v>
      </c>
      <c r="D1153" s="1" t="s">
        <v>8</v>
      </c>
      <c r="E1153" s="1" t="s">
        <v>18</v>
      </c>
      <c r="F1153" s="1" t="str">
        <f aca="false">TEXT(B1153,"mmm-yyyy")</f>
        <v>Dec-2024</v>
      </c>
    </row>
    <row r="1154" customFormat="false" ht="43.5" hidden="false" customHeight="true" outlineLevel="0" collapsed="false">
      <c r="A1154" s="1" t="n">
        <v>1</v>
      </c>
      <c r="B1154" s="10" t="n">
        <v>45631</v>
      </c>
      <c r="C1154" s="11" t="s">
        <v>1172</v>
      </c>
      <c r="D1154" s="1" t="s">
        <v>8</v>
      </c>
      <c r="E1154" s="1" t="s">
        <v>20</v>
      </c>
      <c r="F1154" s="1" t="str">
        <f aca="false">TEXT(B1154,"mmm-yyyy")</f>
        <v>Dec-2024</v>
      </c>
    </row>
    <row r="1155" customFormat="false" ht="57.75" hidden="false" customHeight="true" outlineLevel="0" collapsed="false">
      <c r="A1155" s="1" t="n">
        <v>3</v>
      </c>
      <c r="B1155" s="10" t="n">
        <v>45630</v>
      </c>
      <c r="C1155" s="11" t="s">
        <v>1173</v>
      </c>
      <c r="D1155" s="1" t="s">
        <v>8</v>
      </c>
      <c r="E1155" s="1" t="s">
        <v>32</v>
      </c>
      <c r="F1155" s="1" t="str">
        <f aca="false">TEXT(B1155,"mmm-yyyy")</f>
        <v>Dec-2024</v>
      </c>
    </row>
    <row r="1156" customFormat="false" ht="57.75" hidden="false" customHeight="true" outlineLevel="0" collapsed="false">
      <c r="A1156" s="1" t="n">
        <v>4</v>
      </c>
      <c r="B1156" s="10" t="n">
        <v>45635</v>
      </c>
      <c r="C1156" s="11" t="s">
        <v>1174</v>
      </c>
      <c r="D1156" s="1" t="s">
        <v>8</v>
      </c>
      <c r="E1156" s="1" t="s">
        <v>18</v>
      </c>
      <c r="F1156" s="1" t="str">
        <f aca="false">TEXT(B1156,"mmm-yyyy")</f>
        <v>Dec-2024</v>
      </c>
    </row>
    <row r="1157" customFormat="false" ht="57.75" hidden="false" customHeight="true" outlineLevel="0" collapsed="false">
      <c r="A1157" s="1" t="n">
        <v>1</v>
      </c>
      <c r="B1157" s="10" t="n">
        <v>45636</v>
      </c>
      <c r="C1157" s="11" t="s">
        <v>1175</v>
      </c>
      <c r="D1157" s="1" t="s">
        <v>8</v>
      </c>
      <c r="E1157" s="1" t="s">
        <v>20</v>
      </c>
      <c r="F1157" s="1" t="str">
        <f aca="false">TEXT(B1157,"mmm-yyyy")</f>
        <v>Dec-2024</v>
      </c>
    </row>
    <row r="1158" customFormat="false" ht="72" hidden="false" customHeight="true" outlineLevel="0" collapsed="false">
      <c r="A1158" s="1" t="n">
        <v>1</v>
      </c>
      <c r="B1158" s="10" t="n">
        <v>45633</v>
      </c>
      <c r="C1158" s="11" t="s">
        <v>1176</v>
      </c>
      <c r="D1158" s="1" t="s">
        <v>8</v>
      </c>
      <c r="E1158" s="1" t="s">
        <v>20</v>
      </c>
      <c r="F1158" s="1" t="str">
        <f aca="false">TEXT(B1158,"mmm-yyyy")</f>
        <v>Dec-2024</v>
      </c>
    </row>
    <row r="1159" customFormat="false" ht="57.75" hidden="false" customHeight="true" outlineLevel="0" collapsed="false">
      <c r="A1159" s="1" t="n">
        <v>1</v>
      </c>
      <c r="B1159" s="10" t="n">
        <v>45637</v>
      </c>
      <c r="C1159" s="11" t="s">
        <v>1177</v>
      </c>
      <c r="D1159" s="1" t="s">
        <v>8</v>
      </c>
      <c r="E1159" s="1" t="s">
        <v>20</v>
      </c>
      <c r="F1159" s="1" t="str">
        <f aca="false">TEXT(B1159,"mmm-yyyy")</f>
        <v>Dec-2024</v>
      </c>
    </row>
    <row r="1160" customFormat="false" ht="43.5" hidden="false" customHeight="true" outlineLevel="0" collapsed="false">
      <c r="A1160" s="1" t="n">
        <v>3</v>
      </c>
      <c r="B1160" s="10" t="n">
        <v>45639</v>
      </c>
      <c r="C1160" s="11" t="s">
        <v>1178</v>
      </c>
      <c r="D1160" s="1" t="s">
        <v>8</v>
      </c>
      <c r="E1160" s="1" t="s">
        <v>18</v>
      </c>
      <c r="F1160" s="1" t="str">
        <f aca="false">TEXT(B1160,"mmm-yyyy")</f>
        <v>Dec-2024</v>
      </c>
    </row>
    <row r="1161" customFormat="false" ht="57.75" hidden="false" customHeight="true" outlineLevel="0" collapsed="false">
      <c r="A1161" s="1" t="n">
        <v>3</v>
      </c>
      <c r="B1161" s="10" t="n">
        <v>45634</v>
      </c>
      <c r="C1161" s="11" t="s">
        <v>1179</v>
      </c>
      <c r="D1161" s="1" t="s">
        <v>8</v>
      </c>
      <c r="E1161" s="1" t="s">
        <v>20</v>
      </c>
      <c r="F1161" s="1" t="str">
        <f aca="false">TEXT(B1161,"mmm-yyyy")</f>
        <v>Dec-2024</v>
      </c>
    </row>
    <row r="1162" customFormat="false" ht="57.75" hidden="false" customHeight="true" outlineLevel="0" collapsed="false">
      <c r="A1162" s="1" t="n">
        <v>1</v>
      </c>
      <c r="B1162" s="10" t="n">
        <v>45641</v>
      </c>
      <c r="C1162" s="11" t="s">
        <v>1180</v>
      </c>
      <c r="D1162" s="1" t="s">
        <v>8</v>
      </c>
      <c r="E1162" s="1" t="s">
        <v>20</v>
      </c>
      <c r="F1162" s="1" t="str">
        <f aca="false">TEXT(B1162,"mmm-yyyy")</f>
        <v>Dec-2024</v>
      </c>
    </row>
    <row r="1163" customFormat="false" ht="57.75" hidden="false" customHeight="true" outlineLevel="0" collapsed="false">
      <c r="A1163" s="1" t="n">
        <v>5</v>
      </c>
      <c r="B1163" s="10" t="n">
        <v>45635</v>
      </c>
      <c r="C1163" s="11" t="s">
        <v>1181</v>
      </c>
      <c r="D1163" s="1" t="s">
        <v>8</v>
      </c>
      <c r="E1163" s="1" t="s">
        <v>18</v>
      </c>
      <c r="F1163" s="1" t="str">
        <f aca="false">TEXT(B1163,"mmm-yyyy")</f>
        <v>Dec-2024</v>
      </c>
    </row>
    <row r="1164" customFormat="false" ht="57.75" hidden="false" customHeight="true" outlineLevel="0" collapsed="false">
      <c r="A1164" s="1" t="n">
        <v>1</v>
      </c>
      <c r="B1164" s="10" t="n">
        <v>45628</v>
      </c>
      <c r="C1164" s="11" t="s">
        <v>1182</v>
      </c>
      <c r="D1164" s="1" t="s">
        <v>8</v>
      </c>
      <c r="E1164" s="1" t="s">
        <v>20</v>
      </c>
      <c r="F1164" s="1" t="str">
        <f aca="false">TEXT(B1164,"mmm-yyyy")</f>
        <v>Dec-2024</v>
      </c>
    </row>
    <row r="1165" customFormat="false" ht="72" hidden="false" customHeight="true" outlineLevel="0" collapsed="false">
      <c r="A1165" s="1" t="n">
        <v>5</v>
      </c>
      <c r="B1165" s="10" t="n">
        <v>45630</v>
      </c>
      <c r="C1165" s="11" t="s">
        <v>1183</v>
      </c>
      <c r="D1165" s="1" t="s">
        <v>8</v>
      </c>
      <c r="E1165" s="1" t="s">
        <v>18</v>
      </c>
      <c r="F1165" s="1" t="str">
        <f aca="false">TEXT(B1165,"mmm-yyyy")</f>
        <v>Dec-2024</v>
      </c>
    </row>
    <row r="1166" customFormat="false" ht="28.5" hidden="false" customHeight="true" outlineLevel="0" collapsed="false">
      <c r="A1166" s="1" t="n">
        <v>5</v>
      </c>
      <c r="B1166" s="10" t="n">
        <v>45634</v>
      </c>
      <c r="C1166" s="11" t="s">
        <v>1184</v>
      </c>
      <c r="D1166" s="1" t="s">
        <v>8</v>
      </c>
      <c r="E1166" s="1" t="s">
        <v>18</v>
      </c>
      <c r="F1166" s="1" t="str">
        <f aca="false">TEXT(B1166,"mmm-yyyy")</f>
        <v>Dec-2024</v>
      </c>
    </row>
    <row r="1167" customFormat="false" ht="57.75" hidden="false" customHeight="true" outlineLevel="0" collapsed="false">
      <c r="A1167" s="1" t="n">
        <v>1</v>
      </c>
      <c r="B1167" s="10" t="n">
        <v>45640</v>
      </c>
      <c r="C1167" s="11" t="s">
        <v>1185</v>
      </c>
      <c r="D1167" s="1" t="s">
        <v>8</v>
      </c>
      <c r="E1167" s="1" t="s">
        <v>20</v>
      </c>
      <c r="F1167" s="1" t="str">
        <f aca="false">TEXT(B1167,"mmm-yyyy")</f>
        <v>Dec-2024</v>
      </c>
    </row>
    <row r="1168" customFormat="false" ht="43.5" hidden="false" customHeight="true" outlineLevel="0" collapsed="false">
      <c r="A1168" s="1" t="n">
        <v>5</v>
      </c>
      <c r="B1168" s="10" t="n">
        <v>45635</v>
      </c>
      <c r="C1168" s="11" t="s">
        <v>1186</v>
      </c>
      <c r="D1168" s="1" t="s">
        <v>8</v>
      </c>
      <c r="E1168" s="1" t="s">
        <v>18</v>
      </c>
      <c r="F1168" s="1" t="str">
        <f aca="false">TEXT(B1168,"mmm-yyyy")</f>
        <v>Dec-2024</v>
      </c>
    </row>
    <row r="1169" customFormat="false" ht="72" hidden="false" customHeight="true" outlineLevel="0" collapsed="false">
      <c r="A1169" s="1" t="n">
        <v>1</v>
      </c>
      <c r="B1169" s="10" t="n">
        <v>45637</v>
      </c>
      <c r="C1169" s="11" t="s">
        <v>1187</v>
      </c>
      <c r="D1169" s="1" t="s">
        <v>8</v>
      </c>
      <c r="E1169" s="1" t="s">
        <v>18</v>
      </c>
      <c r="F1169" s="1" t="str">
        <f aca="false">TEXT(B1169,"mmm-yyyy")</f>
        <v>Dec-2024</v>
      </c>
    </row>
    <row r="1170" customFormat="false" ht="87" hidden="false" customHeight="true" outlineLevel="0" collapsed="false">
      <c r="A1170" s="1" t="n">
        <v>1</v>
      </c>
      <c r="B1170" s="10" t="n">
        <v>45596</v>
      </c>
      <c r="C1170" s="11" t="s">
        <v>1188</v>
      </c>
      <c r="D1170" s="1" t="s">
        <v>8</v>
      </c>
      <c r="E1170" s="1" t="s">
        <v>18</v>
      </c>
      <c r="F1170" s="1" t="str">
        <f aca="false">TEXT(B1170,"mmm-yyyy")</f>
        <v>Oct-2024</v>
      </c>
    </row>
    <row r="1171" customFormat="false" ht="101.25" hidden="false" customHeight="true" outlineLevel="0" collapsed="false">
      <c r="A1171" s="1" t="n">
        <v>1</v>
      </c>
      <c r="B1171" s="10" t="n">
        <v>45630</v>
      </c>
      <c r="C1171" s="11" t="s">
        <v>1189</v>
      </c>
      <c r="D1171" s="1" t="s">
        <v>8</v>
      </c>
      <c r="E1171" s="1" t="s">
        <v>20</v>
      </c>
      <c r="F1171" s="1" t="str">
        <f aca="false">TEXT(B1171,"mmm-yyyy")</f>
        <v>Dec-2024</v>
      </c>
    </row>
    <row r="1172" customFormat="false" ht="43.5" hidden="false" customHeight="true" outlineLevel="0" collapsed="false">
      <c r="A1172" s="1" t="n">
        <v>5</v>
      </c>
      <c r="B1172" s="10" t="n">
        <v>45636</v>
      </c>
      <c r="C1172" s="11" t="s">
        <v>1190</v>
      </c>
      <c r="D1172" s="1" t="s">
        <v>8</v>
      </c>
      <c r="E1172" s="1" t="s">
        <v>18</v>
      </c>
      <c r="F1172" s="1" t="str">
        <f aca="false">TEXT(B1172,"mmm-yyyy")</f>
        <v>Dec-2024</v>
      </c>
    </row>
    <row r="1173" customFormat="false" ht="43.5" hidden="false" customHeight="true" outlineLevel="0" collapsed="false">
      <c r="A1173" s="1" t="n">
        <v>1</v>
      </c>
      <c r="B1173" s="10" t="n">
        <v>45630</v>
      </c>
      <c r="C1173" s="11" t="s">
        <v>1191</v>
      </c>
      <c r="D1173" s="1" t="s">
        <v>8</v>
      </c>
      <c r="E1173" s="1" t="s">
        <v>20</v>
      </c>
      <c r="F1173" s="1" t="str">
        <f aca="false">TEXT(B1173,"mmm-yyyy")</f>
        <v>Dec-2024</v>
      </c>
    </row>
    <row r="1174" customFormat="false" ht="28.5" hidden="false" customHeight="true" outlineLevel="0" collapsed="false">
      <c r="A1174" s="1" t="n">
        <v>5</v>
      </c>
      <c r="B1174" s="10" t="n">
        <v>45634</v>
      </c>
      <c r="C1174" s="11" t="s">
        <v>1192</v>
      </c>
      <c r="D1174" s="1" t="s">
        <v>8</v>
      </c>
      <c r="E1174" s="1" t="s">
        <v>18</v>
      </c>
      <c r="F1174" s="1" t="str">
        <f aca="false">TEXT(B1174,"mmm-yyyy")</f>
        <v>Dec-2024</v>
      </c>
    </row>
    <row r="1175" customFormat="false" ht="43.5" hidden="false" customHeight="true" outlineLevel="0" collapsed="false">
      <c r="A1175" s="1" t="n">
        <v>5</v>
      </c>
      <c r="B1175" s="10" t="n">
        <v>45629</v>
      </c>
      <c r="C1175" s="11" t="s">
        <v>1193</v>
      </c>
      <c r="D1175" s="1" t="s">
        <v>8</v>
      </c>
      <c r="E1175" s="1" t="s">
        <v>18</v>
      </c>
      <c r="F1175" s="1" t="str">
        <f aca="false">TEXT(B1175,"mmm-yyyy")</f>
        <v>Dec-2024</v>
      </c>
    </row>
    <row r="1176" customFormat="false" ht="87" hidden="false" customHeight="true" outlineLevel="0" collapsed="false">
      <c r="A1176" s="1" t="n">
        <v>1</v>
      </c>
      <c r="B1176" s="10" t="n">
        <v>45635</v>
      </c>
      <c r="C1176" s="11" t="s">
        <v>1194</v>
      </c>
      <c r="D1176" s="1" t="s">
        <v>8</v>
      </c>
      <c r="E1176" s="1" t="s">
        <v>20</v>
      </c>
      <c r="F1176" s="1" t="str">
        <f aca="false">TEXT(B1176,"mmm-yyyy")</f>
        <v>Dec-2024</v>
      </c>
    </row>
    <row r="1177" customFormat="false" ht="43.5" hidden="false" customHeight="true" outlineLevel="0" collapsed="false">
      <c r="A1177" s="1" t="n">
        <v>3</v>
      </c>
      <c r="B1177" s="10" t="n">
        <v>45631</v>
      </c>
      <c r="C1177" s="11" t="s">
        <v>1195</v>
      </c>
      <c r="D1177" s="1" t="s">
        <v>8</v>
      </c>
      <c r="E1177" s="1" t="s">
        <v>18</v>
      </c>
      <c r="F1177" s="1" t="str">
        <f aca="false">TEXT(B1177,"mmm-yyyy")</f>
        <v>Dec-2024</v>
      </c>
    </row>
    <row r="1178" customFormat="false" ht="57.75" hidden="false" customHeight="true" outlineLevel="0" collapsed="false">
      <c r="A1178" s="1" t="n">
        <v>5</v>
      </c>
      <c r="B1178" s="10" t="n">
        <v>45634</v>
      </c>
      <c r="C1178" s="11" t="s">
        <v>1196</v>
      </c>
      <c r="D1178" s="1" t="s">
        <v>8</v>
      </c>
      <c r="E1178" s="1" t="s">
        <v>18</v>
      </c>
      <c r="F1178" s="1" t="str">
        <f aca="false">TEXT(B1178,"mmm-yyyy")</f>
        <v>Dec-2024</v>
      </c>
    </row>
    <row r="1179" customFormat="false" ht="57.75" hidden="false" customHeight="true" outlineLevel="0" collapsed="false">
      <c r="A1179" s="1" t="n">
        <v>5</v>
      </c>
      <c r="B1179" s="10" t="n">
        <v>45633</v>
      </c>
      <c r="C1179" s="11" t="s">
        <v>1197</v>
      </c>
      <c r="D1179" s="1" t="s">
        <v>8</v>
      </c>
      <c r="E1179" s="1" t="s">
        <v>18</v>
      </c>
      <c r="F1179" s="1" t="str">
        <f aca="false">TEXT(B1179,"mmm-yyyy")</f>
        <v>Dec-2024</v>
      </c>
    </row>
    <row r="1180" customFormat="false" ht="57.75" hidden="false" customHeight="true" outlineLevel="0" collapsed="false">
      <c r="A1180" s="1" t="n">
        <v>5</v>
      </c>
      <c r="B1180" s="10" t="n">
        <v>45634</v>
      </c>
      <c r="C1180" s="11" t="s">
        <v>1198</v>
      </c>
      <c r="D1180" s="1" t="s">
        <v>8</v>
      </c>
      <c r="E1180" s="1" t="s">
        <v>18</v>
      </c>
      <c r="F1180" s="1" t="str">
        <f aca="false">TEXT(B1180,"mmm-yyyy")</f>
        <v>Dec-2024</v>
      </c>
    </row>
    <row r="1181" customFormat="false" ht="72" hidden="false" customHeight="true" outlineLevel="0" collapsed="false">
      <c r="A1181" s="1" t="n">
        <v>2</v>
      </c>
      <c r="B1181" s="10" t="n">
        <v>45628</v>
      </c>
      <c r="C1181" s="11" t="s">
        <v>1199</v>
      </c>
      <c r="D1181" s="1" t="s">
        <v>8</v>
      </c>
      <c r="E1181" s="1" t="s">
        <v>18</v>
      </c>
      <c r="F1181" s="1" t="str">
        <f aca="false">TEXT(B1181,"mmm-yyyy")</f>
        <v>Dec-2024</v>
      </c>
    </row>
    <row r="1182" customFormat="false" ht="130.5" hidden="false" customHeight="true" outlineLevel="0" collapsed="false">
      <c r="A1182" s="1" t="n">
        <v>4</v>
      </c>
      <c r="B1182" s="10" t="n">
        <v>45639</v>
      </c>
      <c r="C1182" s="11" t="s">
        <v>1200</v>
      </c>
      <c r="D1182" s="1" t="s">
        <v>8</v>
      </c>
      <c r="E1182" s="1" t="s">
        <v>18</v>
      </c>
      <c r="F1182" s="1" t="str">
        <f aca="false">TEXT(B1182,"mmm-yyyy")</f>
        <v>Dec-2024</v>
      </c>
    </row>
    <row r="1183" customFormat="false" ht="28.5" hidden="false" customHeight="true" outlineLevel="0" collapsed="false">
      <c r="A1183" s="1" t="n">
        <v>5</v>
      </c>
      <c r="B1183" s="10" t="n">
        <v>45629</v>
      </c>
      <c r="C1183" s="11" t="s">
        <v>1201</v>
      </c>
      <c r="D1183" s="1" t="s">
        <v>8</v>
      </c>
      <c r="E1183" s="1" t="s">
        <v>18</v>
      </c>
      <c r="F1183" s="1" t="str">
        <f aca="false">TEXT(B1183,"mmm-yyyy")</f>
        <v>Dec-2024</v>
      </c>
    </row>
    <row r="1184" customFormat="false" ht="43.5" hidden="false" customHeight="true" outlineLevel="0" collapsed="false">
      <c r="A1184" s="1" t="n">
        <v>4</v>
      </c>
      <c r="B1184" s="10" t="n">
        <v>45637</v>
      </c>
      <c r="C1184" s="11" t="s">
        <v>1202</v>
      </c>
      <c r="D1184" s="1" t="s">
        <v>8</v>
      </c>
      <c r="E1184" s="1" t="s">
        <v>18</v>
      </c>
      <c r="F1184" s="1" t="str">
        <f aca="false">TEXT(B1184,"mmm-yyyy")</f>
        <v>Dec-2024</v>
      </c>
    </row>
    <row r="1185" customFormat="false" ht="57.75" hidden="false" customHeight="true" outlineLevel="0" collapsed="false">
      <c r="A1185" s="1" t="n">
        <v>4</v>
      </c>
      <c r="B1185" s="10" t="n">
        <v>45634</v>
      </c>
      <c r="C1185" s="11" t="s">
        <v>1203</v>
      </c>
      <c r="D1185" s="1" t="s">
        <v>8</v>
      </c>
      <c r="E1185" s="1" t="s">
        <v>18</v>
      </c>
      <c r="F1185" s="1" t="str">
        <f aca="false">TEXT(B1185,"mmm-yyyy")</f>
        <v>Dec-2024</v>
      </c>
    </row>
    <row r="1186" customFormat="false" ht="72" hidden="false" customHeight="true" outlineLevel="0" collapsed="false">
      <c r="A1186" s="1" t="n">
        <v>1</v>
      </c>
      <c r="B1186" s="10" t="n">
        <v>45631</v>
      </c>
      <c r="C1186" s="11" t="s">
        <v>1204</v>
      </c>
      <c r="D1186" s="1" t="s">
        <v>8</v>
      </c>
      <c r="E1186" s="1" t="s">
        <v>20</v>
      </c>
      <c r="F1186" s="1" t="str">
        <f aca="false">TEXT(B1186,"mmm-yyyy")</f>
        <v>Dec-2024</v>
      </c>
    </row>
    <row r="1187" customFormat="false" ht="43.5" hidden="false" customHeight="true" outlineLevel="0" collapsed="false">
      <c r="A1187" s="1" t="n">
        <v>1</v>
      </c>
      <c r="B1187" s="10" t="n">
        <v>45647</v>
      </c>
      <c r="C1187" s="11" t="s">
        <v>1205</v>
      </c>
      <c r="D1187" s="1" t="s">
        <v>8</v>
      </c>
      <c r="E1187" s="1" t="s">
        <v>20</v>
      </c>
      <c r="F1187" s="1" t="str">
        <f aca="false">TEXT(B1187,"mmm-yyyy")</f>
        <v>Dec-2024</v>
      </c>
    </row>
    <row r="1188" customFormat="false" ht="43.5" hidden="false" customHeight="true" outlineLevel="0" collapsed="false">
      <c r="A1188" s="1" t="n">
        <v>5</v>
      </c>
      <c r="B1188" s="10" t="n">
        <v>45631</v>
      </c>
      <c r="C1188" s="11" t="s">
        <v>1206</v>
      </c>
      <c r="D1188" s="1" t="s">
        <v>8</v>
      </c>
      <c r="E1188" s="1" t="s">
        <v>18</v>
      </c>
      <c r="F1188" s="1" t="str">
        <f aca="false">TEXT(B1188,"mmm-yyyy")</f>
        <v>Dec-2024</v>
      </c>
    </row>
    <row r="1189" customFormat="false" ht="28.5" hidden="false" customHeight="true" outlineLevel="0" collapsed="false">
      <c r="A1189" s="1" t="n">
        <v>5</v>
      </c>
      <c r="B1189" s="10" t="n">
        <v>45637</v>
      </c>
      <c r="C1189" s="11" t="s">
        <v>1207</v>
      </c>
      <c r="D1189" s="1" t="s">
        <v>8</v>
      </c>
      <c r="E1189" s="1" t="s">
        <v>18</v>
      </c>
      <c r="F1189" s="1" t="str">
        <f aca="false">TEXT(B1189,"mmm-yyyy")</f>
        <v>Dec-2024</v>
      </c>
    </row>
    <row r="1190" customFormat="false" ht="72" hidden="false" customHeight="true" outlineLevel="0" collapsed="false">
      <c r="A1190" s="1" t="n">
        <v>5</v>
      </c>
      <c r="B1190" s="10" t="n">
        <v>45638</v>
      </c>
      <c r="C1190" s="11" t="s">
        <v>1208</v>
      </c>
      <c r="D1190" s="1" t="s">
        <v>8</v>
      </c>
      <c r="E1190" s="1" t="s">
        <v>18</v>
      </c>
      <c r="F1190" s="1" t="str">
        <f aca="false">TEXT(B1190,"mmm-yyyy")</f>
        <v>Dec-2024</v>
      </c>
    </row>
    <row r="1191" customFormat="false" ht="57.75" hidden="false" customHeight="true" outlineLevel="0" collapsed="false">
      <c r="A1191" s="1" t="n">
        <v>4</v>
      </c>
      <c r="B1191" s="10" t="n">
        <v>45634</v>
      </c>
      <c r="C1191" s="11" t="s">
        <v>1209</v>
      </c>
      <c r="D1191" s="1" t="s">
        <v>8</v>
      </c>
      <c r="E1191" s="1" t="s">
        <v>18</v>
      </c>
      <c r="F1191" s="1" t="str">
        <f aca="false">TEXT(B1191,"mmm-yyyy")</f>
        <v>Dec-2024</v>
      </c>
    </row>
    <row r="1192" customFormat="false" ht="43.5" hidden="false" customHeight="true" outlineLevel="0" collapsed="false">
      <c r="A1192" s="1" t="n">
        <v>5</v>
      </c>
      <c r="B1192" s="10" t="n">
        <v>45637</v>
      </c>
      <c r="C1192" s="11" t="s">
        <v>1210</v>
      </c>
      <c r="D1192" s="1" t="s">
        <v>8</v>
      </c>
      <c r="E1192" s="1" t="s">
        <v>18</v>
      </c>
      <c r="F1192" s="1" t="str">
        <f aca="false">TEXT(B1192,"mmm-yyyy")</f>
        <v>Dec-2024</v>
      </c>
    </row>
    <row r="1193" customFormat="false" ht="72" hidden="false" customHeight="true" outlineLevel="0" collapsed="false">
      <c r="A1193" s="1" t="n">
        <v>1</v>
      </c>
      <c r="B1193" s="10" t="n">
        <v>45629</v>
      </c>
      <c r="C1193" s="11" t="s">
        <v>1211</v>
      </c>
      <c r="D1193" s="1" t="s">
        <v>8</v>
      </c>
      <c r="E1193" s="1" t="s">
        <v>20</v>
      </c>
      <c r="F1193" s="1" t="str">
        <f aca="false">TEXT(B1193,"mmm-yyyy")</f>
        <v>Dec-2024</v>
      </c>
    </row>
    <row r="1194" customFormat="false" ht="87" hidden="false" customHeight="true" outlineLevel="0" collapsed="false">
      <c r="A1194" s="1" t="n">
        <v>3</v>
      </c>
      <c r="B1194" s="10" t="n">
        <v>45632</v>
      </c>
      <c r="C1194" s="11" t="s">
        <v>1212</v>
      </c>
      <c r="D1194" s="1" t="s">
        <v>8</v>
      </c>
      <c r="E1194" s="1" t="s">
        <v>20</v>
      </c>
      <c r="F1194" s="1" t="str">
        <f aca="false">TEXT(B1194,"mmm-yyyy")</f>
        <v>Dec-2024</v>
      </c>
    </row>
    <row r="1195" customFormat="false" ht="57.75" hidden="false" customHeight="true" outlineLevel="0" collapsed="false">
      <c r="A1195" s="1" t="n">
        <v>4</v>
      </c>
      <c r="B1195" s="10" t="n">
        <v>45633</v>
      </c>
      <c r="C1195" s="11" t="s">
        <v>1213</v>
      </c>
      <c r="D1195" s="1" t="s">
        <v>8</v>
      </c>
      <c r="E1195" s="1" t="s">
        <v>18</v>
      </c>
      <c r="F1195" s="1" t="str">
        <f aca="false">TEXT(B1195,"mmm-yyyy")</f>
        <v>Dec-2024</v>
      </c>
    </row>
    <row r="1196" customFormat="false" ht="43.5" hidden="false" customHeight="true" outlineLevel="0" collapsed="false">
      <c r="A1196" s="1" t="n">
        <v>1</v>
      </c>
      <c r="B1196" s="10" t="n">
        <v>45632</v>
      </c>
      <c r="C1196" s="11" t="s">
        <v>1214</v>
      </c>
      <c r="D1196" s="1" t="s">
        <v>8</v>
      </c>
      <c r="E1196" s="1" t="s">
        <v>20</v>
      </c>
      <c r="F1196" s="1" t="str">
        <f aca="false">TEXT(B1196,"mmm-yyyy")</f>
        <v>Dec-2024</v>
      </c>
    </row>
    <row r="1197" customFormat="false" ht="57.75" hidden="false" customHeight="true" outlineLevel="0" collapsed="false">
      <c r="A1197" s="1" t="n">
        <v>3</v>
      </c>
      <c r="B1197" s="10" t="n">
        <v>45634</v>
      </c>
      <c r="C1197" s="11" t="s">
        <v>1215</v>
      </c>
      <c r="D1197" s="1" t="s">
        <v>8</v>
      </c>
      <c r="E1197" s="1" t="s">
        <v>20</v>
      </c>
      <c r="F1197" s="1" t="str">
        <f aca="false">TEXT(B1197,"mmm-yyyy")</f>
        <v>Dec-2024</v>
      </c>
    </row>
    <row r="1198" customFormat="false" ht="57.75" hidden="false" customHeight="true" outlineLevel="0" collapsed="false">
      <c r="A1198" s="1" t="n">
        <v>4</v>
      </c>
      <c r="B1198" s="10" t="n">
        <v>45631</v>
      </c>
      <c r="C1198" s="11" t="s">
        <v>1216</v>
      </c>
      <c r="D1198" s="1" t="s">
        <v>8</v>
      </c>
      <c r="E1198" s="1" t="s">
        <v>18</v>
      </c>
      <c r="F1198" s="1" t="str">
        <f aca="false">TEXT(B1198,"mmm-yyyy")</f>
        <v>Dec-2024</v>
      </c>
    </row>
    <row r="1199" customFormat="false" ht="43.5" hidden="false" customHeight="true" outlineLevel="0" collapsed="false">
      <c r="A1199" s="1" t="n">
        <v>1</v>
      </c>
      <c r="B1199" s="10" t="n">
        <v>45633</v>
      </c>
      <c r="C1199" s="11" t="s">
        <v>1217</v>
      </c>
      <c r="D1199" s="1" t="s">
        <v>8</v>
      </c>
      <c r="E1199" s="1" t="s">
        <v>20</v>
      </c>
      <c r="F1199" s="1" t="str">
        <f aca="false">TEXT(B1199,"mmm-yyyy")</f>
        <v>Dec-2024</v>
      </c>
    </row>
    <row r="1200" customFormat="false" ht="57.75" hidden="false" customHeight="true" outlineLevel="0" collapsed="false">
      <c r="A1200" s="1" t="n">
        <v>2</v>
      </c>
      <c r="B1200" s="10" t="n">
        <v>45629</v>
      </c>
      <c r="C1200" s="11" t="s">
        <v>1218</v>
      </c>
      <c r="D1200" s="1" t="s">
        <v>8</v>
      </c>
      <c r="E1200" s="1" t="s">
        <v>18</v>
      </c>
      <c r="F1200" s="1" t="str">
        <f aca="false">TEXT(B1200,"mmm-yyyy")</f>
        <v>Dec-2024</v>
      </c>
    </row>
    <row r="1201" customFormat="false" ht="72" hidden="false" customHeight="true" outlineLevel="0" collapsed="false">
      <c r="A1201" s="1" t="n">
        <v>3</v>
      </c>
      <c r="B1201" s="10" t="n">
        <v>45632</v>
      </c>
      <c r="C1201" s="11" t="s">
        <v>1219</v>
      </c>
      <c r="D1201" s="1" t="s">
        <v>8</v>
      </c>
      <c r="E1201" s="1" t="s">
        <v>20</v>
      </c>
      <c r="F1201" s="1" t="str">
        <f aca="false">TEXT(B1201,"mmm-yyyy")</f>
        <v>Dec-2024</v>
      </c>
    </row>
    <row r="1202" customFormat="false" ht="28.5" hidden="false" customHeight="true" outlineLevel="0" collapsed="false">
      <c r="A1202" s="1" t="n">
        <v>5</v>
      </c>
      <c r="B1202" s="10" t="n">
        <v>45636</v>
      </c>
      <c r="C1202" s="11" t="s">
        <v>1220</v>
      </c>
      <c r="D1202" s="1" t="s">
        <v>8</v>
      </c>
      <c r="E1202" s="1" t="s">
        <v>18</v>
      </c>
      <c r="F1202" s="1" t="str">
        <f aca="false">TEXT(B1202,"mmm-yyyy")</f>
        <v>Dec-2024</v>
      </c>
    </row>
    <row r="1203" customFormat="false" ht="43.5" hidden="false" customHeight="true" outlineLevel="0" collapsed="false">
      <c r="A1203" s="1" t="n">
        <v>1</v>
      </c>
      <c r="B1203" s="10" t="n">
        <v>45633</v>
      </c>
      <c r="C1203" s="11" t="s">
        <v>1221</v>
      </c>
      <c r="D1203" s="1" t="s">
        <v>8</v>
      </c>
      <c r="E1203" s="1" t="s">
        <v>20</v>
      </c>
      <c r="F1203" s="1" t="str">
        <f aca="false">TEXT(B1203,"mmm-yyyy")</f>
        <v>Dec-2024</v>
      </c>
    </row>
    <row r="1204" customFormat="false" ht="43.5" hidden="false" customHeight="true" outlineLevel="0" collapsed="false">
      <c r="A1204" s="1" t="n">
        <v>5</v>
      </c>
      <c r="B1204" s="10" t="n">
        <v>45641</v>
      </c>
      <c r="C1204" s="11" t="s">
        <v>1222</v>
      </c>
      <c r="D1204" s="1" t="s">
        <v>8</v>
      </c>
      <c r="E1204" s="1" t="s">
        <v>18</v>
      </c>
      <c r="F1204" s="1" t="str">
        <f aca="false">TEXT(B1204,"mmm-yyyy")</f>
        <v>Dec-2024</v>
      </c>
    </row>
    <row r="1205" customFormat="false" ht="43.5" hidden="false" customHeight="true" outlineLevel="0" collapsed="false">
      <c r="A1205" s="1" t="n">
        <v>5</v>
      </c>
      <c r="B1205" s="10" t="n">
        <v>45633</v>
      </c>
      <c r="C1205" s="11" t="s">
        <v>1223</v>
      </c>
      <c r="D1205" s="1" t="s">
        <v>8</v>
      </c>
      <c r="E1205" s="1" t="s">
        <v>18</v>
      </c>
      <c r="F1205" s="1" t="str">
        <f aca="false">TEXT(B1205,"mmm-yyyy")</f>
        <v>Dec-2024</v>
      </c>
    </row>
    <row r="1206" customFormat="false" ht="43.5" hidden="false" customHeight="true" outlineLevel="0" collapsed="false">
      <c r="A1206" s="1" t="n">
        <v>5</v>
      </c>
      <c r="B1206" s="10" t="n">
        <v>45644</v>
      </c>
      <c r="C1206" s="11" t="s">
        <v>1224</v>
      </c>
      <c r="D1206" s="1" t="s">
        <v>8</v>
      </c>
      <c r="E1206" s="1" t="s">
        <v>18</v>
      </c>
      <c r="F1206" s="1" t="str">
        <f aca="false">TEXT(B1206,"mmm-yyyy")</f>
        <v>Dec-2024</v>
      </c>
    </row>
    <row r="1207" customFormat="false" ht="57.75" hidden="false" customHeight="true" outlineLevel="0" collapsed="false">
      <c r="A1207" s="1" t="n">
        <v>1</v>
      </c>
      <c r="B1207" s="10" t="n">
        <v>45634</v>
      </c>
      <c r="C1207" s="11" t="s">
        <v>1225</v>
      </c>
      <c r="D1207" s="1" t="s">
        <v>8</v>
      </c>
      <c r="E1207" s="1" t="s">
        <v>20</v>
      </c>
      <c r="F1207" s="1" t="str">
        <f aca="false">TEXT(B1207,"mmm-yyyy")</f>
        <v>Dec-2024</v>
      </c>
    </row>
    <row r="1208" customFormat="false" ht="57.75" hidden="false" customHeight="true" outlineLevel="0" collapsed="false">
      <c r="A1208" s="1" t="n">
        <v>1</v>
      </c>
      <c r="B1208" s="10" t="n">
        <v>45630</v>
      </c>
      <c r="C1208" s="11" t="s">
        <v>1226</v>
      </c>
      <c r="D1208" s="1" t="s">
        <v>8</v>
      </c>
      <c r="E1208" s="1" t="s">
        <v>20</v>
      </c>
      <c r="F1208" s="1" t="str">
        <f aca="false">TEXT(B1208,"mmm-yyyy")</f>
        <v>Dec-2024</v>
      </c>
    </row>
    <row r="1209" customFormat="false" ht="43.5" hidden="false" customHeight="true" outlineLevel="0" collapsed="false">
      <c r="A1209" s="1" t="n">
        <v>5</v>
      </c>
      <c r="B1209" s="10" t="n">
        <v>45630</v>
      </c>
      <c r="C1209" s="11" t="s">
        <v>1227</v>
      </c>
      <c r="D1209" s="1" t="s">
        <v>8</v>
      </c>
      <c r="E1209" s="1" t="s">
        <v>18</v>
      </c>
      <c r="F1209" s="1" t="str">
        <f aca="false">TEXT(B1209,"mmm-yyyy")</f>
        <v>Dec-2024</v>
      </c>
    </row>
    <row r="1210" customFormat="false" ht="72" hidden="false" customHeight="true" outlineLevel="0" collapsed="false">
      <c r="A1210" s="1" t="n">
        <v>1</v>
      </c>
      <c r="B1210" s="10" t="n">
        <v>45637</v>
      </c>
      <c r="C1210" s="11" t="s">
        <v>1228</v>
      </c>
      <c r="D1210" s="1" t="s">
        <v>8</v>
      </c>
      <c r="E1210" s="1" t="s">
        <v>20</v>
      </c>
      <c r="F1210" s="1" t="str">
        <f aca="false">TEXT(B1210,"mmm-yyyy")</f>
        <v>Dec-2024</v>
      </c>
    </row>
    <row r="1211" customFormat="false" ht="57.75" hidden="false" customHeight="true" outlineLevel="0" collapsed="false">
      <c r="A1211" s="1" t="n">
        <v>5</v>
      </c>
      <c r="B1211" s="10" t="n">
        <v>45638</v>
      </c>
      <c r="C1211" s="11" t="s">
        <v>1229</v>
      </c>
      <c r="D1211" s="1" t="s">
        <v>8</v>
      </c>
      <c r="E1211" s="1" t="s">
        <v>18</v>
      </c>
      <c r="F1211" s="1" t="str">
        <f aca="false">TEXT(B1211,"mmm-yyyy")</f>
        <v>Dec-2024</v>
      </c>
    </row>
    <row r="1212" customFormat="false" ht="43.5" hidden="false" customHeight="true" outlineLevel="0" collapsed="false">
      <c r="A1212" s="1" t="n">
        <v>5</v>
      </c>
      <c r="B1212" s="10" t="n">
        <v>45630</v>
      </c>
      <c r="C1212" s="11" t="s">
        <v>1230</v>
      </c>
      <c r="D1212" s="1" t="s">
        <v>8</v>
      </c>
      <c r="E1212" s="1" t="s">
        <v>18</v>
      </c>
      <c r="F1212" s="1" t="str">
        <f aca="false">TEXT(B1212,"mmm-yyyy")</f>
        <v>Dec-2024</v>
      </c>
    </row>
    <row r="1213" customFormat="false" ht="101.25" hidden="false" customHeight="true" outlineLevel="0" collapsed="false">
      <c r="A1213" s="1" t="n">
        <v>4</v>
      </c>
      <c r="B1213" s="10" t="n">
        <v>45648</v>
      </c>
      <c r="C1213" s="11" t="s">
        <v>1231</v>
      </c>
      <c r="D1213" s="1" t="s">
        <v>8</v>
      </c>
      <c r="E1213" s="1" t="s">
        <v>18</v>
      </c>
      <c r="F1213" s="1" t="str">
        <f aca="false">TEXT(B1213,"mmm-yyyy")</f>
        <v>Dec-2024</v>
      </c>
    </row>
    <row r="1214" customFormat="false" ht="28.5" hidden="false" customHeight="true" outlineLevel="0" collapsed="false">
      <c r="A1214" s="1" t="n">
        <v>4</v>
      </c>
      <c r="B1214" s="10" t="n">
        <v>45635</v>
      </c>
      <c r="C1214" s="11" t="s">
        <v>1232</v>
      </c>
      <c r="D1214" s="1" t="s">
        <v>8</v>
      </c>
      <c r="E1214" s="1" t="s">
        <v>18</v>
      </c>
      <c r="F1214" s="1" t="str">
        <f aca="false">TEXT(B1214,"mmm-yyyy")</f>
        <v>Dec-2024</v>
      </c>
    </row>
    <row r="1215" customFormat="false" ht="57.75" hidden="false" customHeight="true" outlineLevel="0" collapsed="false">
      <c r="A1215" s="1" t="n">
        <v>5</v>
      </c>
      <c r="B1215" s="10" t="n">
        <v>45634</v>
      </c>
      <c r="C1215" s="11" t="s">
        <v>1233</v>
      </c>
      <c r="D1215" s="1" t="s">
        <v>8</v>
      </c>
      <c r="E1215" s="1" t="s">
        <v>18</v>
      </c>
      <c r="F1215" s="1" t="str">
        <f aca="false">TEXT(B1215,"mmm-yyyy")</f>
        <v>Dec-2024</v>
      </c>
    </row>
    <row r="1216" customFormat="false" ht="28.5" hidden="false" customHeight="true" outlineLevel="0" collapsed="false">
      <c r="A1216" s="1" t="n">
        <v>4</v>
      </c>
      <c r="B1216" s="10" t="n">
        <v>45637</v>
      </c>
      <c r="C1216" s="11" t="s">
        <v>1234</v>
      </c>
      <c r="D1216" s="1" t="s">
        <v>8</v>
      </c>
      <c r="E1216" s="1" t="s">
        <v>18</v>
      </c>
      <c r="F1216" s="1" t="str">
        <f aca="false">TEXT(B1216,"mmm-yyyy")</f>
        <v>Dec-2024</v>
      </c>
    </row>
    <row r="1217" customFormat="false" ht="72" hidden="false" customHeight="true" outlineLevel="0" collapsed="false">
      <c r="A1217" s="1" t="n">
        <v>1</v>
      </c>
      <c r="B1217" s="10" t="n">
        <v>45630</v>
      </c>
      <c r="C1217" s="11" t="s">
        <v>1235</v>
      </c>
      <c r="D1217" s="1" t="s">
        <v>8</v>
      </c>
      <c r="E1217" s="1" t="s">
        <v>20</v>
      </c>
      <c r="F1217" s="1" t="str">
        <f aca="false">TEXT(B1217,"mmm-yyyy")</f>
        <v>Dec-2024</v>
      </c>
    </row>
    <row r="1218" customFormat="false" ht="43.5" hidden="false" customHeight="true" outlineLevel="0" collapsed="false">
      <c r="A1218" s="1" t="n">
        <v>4</v>
      </c>
      <c r="B1218" s="10" t="n">
        <v>45634</v>
      </c>
      <c r="C1218" s="11" t="s">
        <v>1236</v>
      </c>
      <c r="D1218" s="1" t="s">
        <v>8</v>
      </c>
      <c r="E1218" s="1" t="s">
        <v>18</v>
      </c>
      <c r="F1218" s="1" t="str">
        <f aca="false">TEXT(B1218,"mmm-yyyy")</f>
        <v>Dec-2024</v>
      </c>
    </row>
    <row r="1219" customFormat="false" ht="28.5" hidden="false" customHeight="true" outlineLevel="0" collapsed="false">
      <c r="A1219" s="1" t="n">
        <v>5</v>
      </c>
      <c r="B1219" s="10" t="n">
        <v>45633</v>
      </c>
      <c r="C1219" s="11" t="s">
        <v>1237</v>
      </c>
      <c r="D1219" s="1" t="s">
        <v>8</v>
      </c>
      <c r="E1219" s="1" t="s">
        <v>18</v>
      </c>
      <c r="F1219" s="1" t="str">
        <f aca="false">TEXT(B1219,"mmm-yyyy")</f>
        <v>Dec-2024</v>
      </c>
    </row>
    <row r="1220" customFormat="false" ht="43.5" hidden="false" customHeight="true" outlineLevel="0" collapsed="false">
      <c r="A1220" s="1" t="n">
        <v>3</v>
      </c>
      <c r="B1220" s="10" t="n">
        <v>45634</v>
      </c>
      <c r="C1220" s="11" t="s">
        <v>1238</v>
      </c>
      <c r="D1220" s="1" t="s">
        <v>8</v>
      </c>
      <c r="E1220" s="1" t="s">
        <v>20</v>
      </c>
      <c r="F1220" s="1" t="str">
        <f aca="false">TEXT(B1220,"mmm-yyyy")</f>
        <v>Dec-2024</v>
      </c>
    </row>
    <row r="1221" customFormat="false" ht="144.75" hidden="false" customHeight="true" outlineLevel="0" collapsed="false">
      <c r="A1221" s="1" t="n">
        <v>1</v>
      </c>
      <c r="B1221" s="10" t="n">
        <v>45633</v>
      </c>
      <c r="C1221" s="11" t="s">
        <v>1239</v>
      </c>
      <c r="D1221" s="1" t="s">
        <v>8</v>
      </c>
      <c r="E1221" s="1" t="s">
        <v>20</v>
      </c>
      <c r="F1221" s="1" t="str">
        <f aca="false">TEXT(B1221,"mmm-yyyy")</f>
        <v>Dec-2024</v>
      </c>
    </row>
    <row r="1222" customFormat="false" ht="57.75" hidden="false" customHeight="true" outlineLevel="0" collapsed="false">
      <c r="A1222" s="1" t="n">
        <v>5</v>
      </c>
      <c r="B1222" s="10" t="n">
        <v>45635</v>
      </c>
      <c r="C1222" s="11" t="s">
        <v>1240</v>
      </c>
      <c r="D1222" s="1" t="s">
        <v>8</v>
      </c>
      <c r="E1222" s="1" t="s">
        <v>18</v>
      </c>
      <c r="F1222" s="1" t="str">
        <f aca="false">TEXT(B1222,"mmm-yyyy")</f>
        <v>Dec-2024</v>
      </c>
    </row>
    <row r="1223" customFormat="false" ht="43.5" hidden="false" customHeight="true" outlineLevel="0" collapsed="false">
      <c r="A1223" s="1" t="n">
        <v>4</v>
      </c>
      <c r="B1223" s="10" t="n">
        <v>45631</v>
      </c>
      <c r="C1223" s="11" t="s">
        <v>1241</v>
      </c>
      <c r="D1223" s="1" t="s">
        <v>8</v>
      </c>
      <c r="E1223" s="1" t="s">
        <v>18</v>
      </c>
      <c r="F1223" s="1" t="str">
        <f aca="false">TEXT(B1223,"mmm-yyyy")</f>
        <v>Dec-2024</v>
      </c>
    </row>
    <row r="1224" customFormat="false" ht="57.75" hidden="false" customHeight="true" outlineLevel="0" collapsed="false">
      <c r="A1224" s="1" t="n">
        <v>1</v>
      </c>
      <c r="B1224" s="10" t="n">
        <v>45635</v>
      </c>
      <c r="C1224" s="11" t="s">
        <v>1242</v>
      </c>
      <c r="D1224" s="1" t="s">
        <v>8</v>
      </c>
      <c r="E1224" s="1" t="s">
        <v>20</v>
      </c>
      <c r="F1224" s="1" t="str">
        <f aca="false">TEXT(B1224,"mmm-yyyy")</f>
        <v>Dec-2024</v>
      </c>
    </row>
    <row r="1225" customFormat="false" ht="43.5" hidden="false" customHeight="true" outlineLevel="0" collapsed="false">
      <c r="A1225" s="1" t="n">
        <v>5</v>
      </c>
      <c r="B1225" s="10" t="n">
        <v>45633</v>
      </c>
      <c r="C1225" s="11" t="s">
        <v>1243</v>
      </c>
      <c r="D1225" s="1" t="s">
        <v>8</v>
      </c>
      <c r="E1225" s="1" t="s">
        <v>18</v>
      </c>
      <c r="F1225" s="1" t="str">
        <f aca="false">TEXT(B1225,"mmm-yyyy")</f>
        <v>Dec-2024</v>
      </c>
    </row>
    <row r="1226" customFormat="false" ht="57.75" hidden="false" customHeight="true" outlineLevel="0" collapsed="false">
      <c r="A1226" s="1" t="n">
        <v>1</v>
      </c>
      <c r="B1226" s="10" t="n">
        <v>45643</v>
      </c>
      <c r="C1226" s="11" t="s">
        <v>1244</v>
      </c>
      <c r="D1226" s="1" t="s">
        <v>8</v>
      </c>
      <c r="E1226" s="1" t="s">
        <v>20</v>
      </c>
      <c r="F1226" s="1" t="str">
        <f aca="false">TEXT(B1226,"mmm-yyyy")</f>
        <v>Dec-2024</v>
      </c>
    </row>
    <row r="1227" customFormat="false" ht="72" hidden="false" customHeight="true" outlineLevel="0" collapsed="false">
      <c r="A1227" s="1" t="n">
        <v>1</v>
      </c>
      <c r="B1227" s="10" t="n">
        <v>45634</v>
      </c>
      <c r="C1227" s="11" t="s">
        <v>1245</v>
      </c>
      <c r="D1227" s="1" t="s">
        <v>8</v>
      </c>
      <c r="E1227" s="1" t="s">
        <v>20</v>
      </c>
      <c r="F1227" s="1" t="str">
        <f aca="false">TEXT(B1227,"mmm-yyyy")</f>
        <v>Dec-2024</v>
      </c>
    </row>
    <row r="1228" customFormat="false" ht="57.75" hidden="false" customHeight="true" outlineLevel="0" collapsed="false">
      <c r="A1228" s="1" t="n">
        <v>1</v>
      </c>
      <c r="B1228" s="10" t="n">
        <v>45634</v>
      </c>
      <c r="C1228" s="11" t="s">
        <v>1246</v>
      </c>
      <c r="D1228" s="1" t="s">
        <v>8</v>
      </c>
      <c r="E1228" s="1" t="s">
        <v>20</v>
      </c>
      <c r="F1228" s="1" t="str">
        <f aca="false">TEXT(B1228,"mmm-yyyy")</f>
        <v>Dec-2024</v>
      </c>
    </row>
    <row r="1229" customFormat="false" ht="43.5" hidden="false" customHeight="true" outlineLevel="0" collapsed="false">
      <c r="A1229" s="1" t="n">
        <v>1</v>
      </c>
      <c r="B1229" s="10" t="n">
        <v>45638</v>
      </c>
      <c r="C1229" s="11" t="s">
        <v>1247</v>
      </c>
      <c r="D1229" s="1" t="s">
        <v>8</v>
      </c>
      <c r="E1229" s="1" t="s">
        <v>32</v>
      </c>
      <c r="F1229" s="1" t="str">
        <f aca="false">TEXT(B1229,"mmm-yyyy")</f>
        <v>Dec-2024</v>
      </c>
    </row>
    <row r="1230" customFormat="false" ht="43.5" hidden="false" customHeight="true" outlineLevel="0" collapsed="false">
      <c r="A1230" s="1" t="n">
        <v>5</v>
      </c>
      <c r="B1230" s="10" t="n">
        <v>45638</v>
      </c>
      <c r="C1230" s="11" t="s">
        <v>1248</v>
      </c>
      <c r="D1230" s="1" t="s">
        <v>8</v>
      </c>
      <c r="E1230" s="1" t="s">
        <v>18</v>
      </c>
      <c r="F1230" s="1" t="str">
        <f aca="false">TEXT(B1230,"mmm-yyyy")</f>
        <v>Dec-2024</v>
      </c>
    </row>
    <row r="1231" customFormat="false" ht="43.5" hidden="false" customHeight="true" outlineLevel="0" collapsed="false">
      <c r="A1231" s="1" t="n">
        <v>1</v>
      </c>
      <c r="B1231" s="10" t="n">
        <v>45634</v>
      </c>
      <c r="C1231" s="11" t="s">
        <v>1249</v>
      </c>
      <c r="D1231" s="1" t="s">
        <v>8</v>
      </c>
      <c r="E1231" s="1" t="s">
        <v>20</v>
      </c>
      <c r="F1231" s="1" t="str">
        <f aca="false">TEXT(B1231,"mmm-yyyy")</f>
        <v>Dec-2024</v>
      </c>
    </row>
    <row r="1232" customFormat="false" ht="57.75" hidden="false" customHeight="true" outlineLevel="0" collapsed="false">
      <c r="A1232" s="1" t="n">
        <v>1</v>
      </c>
      <c r="B1232" s="10" t="n">
        <v>45639</v>
      </c>
      <c r="C1232" s="11" t="s">
        <v>1250</v>
      </c>
      <c r="D1232" s="1" t="s">
        <v>8</v>
      </c>
      <c r="E1232" s="1" t="s">
        <v>20</v>
      </c>
      <c r="F1232" s="1" t="str">
        <f aca="false">TEXT(B1232,"mmm-yyyy")</f>
        <v>Dec-2024</v>
      </c>
    </row>
    <row r="1233" customFormat="false" ht="43.5" hidden="false" customHeight="true" outlineLevel="0" collapsed="false">
      <c r="A1233" s="1" t="n">
        <v>1</v>
      </c>
      <c r="B1233" s="10" t="n">
        <v>45635</v>
      </c>
      <c r="C1233" s="11" t="s">
        <v>1251</v>
      </c>
      <c r="D1233" s="1" t="s">
        <v>8</v>
      </c>
      <c r="E1233" s="1" t="s">
        <v>20</v>
      </c>
      <c r="F1233" s="1" t="str">
        <f aca="false">TEXT(B1233,"mmm-yyyy")</f>
        <v>Dec-2024</v>
      </c>
    </row>
    <row r="1234" customFormat="false" ht="28.5" hidden="false" customHeight="true" outlineLevel="0" collapsed="false">
      <c r="A1234" s="1" t="n">
        <v>5</v>
      </c>
      <c r="B1234" s="10" t="n">
        <v>45634</v>
      </c>
      <c r="C1234" s="11" t="s">
        <v>1252</v>
      </c>
      <c r="D1234" s="1" t="s">
        <v>8</v>
      </c>
      <c r="E1234" s="1" t="s">
        <v>32</v>
      </c>
      <c r="F1234" s="1" t="str">
        <f aca="false">TEXT(B1234,"mmm-yyyy")</f>
        <v>Dec-2024</v>
      </c>
    </row>
    <row r="1235" customFormat="false" ht="57.75" hidden="false" customHeight="true" outlineLevel="0" collapsed="false">
      <c r="A1235" s="1" t="n">
        <v>1</v>
      </c>
      <c r="B1235" s="10" t="n">
        <v>45631</v>
      </c>
      <c r="C1235" s="11" t="s">
        <v>1253</v>
      </c>
      <c r="D1235" s="1" t="s">
        <v>8</v>
      </c>
      <c r="E1235" s="1" t="s">
        <v>20</v>
      </c>
      <c r="F1235" s="1" t="str">
        <f aca="false">TEXT(B1235,"mmm-yyyy")</f>
        <v>Dec-2024</v>
      </c>
    </row>
    <row r="1236" customFormat="false" ht="43.5" hidden="false" customHeight="true" outlineLevel="0" collapsed="false">
      <c r="A1236" s="1" t="n">
        <v>5</v>
      </c>
      <c r="B1236" s="10" t="n">
        <v>45628</v>
      </c>
      <c r="C1236" s="11" t="s">
        <v>1254</v>
      </c>
      <c r="D1236" s="1" t="s">
        <v>8</v>
      </c>
      <c r="E1236" s="1" t="s">
        <v>18</v>
      </c>
      <c r="F1236" s="1" t="str">
        <f aca="false">TEXT(B1236,"mmm-yyyy")</f>
        <v>Dec-2024</v>
      </c>
    </row>
    <row r="1237" customFormat="false" ht="43.5" hidden="false" customHeight="true" outlineLevel="0" collapsed="false">
      <c r="A1237" s="1" t="n">
        <v>1</v>
      </c>
      <c r="B1237" s="10" t="n">
        <v>45637</v>
      </c>
      <c r="C1237" s="11" t="s">
        <v>1255</v>
      </c>
      <c r="D1237" s="1" t="s">
        <v>8</v>
      </c>
      <c r="E1237" s="1" t="s">
        <v>20</v>
      </c>
      <c r="F1237" s="1" t="str">
        <f aca="false">TEXT(B1237,"mmm-yyyy")</f>
        <v>Dec-2024</v>
      </c>
    </row>
    <row r="1238" customFormat="false" ht="43.5" hidden="false" customHeight="true" outlineLevel="0" collapsed="false">
      <c r="A1238" s="1" t="n">
        <v>5</v>
      </c>
      <c r="B1238" s="10" t="n">
        <v>45631</v>
      </c>
      <c r="C1238" s="11" t="s">
        <v>1256</v>
      </c>
      <c r="D1238" s="1" t="s">
        <v>8</v>
      </c>
      <c r="E1238" s="1" t="s">
        <v>18</v>
      </c>
      <c r="F1238" s="1" t="str">
        <f aca="false">TEXT(B1238,"mmm-yyyy")</f>
        <v>Dec-2024</v>
      </c>
    </row>
    <row r="1239" customFormat="false" ht="43.5" hidden="false" customHeight="true" outlineLevel="0" collapsed="false">
      <c r="A1239" s="1" t="n">
        <v>1</v>
      </c>
      <c r="B1239" s="10" t="n">
        <v>45631</v>
      </c>
      <c r="C1239" s="11" t="s">
        <v>1257</v>
      </c>
      <c r="D1239" s="1" t="s">
        <v>8</v>
      </c>
      <c r="E1239" s="1" t="s">
        <v>20</v>
      </c>
      <c r="F1239" s="1" t="str">
        <f aca="false">TEXT(B1239,"mmm-yyyy")</f>
        <v>Dec-2024</v>
      </c>
    </row>
    <row r="1240" customFormat="false" ht="43.5" hidden="false" customHeight="true" outlineLevel="0" collapsed="false">
      <c r="A1240" s="1" t="n">
        <v>2</v>
      </c>
      <c r="B1240" s="10" t="n">
        <v>45637</v>
      </c>
      <c r="C1240" s="11" t="s">
        <v>1258</v>
      </c>
      <c r="D1240" s="1" t="s">
        <v>8</v>
      </c>
      <c r="E1240" s="1" t="s">
        <v>32</v>
      </c>
      <c r="F1240" s="1" t="str">
        <f aca="false">TEXT(B1240,"mmm-yyyy")</f>
        <v>Dec-2024</v>
      </c>
    </row>
    <row r="1241" customFormat="false" ht="72" hidden="false" customHeight="true" outlineLevel="0" collapsed="false">
      <c r="A1241" s="1" t="n">
        <v>5</v>
      </c>
      <c r="B1241" s="10" t="n">
        <v>45633</v>
      </c>
      <c r="C1241" s="11" t="s">
        <v>1259</v>
      </c>
      <c r="D1241" s="1" t="s">
        <v>8</v>
      </c>
      <c r="E1241" s="1" t="s">
        <v>18</v>
      </c>
      <c r="F1241" s="1" t="str">
        <f aca="false">TEXT(B1241,"mmm-yyyy")</f>
        <v>Dec-2024</v>
      </c>
    </row>
    <row r="1242" customFormat="false" ht="57.75" hidden="false" customHeight="true" outlineLevel="0" collapsed="false">
      <c r="A1242" s="1" t="n">
        <v>1</v>
      </c>
      <c r="B1242" s="10" t="n">
        <v>45633</v>
      </c>
      <c r="C1242" s="11" t="s">
        <v>1260</v>
      </c>
      <c r="D1242" s="1" t="s">
        <v>8</v>
      </c>
      <c r="E1242" s="1" t="s">
        <v>20</v>
      </c>
      <c r="F1242" s="1" t="str">
        <f aca="false">TEXT(B1242,"mmm-yyyy")</f>
        <v>Dec-2024</v>
      </c>
    </row>
    <row r="1243" customFormat="false" ht="115.5" hidden="false" customHeight="true" outlineLevel="0" collapsed="false">
      <c r="A1243" s="1" t="n">
        <v>1</v>
      </c>
      <c r="B1243" s="10" t="n">
        <v>45605</v>
      </c>
      <c r="C1243" s="11" t="s">
        <v>1261</v>
      </c>
      <c r="D1243" s="1" t="s">
        <v>8</v>
      </c>
      <c r="E1243" s="1" t="s">
        <v>20</v>
      </c>
      <c r="F1243" s="1" t="str">
        <f aca="false">TEXT(B1243,"mmm-yyyy")</f>
        <v>Nov-2024</v>
      </c>
    </row>
    <row r="1244" customFormat="false" ht="72" hidden="false" customHeight="true" outlineLevel="0" collapsed="false">
      <c r="A1244" s="1" t="n">
        <v>1</v>
      </c>
      <c r="B1244" s="10" t="n">
        <v>45654</v>
      </c>
      <c r="C1244" s="11" t="s">
        <v>1262</v>
      </c>
      <c r="D1244" s="1" t="s">
        <v>8</v>
      </c>
      <c r="E1244" s="1" t="s">
        <v>20</v>
      </c>
      <c r="F1244" s="1" t="str">
        <f aca="false">TEXT(B1244,"mmm-yyyy")</f>
        <v>Dec-2024</v>
      </c>
    </row>
    <row r="1245" customFormat="false" ht="43.5" hidden="false" customHeight="true" outlineLevel="0" collapsed="false">
      <c r="A1245" s="1" t="n">
        <v>5</v>
      </c>
      <c r="B1245" s="10" t="n">
        <v>45628</v>
      </c>
      <c r="C1245" s="11" t="s">
        <v>1263</v>
      </c>
      <c r="D1245" s="1" t="s">
        <v>8</v>
      </c>
      <c r="E1245" s="1" t="s">
        <v>18</v>
      </c>
      <c r="F1245" s="1" t="str">
        <f aca="false">TEXT(B1245,"mmm-yyyy")</f>
        <v>Dec-2024</v>
      </c>
    </row>
    <row r="1246" customFormat="false" ht="115.5" hidden="false" customHeight="true" outlineLevel="0" collapsed="false">
      <c r="A1246" s="1" t="n">
        <v>4</v>
      </c>
      <c r="B1246" s="10" t="n">
        <v>45569</v>
      </c>
      <c r="C1246" s="11" t="s">
        <v>1264</v>
      </c>
      <c r="D1246" s="1" t="s">
        <v>8</v>
      </c>
      <c r="E1246" s="1" t="s">
        <v>18</v>
      </c>
      <c r="F1246" s="1" t="str">
        <f aca="false">TEXT(B1246,"mmm-yyyy")</f>
        <v>Oct-2024</v>
      </c>
    </row>
    <row r="1247" customFormat="false" ht="87" hidden="false" customHeight="true" outlineLevel="0" collapsed="false">
      <c r="A1247" s="1" t="n">
        <v>5</v>
      </c>
      <c r="B1247" s="10" t="n">
        <v>45573</v>
      </c>
      <c r="C1247" s="11" t="s">
        <v>1265</v>
      </c>
      <c r="D1247" s="1" t="s">
        <v>8</v>
      </c>
      <c r="E1247" s="1" t="s">
        <v>18</v>
      </c>
      <c r="F1247" s="1" t="str">
        <f aca="false">TEXT(B1247,"mmm-yyyy")</f>
        <v>Oct-2024</v>
      </c>
    </row>
    <row r="1248" customFormat="false" ht="115.5" hidden="false" customHeight="true" outlineLevel="0" collapsed="false">
      <c r="A1248" s="1" t="n">
        <v>1</v>
      </c>
      <c r="B1248" s="10" t="n">
        <v>45544</v>
      </c>
      <c r="C1248" s="11" t="s">
        <v>1266</v>
      </c>
      <c r="D1248" s="1" t="s">
        <v>8</v>
      </c>
      <c r="E1248" s="1" t="s">
        <v>18</v>
      </c>
      <c r="F1248" s="1" t="str">
        <f aca="false">TEXT(B1248,"mmm-yyyy")</f>
        <v>Sep-2024</v>
      </c>
    </row>
    <row r="1249" customFormat="false" ht="72" hidden="false" customHeight="true" outlineLevel="0" collapsed="false">
      <c r="A1249" s="1" t="n">
        <v>1</v>
      </c>
      <c r="B1249" s="10" t="n">
        <v>45649</v>
      </c>
      <c r="C1249" s="11" t="s">
        <v>1267</v>
      </c>
      <c r="D1249" s="1" t="s">
        <v>8</v>
      </c>
      <c r="E1249" s="1" t="s">
        <v>18</v>
      </c>
      <c r="F1249" s="1" t="str">
        <f aca="false">TEXT(B1249,"mmm-yyyy")</f>
        <v>Dec-2024</v>
      </c>
    </row>
    <row r="1250" customFormat="false" ht="101.25" hidden="false" customHeight="true" outlineLevel="0" collapsed="false">
      <c r="A1250" s="1" t="n">
        <v>4</v>
      </c>
      <c r="B1250" s="10" t="n">
        <v>45570</v>
      </c>
      <c r="C1250" s="11" t="s">
        <v>1268</v>
      </c>
      <c r="D1250" s="1" t="s">
        <v>8</v>
      </c>
      <c r="E1250" s="1" t="s">
        <v>18</v>
      </c>
      <c r="F1250" s="1" t="str">
        <f aca="false">TEXT(B1250,"mmm-yyyy")</f>
        <v>Oct-2024</v>
      </c>
    </row>
    <row r="1251" customFormat="false" ht="115.5" hidden="false" customHeight="true" outlineLevel="0" collapsed="false">
      <c r="A1251" s="1" t="n">
        <v>5</v>
      </c>
      <c r="B1251" s="10" t="n">
        <v>45509</v>
      </c>
      <c r="C1251" s="11" t="s">
        <v>1269</v>
      </c>
      <c r="D1251" s="1" t="s">
        <v>8</v>
      </c>
      <c r="E1251" s="1" t="s">
        <v>18</v>
      </c>
      <c r="F1251" s="1" t="str">
        <f aca="false">TEXT(B1251,"mmm-yyyy")</f>
        <v>Aug-2024</v>
      </c>
    </row>
    <row r="1252" customFormat="false" ht="43.5" hidden="false" customHeight="true" outlineLevel="0" collapsed="false">
      <c r="A1252" s="1" t="n">
        <v>1</v>
      </c>
      <c r="B1252" s="10" t="n">
        <v>45579</v>
      </c>
      <c r="C1252" s="11" t="s">
        <v>1270</v>
      </c>
      <c r="D1252" s="1" t="s">
        <v>8</v>
      </c>
      <c r="E1252" s="1" t="s">
        <v>32</v>
      </c>
      <c r="F1252" s="1" t="str">
        <f aca="false">TEXT(B1252,"mmm-yyyy")</f>
        <v>Oct-2024</v>
      </c>
    </row>
    <row r="1253" customFormat="false" ht="28.5" hidden="false" customHeight="true" outlineLevel="0" collapsed="false">
      <c r="A1253" s="1" t="n">
        <v>5</v>
      </c>
      <c r="B1253" s="10" t="n">
        <v>45654</v>
      </c>
      <c r="C1253" s="11" t="s">
        <v>1271</v>
      </c>
      <c r="D1253" s="1" t="s">
        <v>8</v>
      </c>
      <c r="E1253" s="1" t="s">
        <v>18</v>
      </c>
      <c r="F1253" s="1" t="str">
        <f aca="false">TEXT(B1253,"mmm-yyyy")</f>
        <v>Dec-2024</v>
      </c>
    </row>
    <row r="1254" customFormat="false" ht="43.5" hidden="false" customHeight="true" outlineLevel="0" collapsed="false">
      <c r="A1254" s="1" t="n">
        <v>5</v>
      </c>
      <c r="B1254" s="10" t="n">
        <v>45657</v>
      </c>
      <c r="C1254" s="11" t="s">
        <v>1272</v>
      </c>
      <c r="D1254" s="1" t="s">
        <v>8</v>
      </c>
      <c r="E1254" s="1" t="s">
        <v>32</v>
      </c>
      <c r="F1254" s="1" t="str">
        <f aca="false">TEXT(B1254,"mmm-yyyy")</f>
        <v>Dec-2024</v>
      </c>
    </row>
    <row r="1255" customFormat="false" ht="72" hidden="false" customHeight="true" outlineLevel="0" collapsed="false">
      <c r="A1255" s="1" t="n">
        <v>1</v>
      </c>
      <c r="B1255" s="10" t="n">
        <v>45588</v>
      </c>
      <c r="C1255" s="11" t="s">
        <v>1273</v>
      </c>
      <c r="D1255" s="1" t="s">
        <v>8</v>
      </c>
      <c r="E1255" s="1" t="s">
        <v>20</v>
      </c>
      <c r="F1255" s="1" t="str">
        <f aca="false">TEXT(B1255,"mmm-yyyy")</f>
        <v>Oct-2024</v>
      </c>
    </row>
    <row r="1256" customFormat="false" ht="43.5" hidden="false" customHeight="true" outlineLevel="0" collapsed="false">
      <c r="A1256" s="1" t="n">
        <v>1</v>
      </c>
      <c r="B1256" s="10" t="n">
        <v>45657</v>
      </c>
      <c r="C1256" s="11" t="s">
        <v>1274</v>
      </c>
      <c r="D1256" s="1" t="s">
        <v>8</v>
      </c>
      <c r="E1256" s="1" t="s">
        <v>20</v>
      </c>
      <c r="F1256" s="1" t="str">
        <f aca="false">TEXT(B1256,"mmm-yyyy")</f>
        <v>Dec-2024</v>
      </c>
    </row>
    <row r="1257" customFormat="false" ht="43.5" hidden="false" customHeight="true" outlineLevel="0" collapsed="false">
      <c r="A1257" s="1" t="n">
        <v>5</v>
      </c>
      <c r="B1257" s="10" t="n">
        <v>45656</v>
      </c>
      <c r="C1257" s="11" t="s">
        <v>1275</v>
      </c>
      <c r="D1257" s="1" t="s">
        <v>8</v>
      </c>
      <c r="E1257" s="1" t="s">
        <v>18</v>
      </c>
      <c r="F1257" s="1" t="str">
        <f aca="false">TEXT(B1257,"mmm-yyyy")</f>
        <v>Dec-2024</v>
      </c>
    </row>
    <row r="1258" customFormat="false" ht="43.5" hidden="false" customHeight="true" outlineLevel="0" collapsed="false">
      <c r="A1258" s="1" t="n">
        <v>2</v>
      </c>
      <c r="B1258" s="10" t="n">
        <v>45657</v>
      </c>
      <c r="C1258" s="11" t="s">
        <v>1276</v>
      </c>
      <c r="D1258" s="1" t="s">
        <v>8</v>
      </c>
      <c r="E1258" s="1" t="s">
        <v>18</v>
      </c>
      <c r="F1258" s="1" t="str">
        <f aca="false">TEXT(B1258,"mmm-yyyy")</f>
        <v>Dec-2024</v>
      </c>
    </row>
    <row r="1259" customFormat="false" ht="43.5" hidden="false" customHeight="true" outlineLevel="0" collapsed="false">
      <c r="A1259" s="1" t="n">
        <v>5</v>
      </c>
      <c r="B1259" s="10" t="n">
        <v>45649</v>
      </c>
      <c r="C1259" s="11" t="s">
        <v>1277</v>
      </c>
      <c r="D1259" s="1" t="s">
        <v>8</v>
      </c>
      <c r="E1259" s="1" t="s">
        <v>18</v>
      </c>
      <c r="F1259" s="1" t="str">
        <f aca="false">TEXT(B1259,"mmm-yyyy")</f>
        <v>Dec-2024</v>
      </c>
    </row>
    <row r="1260" customFormat="false" ht="43.5" hidden="false" customHeight="true" outlineLevel="0" collapsed="false">
      <c r="A1260" s="1" t="n">
        <v>4</v>
      </c>
      <c r="B1260" s="10" t="n">
        <v>45655</v>
      </c>
      <c r="C1260" s="11" t="s">
        <v>1278</v>
      </c>
      <c r="D1260" s="1" t="s">
        <v>8</v>
      </c>
      <c r="E1260" s="1" t="s">
        <v>18</v>
      </c>
      <c r="F1260" s="1" t="str">
        <f aca="false">TEXT(B1260,"mmm-yyyy")</f>
        <v>Dec-2024</v>
      </c>
    </row>
    <row r="1261" customFormat="false" ht="28.5" hidden="false" customHeight="true" outlineLevel="0" collapsed="false">
      <c r="A1261" s="1" t="n">
        <v>5</v>
      </c>
      <c r="B1261" s="10" t="n">
        <v>45657</v>
      </c>
      <c r="C1261" s="11" t="s">
        <v>1279</v>
      </c>
      <c r="D1261" s="1" t="s">
        <v>8</v>
      </c>
      <c r="E1261" s="1" t="s">
        <v>18</v>
      </c>
      <c r="F1261" s="1" t="str">
        <f aca="false">TEXT(B1261,"mmm-yyyy")</f>
        <v>Dec-2024</v>
      </c>
    </row>
    <row r="1262" customFormat="false" ht="43.5" hidden="false" customHeight="true" outlineLevel="0" collapsed="false">
      <c r="A1262" s="1" t="n">
        <v>5</v>
      </c>
      <c r="B1262" s="10" t="n">
        <v>45655</v>
      </c>
      <c r="C1262" s="11" t="s">
        <v>1280</v>
      </c>
      <c r="D1262" s="1" t="s">
        <v>8</v>
      </c>
      <c r="E1262" s="1" t="s">
        <v>18</v>
      </c>
      <c r="F1262" s="1" t="str">
        <f aca="false">TEXT(B1262,"mmm-yyyy")</f>
        <v>Dec-2024</v>
      </c>
    </row>
    <row r="1263" customFormat="false" ht="72" hidden="false" customHeight="true" outlineLevel="0" collapsed="false">
      <c r="A1263" s="1" t="n">
        <v>1</v>
      </c>
      <c r="B1263" s="10" t="n">
        <v>45656</v>
      </c>
      <c r="C1263" s="11" t="s">
        <v>1281</v>
      </c>
      <c r="D1263" s="1" t="s">
        <v>8</v>
      </c>
      <c r="E1263" s="1" t="s">
        <v>18</v>
      </c>
      <c r="F1263" s="1" t="str">
        <f aca="false">TEXT(B1263,"mmm-yyyy")</f>
        <v>Dec-2024</v>
      </c>
    </row>
    <row r="1264" customFormat="false" ht="28.5" hidden="false" customHeight="true" outlineLevel="0" collapsed="false">
      <c r="A1264" s="1" t="n">
        <v>5</v>
      </c>
      <c r="B1264" s="10" t="n">
        <v>45657</v>
      </c>
      <c r="C1264" s="11" t="s">
        <v>1282</v>
      </c>
      <c r="D1264" s="1" t="s">
        <v>8</v>
      </c>
      <c r="E1264" s="1" t="s">
        <v>18</v>
      </c>
      <c r="F1264" s="1" t="str">
        <f aca="false">TEXT(B1264,"mmm-yyyy")</f>
        <v>Dec-2024</v>
      </c>
    </row>
    <row r="1265" customFormat="false" ht="43.5" hidden="false" customHeight="true" outlineLevel="0" collapsed="false">
      <c r="A1265" s="1" t="n">
        <v>4</v>
      </c>
      <c r="B1265" s="10" t="n">
        <v>45655</v>
      </c>
      <c r="C1265" s="11" t="s">
        <v>1283</v>
      </c>
      <c r="D1265" s="1" t="s">
        <v>8</v>
      </c>
      <c r="E1265" s="1" t="s">
        <v>18</v>
      </c>
      <c r="F1265" s="1" t="str">
        <f aca="false">TEXT(B1265,"mmm-yyyy")</f>
        <v>Dec-2024</v>
      </c>
    </row>
    <row r="1266" customFormat="false" ht="57.75" hidden="false" customHeight="true" outlineLevel="0" collapsed="false">
      <c r="A1266" s="1" t="n">
        <v>3</v>
      </c>
      <c r="B1266" s="10" t="n">
        <v>45631</v>
      </c>
      <c r="C1266" s="11" t="s">
        <v>1284</v>
      </c>
      <c r="D1266" s="1" t="s">
        <v>8</v>
      </c>
      <c r="E1266" s="1" t="s">
        <v>20</v>
      </c>
      <c r="F1266" s="1" t="str">
        <f aca="false">TEXT(B1266,"mmm-yyyy")</f>
        <v>Dec-2024</v>
      </c>
    </row>
    <row r="1267" customFormat="false" ht="28.5" hidden="false" customHeight="true" outlineLevel="0" collapsed="false">
      <c r="A1267" s="1" t="n">
        <v>4</v>
      </c>
      <c r="B1267" s="10" t="n">
        <v>45656</v>
      </c>
      <c r="C1267" s="11" t="s">
        <v>1285</v>
      </c>
      <c r="D1267" s="1" t="s">
        <v>8</v>
      </c>
      <c r="E1267" s="1" t="s">
        <v>18</v>
      </c>
      <c r="F1267" s="1" t="str">
        <f aca="false">TEXT(B1267,"mmm-yyyy")</f>
        <v>Dec-2024</v>
      </c>
    </row>
    <row r="1268" customFormat="false" ht="43.5" hidden="false" customHeight="true" outlineLevel="0" collapsed="false">
      <c r="A1268" s="1" t="n">
        <v>1</v>
      </c>
      <c r="B1268" s="10" t="n">
        <v>45655</v>
      </c>
      <c r="C1268" s="11" t="s">
        <v>1286</v>
      </c>
      <c r="D1268" s="1" t="s">
        <v>8</v>
      </c>
      <c r="E1268" s="1" t="s">
        <v>20</v>
      </c>
      <c r="F1268" s="1" t="str">
        <f aca="false">TEXT(B1268,"mmm-yyyy")</f>
        <v>Dec-2024</v>
      </c>
    </row>
    <row r="1269" customFormat="false" ht="28.5" hidden="false" customHeight="true" outlineLevel="0" collapsed="false">
      <c r="A1269" s="1" t="n">
        <v>5</v>
      </c>
      <c r="B1269" s="10" t="n">
        <v>45657</v>
      </c>
      <c r="C1269" s="11" t="s">
        <v>1287</v>
      </c>
      <c r="D1269" s="1" t="s">
        <v>8</v>
      </c>
      <c r="E1269" s="1" t="s">
        <v>32</v>
      </c>
      <c r="F1269" s="1" t="str">
        <f aca="false">TEXT(B1269,"mmm-yyyy")</f>
        <v>Dec-2024</v>
      </c>
    </row>
    <row r="1270" customFormat="false" ht="28.5" hidden="false" customHeight="true" outlineLevel="0" collapsed="false">
      <c r="A1270" s="1" t="n">
        <v>5</v>
      </c>
      <c r="B1270" s="10" t="n">
        <v>45657</v>
      </c>
      <c r="C1270" s="11" t="s">
        <v>1288</v>
      </c>
      <c r="D1270" s="1" t="s">
        <v>8</v>
      </c>
      <c r="E1270" s="1" t="s">
        <v>18</v>
      </c>
      <c r="F1270" s="1" t="str">
        <f aca="false">TEXT(B1270,"mmm-yyyy")</f>
        <v>Dec-2024</v>
      </c>
    </row>
    <row r="1271" customFormat="false" ht="43.5" hidden="false" customHeight="true" outlineLevel="0" collapsed="false">
      <c r="A1271" s="1" t="n">
        <v>1</v>
      </c>
      <c r="B1271" s="10" t="n">
        <v>45657</v>
      </c>
      <c r="C1271" s="11" t="s">
        <v>1289</v>
      </c>
      <c r="D1271" s="1" t="s">
        <v>8</v>
      </c>
      <c r="E1271" s="1" t="s">
        <v>20</v>
      </c>
      <c r="F1271" s="1" t="str">
        <f aca="false">TEXT(B1271,"mmm-yyyy")</f>
        <v>Dec-2024</v>
      </c>
    </row>
    <row r="1272" customFormat="false" ht="57.75" hidden="false" customHeight="true" outlineLevel="0" collapsed="false">
      <c r="A1272" s="1" t="n">
        <v>1</v>
      </c>
      <c r="B1272" s="10" t="n">
        <v>45657</v>
      </c>
      <c r="C1272" s="11" t="s">
        <v>1290</v>
      </c>
      <c r="D1272" s="1" t="s">
        <v>8</v>
      </c>
      <c r="E1272" s="1" t="s">
        <v>20</v>
      </c>
      <c r="F1272" s="1" t="str">
        <f aca="false">TEXT(B1272,"mmm-yyyy")</f>
        <v>Dec-2024</v>
      </c>
    </row>
    <row r="1273" customFormat="false" ht="57.75" hidden="false" customHeight="true" outlineLevel="0" collapsed="false">
      <c r="A1273" s="1" t="n">
        <v>2</v>
      </c>
      <c r="B1273" s="10" t="n">
        <v>45569</v>
      </c>
      <c r="C1273" s="11" t="s">
        <v>1291</v>
      </c>
      <c r="D1273" s="1" t="s">
        <v>8</v>
      </c>
      <c r="E1273" s="1" t="s">
        <v>18</v>
      </c>
      <c r="F1273" s="1" t="str">
        <f aca="false">TEXT(B1273,"mmm-yyyy")</f>
        <v>Oct-2024</v>
      </c>
    </row>
    <row r="1274" customFormat="false" ht="28.5" hidden="false" customHeight="true" outlineLevel="0" collapsed="false">
      <c r="A1274" s="1" t="n">
        <v>5</v>
      </c>
      <c r="B1274" s="10" t="n">
        <v>45656</v>
      </c>
      <c r="C1274" s="11" t="s">
        <v>1292</v>
      </c>
      <c r="D1274" s="1" t="s">
        <v>8</v>
      </c>
      <c r="E1274" s="1" t="s">
        <v>18</v>
      </c>
      <c r="F1274" s="1" t="str">
        <f aca="false">TEXT(B1274,"mmm-yyyy")</f>
        <v>Dec-2024</v>
      </c>
    </row>
    <row r="1275" customFormat="false" ht="28.5" hidden="false" customHeight="true" outlineLevel="0" collapsed="false">
      <c r="A1275" s="1" t="n">
        <v>1</v>
      </c>
      <c r="B1275" s="10" t="n">
        <v>45656</v>
      </c>
      <c r="C1275" s="11" t="s">
        <v>1293</v>
      </c>
      <c r="D1275" s="1" t="s">
        <v>8</v>
      </c>
      <c r="E1275" s="1" t="s">
        <v>20</v>
      </c>
      <c r="F1275" s="1" t="str">
        <f aca="false">TEXT(B1275,"mmm-yyyy")</f>
        <v>Dec-2024</v>
      </c>
    </row>
    <row r="1276" customFormat="false" ht="72" hidden="false" customHeight="true" outlineLevel="0" collapsed="false">
      <c r="A1276" s="1" t="n">
        <v>1</v>
      </c>
      <c r="B1276" s="10" t="n">
        <v>45600</v>
      </c>
      <c r="C1276" s="11" t="s">
        <v>1294</v>
      </c>
      <c r="D1276" s="1" t="s">
        <v>8</v>
      </c>
      <c r="E1276" s="1" t="s">
        <v>20</v>
      </c>
      <c r="F1276" s="1" t="str">
        <f aca="false">TEXT(B1276,"mmm-yyyy")</f>
        <v>Nov-2024</v>
      </c>
    </row>
    <row r="1277" customFormat="false" ht="72" hidden="false" customHeight="true" outlineLevel="0" collapsed="false">
      <c r="A1277" s="1" t="n">
        <v>4</v>
      </c>
      <c r="B1277" s="10" t="n">
        <v>45608</v>
      </c>
      <c r="C1277" s="11" t="s">
        <v>1295</v>
      </c>
      <c r="D1277" s="1" t="s">
        <v>8</v>
      </c>
      <c r="E1277" s="1" t="s">
        <v>18</v>
      </c>
      <c r="F1277" s="1" t="str">
        <f aca="false">TEXT(B1277,"mmm-yyyy")</f>
        <v>Nov-2024</v>
      </c>
    </row>
    <row r="1278" customFormat="false" ht="43.5" hidden="false" customHeight="true" outlineLevel="0" collapsed="false">
      <c r="A1278" s="1" t="n">
        <v>4</v>
      </c>
      <c r="B1278" s="10" t="n">
        <v>45587</v>
      </c>
      <c r="C1278" s="11" t="s">
        <v>1296</v>
      </c>
      <c r="D1278" s="1" t="s">
        <v>8</v>
      </c>
      <c r="E1278" s="1" t="s">
        <v>18</v>
      </c>
      <c r="F1278" s="1" t="str">
        <f aca="false">TEXT(B1278,"mmm-yyyy")</f>
        <v>Oct-2024</v>
      </c>
    </row>
    <row r="1279" customFormat="false" ht="57.75" hidden="false" customHeight="true" outlineLevel="0" collapsed="false">
      <c r="A1279" s="1" t="n">
        <v>5</v>
      </c>
      <c r="B1279" s="10" t="n">
        <v>45615</v>
      </c>
      <c r="C1279" s="11" t="s">
        <v>1297</v>
      </c>
      <c r="D1279" s="1" t="s">
        <v>8</v>
      </c>
      <c r="E1279" s="1" t="s">
        <v>18</v>
      </c>
      <c r="F1279" s="1" t="str">
        <f aca="false">TEXT(B1279,"mmm-yyyy")</f>
        <v>Nov-2024</v>
      </c>
    </row>
    <row r="1280" customFormat="false" ht="57.75" hidden="false" customHeight="true" outlineLevel="0" collapsed="false">
      <c r="A1280" s="1" t="n">
        <v>4</v>
      </c>
      <c r="B1280" s="10" t="n">
        <v>45575</v>
      </c>
      <c r="C1280" s="11" t="s">
        <v>1298</v>
      </c>
      <c r="D1280" s="1" t="s">
        <v>8</v>
      </c>
      <c r="E1280" s="1" t="s">
        <v>18</v>
      </c>
      <c r="F1280" s="1" t="str">
        <f aca="false">TEXT(B1280,"mmm-yyyy")</f>
        <v>Oct-2024</v>
      </c>
    </row>
    <row r="1281" customFormat="false" ht="57.75" hidden="false" customHeight="true" outlineLevel="0" collapsed="false">
      <c r="A1281" s="1" t="n">
        <v>4</v>
      </c>
      <c r="B1281" s="10" t="n">
        <v>45615</v>
      </c>
      <c r="C1281" s="11" t="s">
        <v>1299</v>
      </c>
      <c r="D1281" s="1" t="s">
        <v>8</v>
      </c>
      <c r="E1281" s="1" t="s">
        <v>18</v>
      </c>
      <c r="F1281" s="1" t="str">
        <f aca="false">TEXT(B1281,"mmm-yyyy")</f>
        <v>Nov-2024</v>
      </c>
    </row>
    <row r="1282" customFormat="false" ht="43.5" hidden="false" customHeight="true" outlineLevel="0" collapsed="false">
      <c r="A1282" s="1" t="n">
        <v>5</v>
      </c>
      <c r="B1282" s="10" t="n">
        <v>45620</v>
      </c>
      <c r="C1282" s="11" t="s">
        <v>1300</v>
      </c>
      <c r="D1282" s="1" t="s">
        <v>8</v>
      </c>
      <c r="E1282" s="1" t="s">
        <v>18</v>
      </c>
      <c r="F1282" s="1" t="str">
        <f aca="false">TEXT(B1282,"mmm-yyyy")</f>
        <v>Nov-2024</v>
      </c>
    </row>
    <row r="1283" customFormat="false" ht="57.75" hidden="false" customHeight="true" outlineLevel="0" collapsed="false">
      <c r="A1283" s="1" t="n">
        <v>4</v>
      </c>
      <c r="B1283" s="10" t="n">
        <v>45599</v>
      </c>
      <c r="C1283" s="11" t="s">
        <v>1301</v>
      </c>
      <c r="D1283" s="1" t="s">
        <v>8</v>
      </c>
      <c r="E1283" s="1" t="s">
        <v>18</v>
      </c>
      <c r="F1283" s="1" t="str">
        <f aca="false">TEXT(B1283,"mmm-yyyy")</f>
        <v>Nov-2024</v>
      </c>
    </row>
    <row r="1284" customFormat="false" ht="72" hidden="false" customHeight="true" outlineLevel="0" collapsed="false">
      <c r="A1284" s="1" t="n">
        <v>1</v>
      </c>
      <c r="B1284" s="10" t="n">
        <v>45611</v>
      </c>
      <c r="C1284" s="11" t="s">
        <v>1302</v>
      </c>
      <c r="D1284" s="1" t="s">
        <v>8</v>
      </c>
      <c r="E1284" s="1" t="s">
        <v>18</v>
      </c>
      <c r="F1284" s="1" t="str">
        <f aca="false">TEXT(B1284,"mmm-yyyy")</f>
        <v>Nov-2024</v>
      </c>
    </row>
    <row r="1285" customFormat="false" ht="57.75" hidden="false" customHeight="true" outlineLevel="0" collapsed="false">
      <c r="A1285" s="1" t="n">
        <v>5</v>
      </c>
      <c r="B1285" s="10" t="n">
        <v>45622</v>
      </c>
      <c r="C1285" s="11" t="s">
        <v>1303</v>
      </c>
      <c r="D1285" s="1" t="s">
        <v>8</v>
      </c>
      <c r="E1285" s="1" t="s">
        <v>20</v>
      </c>
      <c r="F1285" s="1" t="str">
        <f aca="false">TEXT(B1285,"mmm-yyyy")</f>
        <v>Nov-2024</v>
      </c>
    </row>
    <row r="1286" customFormat="false" ht="57.75" hidden="false" customHeight="true" outlineLevel="0" collapsed="false">
      <c r="A1286" s="1" t="n">
        <v>5</v>
      </c>
      <c r="B1286" s="10" t="n">
        <v>45582</v>
      </c>
      <c r="C1286" s="11" t="s">
        <v>1304</v>
      </c>
      <c r="D1286" s="1" t="s">
        <v>8</v>
      </c>
      <c r="E1286" s="1" t="s">
        <v>18</v>
      </c>
      <c r="F1286" s="1" t="str">
        <f aca="false">TEXT(B1286,"mmm-yyyy")</f>
        <v>Oct-2024</v>
      </c>
    </row>
    <row r="1287" customFormat="false" ht="57.75" hidden="false" customHeight="true" outlineLevel="0" collapsed="false">
      <c r="A1287" s="1" t="n">
        <v>5</v>
      </c>
      <c r="B1287" s="10" t="n">
        <v>45616</v>
      </c>
      <c r="C1287" s="11" t="s">
        <v>1305</v>
      </c>
      <c r="D1287" s="1" t="s">
        <v>8</v>
      </c>
      <c r="E1287" s="1" t="s">
        <v>18</v>
      </c>
      <c r="F1287" s="1" t="str">
        <f aca="false">TEXT(B1287,"mmm-yyyy")</f>
        <v>Nov-2024</v>
      </c>
    </row>
    <row r="1288" customFormat="false" ht="101.25" hidden="false" customHeight="true" outlineLevel="0" collapsed="false">
      <c r="A1288" s="1" t="n">
        <v>1</v>
      </c>
      <c r="B1288" s="10" t="n">
        <v>45620</v>
      </c>
      <c r="C1288" s="11" t="s">
        <v>1306</v>
      </c>
      <c r="D1288" s="1" t="s">
        <v>8</v>
      </c>
      <c r="E1288" s="1" t="s">
        <v>20</v>
      </c>
      <c r="F1288" s="1" t="str">
        <f aca="false">TEXT(B1288,"mmm-yyyy")</f>
        <v>Nov-2024</v>
      </c>
    </row>
    <row r="1289" customFormat="false" ht="72" hidden="false" customHeight="true" outlineLevel="0" collapsed="false">
      <c r="A1289" s="1" t="n">
        <v>5</v>
      </c>
      <c r="B1289" s="10" t="n">
        <v>45592</v>
      </c>
      <c r="C1289" s="11" t="s">
        <v>1307</v>
      </c>
      <c r="D1289" s="1" t="s">
        <v>8</v>
      </c>
      <c r="E1289" s="1" t="s">
        <v>18</v>
      </c>
      <c r="F1289" s="1" t="str">
        <f aca="false">TEXT(B1289,"mmm-yyyy")</f>
        <v>Oct-2024</v>
      </c>
    </row>
    <row r="1290" customFormat="false" ht="72" hidden="false" customHeight="true" outlineLevel="0" collapsed="false">
      <c r="A1290" s="1" t="n">
        <v>5</v>
      </c>
      <c r="B1290" s="10" t="n">
        <v>45579</v>
      </c>
      <c r="C1290" s="11" t="s">
        <v>1308</v>
      </c>
      <c r="D1290" s="1" t="s">
        <v>8</v>
      </c>
      <c r="E1290" s="1" t="s">
        <v>18</v>
      </c>
      <c r="F1290" s="1" t="str">
        <f aca="false">TEXT(B1290,"mmm-yyyy")</f>
        <v>Oct-2024</v>
      </c>
    </row>
    <row r="1291" customFormat="false" ht="72" hidden="false" customHeight="true" outlineLevel="0" collapsed="false">
      <c r="A1291" s="1" t="n">
        <v>4</v>
      </c>
      <c r="B1291" s="10" t="n">
        <v>45618</v>
      </c>
      <c r="C1291" s="11" t="s">
        <v>1309</v>
      </c>
      <c r="D1291" s="1" t="s">
        <v>8</v>
      </c>
      <c r="E1291" s="1" t="s">
        <v>18</v>
      </c>
      <c r="F1291" s="1" t="str">
        <f aca="false">TEXT(B1291,"mmm-yyyy")</f>
        <v>Nov-2024</v>
      </c>
    </row>
    <row r="1292" customFormat="false" ht="72" hidden="false" customHeight="true" outlineLevel="0" collapsed="false">
      <c r="A1292" s="1" t="n">
        <v>1</v>
      </c>
      <c r="B1292" s="10" t="n">
        <v>45618</v>
      </c>
      <c r="C1292" s="11" t="s">
        <v>1310</v>
      </c>
      <c r="D1292" s="1" t="s">
        <v>8</v>
      </c>
      <c r="E1292" s="1" t="s">
        <v>18</v>
      </c>
      <c r="F1292" s="1" t="str">
        <f aca="false">TEXT(B1292,"mmm-yyyy")</f>
        <v>Nov-2024</v>
      </c>
    </row>
    <row r="1293" customFormat="false" ht="43.5" hidden="false" customHeight="true" outlineLevel="0" collapsed="false">
      <c r="A1293" s="1" t="n">
        <v>3</v>
      </c>
      <c r="B1293" s="10" t="n">
        <v>45620</v>
      </c>
      <c r="C1293" s="11" t="s">
        <v>1311</v>
      </c>
      <c r="D1293" s="1" t="s">
        <v>8</v>
      </c>
      <c r="E1293" s="1" t="s">
        <v>18</v>
      </c>
      <c r="F1293" s="1" t="str">
        <f aca="false">TEXT(B1293,"mmm-yyyy")</f>
        <v>Nov-2024</v>
      </c>
    </row>
    <row r="1294" customFormat="false" ht="72" hidden="false" customHeight="true" outlineLevel="0" collapsed="false">
      <c r="A1294" s="1" t="n">
        <v>1</v>
      </c>
      <c r="B1294" s="10" t="n">
        <v>45603</v>
      </c>
      <c r="C1294" s="11" t="s">
        <v>1312</v>
      </c>
      <c r="D1294" s="1" t="s">
        <v>8</v>
      </c>
      <c r="E1294" s="1" t="s">
        <v>18</v>
      </c>
      <c r="F1294" s="1" t="str">
        <f aca="false">TEXT(B1294,"mmm-yyyy")</f>
        <v>Nov-2024</v>
      </c>
    </row>
    <row r="1295" customFormat="false" ht="43.5" hidden="false" customHeight="true" outlineLevel="0" collapsed="false">
      <c r="A1295" s="1" t="n">
        <v>5</v>
      </c>
      <c r="B1295" s="10" t="n">
        <v>45582</v>
      </c>
      <c r="C1295" s="11" t="s">
        <v>1313</v>
      </c>
      <c r="D1295" s="1" t="s">
        <v>8</v>
      </c>
      <c r="E1295" s="1" t="s">
        <v>18</v>
      </c>
      <c r="F1295" s="1" t="str">
        <f aca="false">TEXT(B1295,"mmm-yyyy")</f>
        <v>Oct-2024</v>
      </c>
    </row>
    <row r="1296" customFormat="false" ht="57.75" hidden="false" customHeight="true" outlineLevel="0" collapsed="false">
      <c r="A1296" s="1" t="n">
        <v>1</v>
      </c>
      <c r="B1296" s="10" t="n">
        <v>45577</v>
      </c>
      <c r="C1296" s="11" t="s">
        <v>1314</v>
      </c>
      <c r="D1296" s="1" t="s">
        <v>8</v>
      </c>
      <c r="E1296" s="1" t="s">
        <v>18</v>
      </c>
      <c r="F1296" s="1" t="str">
        <f aca="false">TEXT(B1296,"mmm-yyyy")</f>
        <v>Oct-2024</v>
      </c>
    </row>
    <row r="1297" customFormat="false" ht="57.75" hidden="false" customHeight="true" outlineLevel="0" collapsed="false">
      <c r="A1297" s="1" t="n">
        <v>1</v>
      </c>
      <c r="B1297" s="10" t="n">
        <v>45605</v>
      </c>
      <c r="C1297" s="11" t="s">
        <v>1315</v>
      </c>
      <c r="D1297" s="1" t="s">
        <v>8</v>
      </c>
      <c r="E1297" s="1" t="s">
        <v>18</v>
      </c>
      <c r="F1297" s="1" t="str">
        <f aca="false">TEXT(B1297,"mmm-yyyy")</f>
        <v>Nov-2024</v>
      </c>
    </row>
    <row r="1298" customFormat="false" ht="72" hidden="false" customHeight="true" outlineLevel="0" collapsed="false">
      <c r="A1298" s="1" t="n">
        <v>1</v>
      </c>
      <c r="B1298" s="10" t="n">
        <v>45620</v>
      </c>
      <c r="C1298" s="11" t="s">
        <v>1316</v>
      </c>
      <c r="D1298" s="1" t="s">
        <v>8</v>
      </c>
      <c r="E1298" s="1" t="s">
        <v>18</v>
      </c>
      <c r="F1298" s="1" t="str">
        <f aca="false">TEXT(B1298,"mmm-yyyy")</f>
        <v>Nov-2024</v>
      </c>
    </row>
    <row r="1299" customFormat="false" ht="43.5" hidden="false" customHeight="true" outlineLevel="0" collapsed="false">
      <c r="A1299" s="1" t="n">
        <v>5</v>
      </c>
      <c r="B1299" s="10" t="n">
        <v>45599</v>
      </c>
      <c r="C1299" s="11" t="s">
        <v>1317</v>
      </c>
      <c r="D1299" s="1" t="s">
        <v>8</v>
      </c>
      <c r="E1299" s="1" t="s">
        <v>18</v>
      </c>
      <c r="F1299" s="1" t="str">
        <f aca="false">TEXT(B1299,"mmm-yyyy")</f>
        <v>Nov-2024</v>
      </c>
    </row>
    <row r="1300" customFormat="false" ht="101.25" hidden="false" customHeight="true" outlineLevel="0" collapsed="false">
      <c r="A1300" s="1" t="n">
        <v>1</v>
      </c>
      <c r="B1300" s="10" t="n">
        <v>45604</v>
      </c>
      <c r="C1300" s="11" t="s">
        <v>1318</v>
      </c>
      <c r="D1300" s="1" t="s">
        <v>8</v>
      </c>
      <c r="E1300" s="1" t="s">
        <v>20</v>
      </c>
      <c r="F1300" s="1" t="str">
        <f aca="false">TEXT(B1300,"mmm-yyyy")</f>
        <v>Nov-2024</v>
      </c>
    </row>
    <row r="1301" customFormat="false" ht="57.75" hidden="false" customHeight="true" outlineLevel="0" collapsed="false">
      <c r="A1301" s="1" t="n">
        <v>3</v>
      </c>
      <c r="B1301" s="10" t="n">
        <v>45623</v>
      </c>
      <c r="C1301" s="11" t="s">
        <v>1319</v>
      </c>
      <c r="D1301" s="1" t="s">
        <v>8</v>
      </c>
      <c r="E1301" s="1" t="s">
        <v>18</v>
      </c>
      <c r="F1301" s="1" t="str">
        <f aca="false">TEXT(B1301,"mmm-yyyy")</f>
        <v>Nov-2024</v>
      </c>
    </row>
    <row r="1302" customFormat="false" ht="43.5" hidden="false" customHeight="true" outlineLevel="0" collapsed="false">
      <c r="A1302" s="1" t="n">
        <v>4</v>
      </c>
      <c r="B1302" s="10" t="n">
        <v>45590</v>
      </c>
      <c r="C1302" s="11" t="s">
        <v>1320</v>
      </c>
      <c r="D1302" s="1" t="s">
        <v>8</v>
      </c>
      <c r="E1302" s="1" t="s">
        <v>18</v>
      </c>
      <c r="F1302" s="1" t="str">
        <f aca="false">TEXT(B1302,"mmm-yyyy")</f>
        <v>Oct-2024</v>
      </c>
    </row>
    <row r="1303" customFormat="false" ht="72" hidden="false" customHeight="true" outlineLevel="0" collapsed="false">
      <c r="A1303" s="1" t="n">
        <v>1</v>
      </c>
      <c r="B1303" s="10" t="n">
        <v>45613</v>
      </c>
      <c r="C1303" s="11" t="s">
        <v>1321</v>
      </c>
      <c r="D1303" s="1" t="s">
        <v>8</v>
      </c>
      <c r="E1303" s="1" t="s">
        <v>20</v>
      </c>
      <c r="F1303" s="1" t="str">
        <f aca="false">TEXT(B1303,"mmm-yyyy")</f>
        <v>Nov-2024</v>
      </c>
    </row>
    <row r="1304" customFormat="false" ht="57.75" hidden="false" customHeight="true" outlineLevel="0" collapsed="false">
      <c r="A1304" s="1" t="n">
        <v>5</v>
      </c>
      <c r="B1304" s="10" t="n">
        <v>45624</v>
      </c>
      <c r="C1304" s="11" t="s">
        <v>1322</v>
      </c>
      <c r="D1304" s="1" t="s">
        <v>8</v>
      </c>
      <c r="E1304" s="1" t="s">
        <v>18</v>
      </c>
      <c r="F1304" s="1" t="str">
        <f aca="false">TEXT(B1304,"mmm-yyyy")</f>
        <v>Nov-2024</v>
      </c>
    </row>
    <row r="1305" customFormat="false" ht="72" hidden="false" customHeight="true" outlineLevel="0" collapsed="false">
      <c r="A1305" s="1" t="n">
        <v>5</v>
      </c>
      <c r="B1305" s="10" t="n">
        <v>45611</v>
      </c>
      <c r="C1305" s="11" t="s">
        <v>1323</v>
      </c>
      <c r="D1305" s="1" t="s">
        <v>8</v>
      </c>
      <c r="E1305" s="1" t="s">
        <v>18</v>
      </c>
      <c r="F1305" s="1" t="str">
        <f aca="false">TEXT(B1305,"mmm-yyyy")</f>
        <v>Nov-2024</v>
      </c>
    </row>
    <row r="1306" customFormat="false" ht="57.75" hidden="false" customHeight="true" outlineLevel="0" collapsed="false">
      <c r="A1306" s="1" t="n">
        <v>1</v>
      </c>
      <c r="B1306" s="10" t="n">
        <v>45571</v>
      </c>
      <c r="C1306" s="11" t="s">
        <v>1324</v>
      </c>
      <c r="D1306" s="1" t="s">
        <v>8</v>
      </c>
      <c r="E1306" s="1" t="s">
        <v>18</v>
      </c>
      <c r="F1306" s="1" t="str">
        <f aca="false">TEXT(B1306,"mmm-yyyy")</f>
        <v>Oct-2024</v>
      </c>
    </row>
    <row r="1307" customFormat="false" ht="72" hidden="false" customHeight="true" outlineLevel="0" collapsed="false">
      <c r="A1307" s="1" t="n">
        <v>1</v>
      </c>
      <c r="B1307" s="10" t="n">
        <v>45615</v>
      </c>
      <c r="C1307" s="11" t="s">
        <v>1325</v>
      </c>
      <c r="D1307" s="1" t="s">
        <v>8</v>
      </c>
      <c r="E1307" s="1" t="s">
        <v>20</v>
      </c>
      <c r="F1307" s="1" t="str">
        <f aca="false">TEXT(B1307,"mmm-yyyy")</f>
        <v>Nov-2024</v>
      </c>
    </row>
    <row r="1308" customFormat="false" ht="72" hidden="false" customHeight="true" outlineLevel="0" collapsed="false">
      <c r="A1308" s="1" t="n">
        <v>3</v>
      </c>
      <c r="B1308" s="10" t="n">
        <v>45623</v>
      </c>
      <c r="C1308" s="11" t="s">
        <v>1326</v>
      </c>
      <c r="D1308" s="1" t="s">
        <v>8</v>
      </c>
      <c r="E1308" s="1" t="s">
        <v>18</v>
      </c>
      <c r="F1308" s="1" t="str">
        <f aca="false">TEXT(B1308,"mmm-yyyy")</f>
        <v>Nov-2024</v>
      </c>
    </row>
    <row r="1309" customFormat="false" ht="87" hidden="false" customHeight="true" outlineLevel="0" collapsed="false">
      <c r="A1309" s="1" t="n">
        <v>4</v>
      </c>
      <c r="B1309" s="10" t="n">
        <v>45611</v>
      </c>
      <c r="C1309" s="11" t="s">
        <v>1327</v>
      </c>
      <c r="D1309" s="1" t="s">
        <v>8</v>
      </c>
      <c r="E1309" s="1" t="s">
        <v>18</v>
      </c>
      <c r="F1309" s="1" t="str">
        <f aca="false">TEXT(B1309,"mmm-yyyy")</f>
        <v>Nov-2024</v>
      </c>
    </row>
    <row r="1310" customFormat="false" ht="115.5" hidden="false" customHeight="true" outlineLevel="0" collapsed="false">
      <c r="A1310" s="1" t="n">
        <v>1</v>
      </c>
      <c r="B1310" s="10" t="n">
        <v>45576</v>
      </c>
      <c r="C1310" s="11" t="s">
        <v>1328</v>
      </c>
      <c r="D1310" s="1" t="s">
        <v>8</v>
      </c>
      <c r="E1310" s="1" t="s">
        <v>20</v>
      </c>
      <c r="F1310" s="1" t="str">
        <f aca="false">TEXT(B1310,"mmm-yyyy")</f>
        <v>Oct-2024</v>
      </c>
    </row>
    <row r="1311" customFormat="false" ht="43.5" hidden="false" customHeight="true" outlineLevel="0" collapsed="false">
      <c r="A1311" s="1" t="n">
        <v>5</v>
      </c>
      <c r="B1311" s="10" t="n">
        <v>45609</v>
      </c>
      <c r="C1311" s="11" t="s">
        <v>1329</v>
      </c>
      <c r="D1311" s="1" t="s">
        <v>8</v>
      </c>
      <c r="E1311" s="1" t="s">
        <v>18</v>
      </c>
      <c r="F1311" s="1" t="str">
        <f aca="false">TEXT(B1311,"mmm-yyyy")</f>
        <v>Nov-2024</v>
      </c>
    </row>
    <row r="1312" customFormat="false" ht="72" hidden="false" customHeight="true" outlineLevel="0" collapsed="false">
      <c r="A1312" s="1" t="n">
        <v>5</v>
      </c>
      <c r="B1312" s="10" t="n">
        <v>45605</v>
      </c>
      <c r="C1312" s="11" t="s">
        <v>1330</v>
      </c>
      <c r="D1312" s="1" t="s">
        <v>8</v>
      </c>
      <c r="E1312" s="1" t="s">
        <v>18</v>
      </c>
      <c r="F1312" s="1" t="str">
        <f aca="false">TEXT(B1312,"mmm-yyyy")</f>
        <v>Nov-2024</v>
      </c>
    </row>
    <row r="1313" customFormat="false" ht="87" hidden="false" customHeight="true" outlineLevel="0" collapsed="false">
      <c r="A1313" s="1" t="n">
        <v>1</v>
      </c>
      <c r="B1313" s="10" t="n">
        <v>45626</v>
      </c>
      <c r="C1313" s="11" t="s">
        <v>1331</v>
      </c>
      <c r="D1313" s="1" t="s">
        <v>8</v>
      </c>
      <c r="E1313" s="1" t="s">
        <v>20</v>
      </c>
      <c r="F1313" s="1" t="str">
        <f aca="false">TEXT(B1313,"mmm-yyyy")</f>
        <v>Nov-2024</v>
      </c>
    </row>
    <row r="1314" customFormat="false" ht="72" hidden="false" customHeight="true" outlineLevel="0" collapsed="false">
      <c r="A1314" s="1" t="n">
        <v>1</v>
      </c>
      <c r="B1314" s="10" t="n">
        <v>45589</v>
      </c>
      <c r="C1314" s="11" t="s">
        <v>1332</v>
      </c>
      <c r="D1314" s="1" t="s">
        <v>8</v>
      </c>
      <c r="E1314" s="1" t="s">
        <v>18</v>
      </c>
      <c r="F1314" s="1" t="str">
        <f aca="false">TEXT(B1314,"mmm-yyyy")</f>
        <v>Oct-2024</v>
      </c>
    </row>
    <row r="1315" customFormat="false" ht="115.5" hidden="false" customHeight="true" outlineLevel="0" collapsed="false">
      <c r="A1315" s="1" t="n">
        <v>1</v>
      </c>
      <c r="B1315" s="10" t="n">
        <v>45625</v>
      </c>
      <c r="C1315" s="11" t="s">
        <v>1333</v>
      </c>
      <c r="D1315" s="1" t="s">
        <v>8</v>
      </c>
      <c r="E1315" s="1" t="s">
        <v>20</v>
      </c>
      <c r="F1315" s="1" t="str">
        <f aca="false">TEXT(B1315,"mmm-yyyy")</f>
        <v>Nov-2024</v>
      </c>
    </row>
    <row r="1316" customFormat="false" ht="72" hidden="false" customHeight="true" outlineLevel="0" collapsed="false">
      <c r="A1316" s="1" t="n">
        <v>1</v>
      </c>
      <c r="B1316" s="10" t="n">
        <v>45601</v>
      </c>
      <c r="C1316" s="11" t="s">
        <v>1334</v>
      </c>
      <c r="D1316" s="1" t="s">
        <v>8</v>
      </c>
      <c r="E1316" s="1" t="s">
        <v>20</v>
      </c>
      <c r="F1316" s="1" t="str">
        <f aca="false">TEXT(B1316,"mmm-yyyy")</f>
        <v>Nov-2024</v>
      </c>
    </row>
    <row r="1317" customFormat="false" ht="57.75" hidden="false" customHeight="true" outlineLevel="0" collapsed="false">
      <c r="A1317" s="1" t="n">
        <v>1</v>
      </c>
      <c r="B1317" s="10" t="n">
        <v>45606</v>
      </c>
      <c r="C1317" s="11" t="s">
        <v>1335</v>
      </c>
      <c r="D1317" s="1" t="s">
        <v>8</v>
      </c>
      <c r="E1317" s="1" t="s">
        <v>18</v>
      </c>
      <c r="F1317" s="1" t="str">
        <f aca="false">TEXT(B1317,"mmm-yyyy")</f>
        <v>Nov-2024</v>
      </c>
    </row>
    <row r="1318" customFormat="false" ht="43.5" hidden="false" customHeight="true" outlineLevel="0" collapsed="false">
      <c r="A1318" s="1" t="n">
        <v>4</v>
      </c>
      <c r="B1318" s="10" t="n">
        <v>45595</v>
      </c>
      <c r="C1318" s="11" t="s">
        <v>1336</v>
      </c>
      <c r="D1318" s="1" t="s">
        <v>8</v>
      </c>
      <c r="E1318" s="1" t="s">
        <v>20</v>
      </c>
      <c r="F1318" s="1" t="str">
        <f aca="false">TEXT(B1318,"mmm-yyyy")</f>
        <v>Oct-2024</v>
      </c>
    </row>
    <row r="1319" customFormat="false" ht="57.75" hidden="false" customHeight="true" outlineLevel="0" collapsed="false">
      <c r="A1319" s="1" t="n">
        <v>1</v>
      </c>
      <c r="B1319" s="10" t="n">
        <v>45590</v>
      </c>
      <c r="C1319" s="11" t="s">
        <v>1337</v>
      </c>
      <c r="D1319" s="1" t="s">
        <v>8</v>
      </c>
      <c r="E1319" s="1" t="s">
        <v>20</v>
      </c>
      <c r="F1319" s="1" t="str">
        <f aca="false">TEXT(B1319,"mmm-yyyy")</f>
        <v>Oct-2024</v>
      </c>
    </row>
    <row r="1320" customFormat="false" ht="87" hidden="false" customHeight="true" outlineLevel="0" collapsed="false">
      <c r="A1320" s="1" t="n">
        <v>5</v>
      </c>
      <c r="B1320" s="10" t="n">
        <v>45600</v>
      </c>
      <c r="C1320" s="11" t="s">
        <v>1338</v>
      </c>
      <c r="D1320" s="1" t="s">
        <v>8</v>
      </c>
      <c r="E1320" s="1" t="s">
        <v>20</v>
      </c>
      <c r="F1320" s="1" t="str">
        <f aca="false">TEXT(B1320,"mmm-yyyy")</f>
        <v>Nov-2024</v>
      </c>
    </row>
    <row r="1321" customFormat="false" ht="115.5" hidden="false" customHeight="true" outlineLevel="0" collapsed="false">
      <c r="A1321" s="1" t="n">
        <v>1</v>
      </c>
      <c r="B1321" s="10" t="n">
        <v>45617</v>
      </c>
      <c r="C1321" s="11" t="s">
        <v>1339</v>
      </c>
      <c r="D1321" s="1" t="s">
        <v>8</v>
      </c>
      <c r="E1321" s="1" t="s">
        <v>20</v>
      </c>
      <c r="F1321" s="1" t="str">
        <f aca="false">TEXT(B1321,"mmm-yyyy")</f>
        <v>Nov-2024</v>
      </c>
    </row>
    <row r="1322" customFormat="false" ht="87" hidden="false" customHeight="true" outlineLevel="0" collapsed="false">
      <c r="A1322" s="1" t="n">
        <v>1</v>
      </c>
      <c r="B1322" s="10" t="n">
        <v>45599</v>
      </c>
      <c r="C1322" s="11" t="s">
        <v>1340</v>
      </c>
      <c r="D1322" s="1" t="s">
        <v>8</v>
      </c>
      <c r="E1322" s="1" t="s">
        <v>20</v>
      </c>
      <c r="F1322" s="1" t="str">
        <f aca="false">TEXT(B1322,"mmm-yyyy")</f>
        <v>Nov-2024</v>
      </c>
    </row>
    <row r="1323" customFormat="false" ht="57.75" hidden="false" customHeight="true" outlineLevel="0" collapsed="false">
      <c r="A1323" s="1" t="n">
        <v>2</v>
      </c>
      <c r="B1323" s="10" t="n">
        <v>45576</v>
      </c>
      <c r="C1323" s="11" t="s">
        <v>1341</v>
      </c>
      <c r="D1323" s="1" t="s">
        <v>8</v>
      </c>
      <c r="E1323" s="1" t="s">
        <v>18</v>
      </c>
      <c r="F1323" s="1" t="str">
        <f aca="false">TEXT(B1323,"mmm-yyyy")</f>
        <v>Oct-2024</v>
      </c>
    </row>
    <row r="1324" customFormat="false" ht="57.75" hidden="false" customHeight="true" outlineLevel="0" collapsed="false">
      <c r="A1324" s="1" t="n">
        <v>1</v>
      </c>
      <c r="B1324" s="10" t="n">
        <v>45576</v>
      </c>
      <c r="C1324" s="11" t="s">
        <v>1342</v>
      </c>
      <c r="D1324" s="1" t="s">
        <v>8</v>
      </c>
      <c r="E1324" s="1" t="s">
        <v>20</v>
      </c>
      <c r="F1324" s="1" t="str">
        <f aca="false">TEXT(B1324,"mmm-yyyy")</f>
        <v>Oct-2024</v>
      </c>
    </row>
    <row r="1325" customFormat="false" ht="115.5" hidden="false" customHeight="true" outlineLevel="0" collapsed="false">
      <c r="A1325" s="1" t="n">
        <v>1</v>
      </c>
      <c r="B1325" s="10" t="n">
        <v>45597</v>
      </c>
      <c r="C1325" s="11" t="s">
        <v>1343</v>
      </c>
      <c r="D1325" s="1" t="s">
        <v>8</v>
      </c>
      <c r="E1325" s="1" t="s">
        <v>18</v>
      </c>
      <c r="F1325" s="1" t="str">
        <f aca="false">TEXT(B1325,"mmm-yyyy")</f>
        <v>Nov-2024</v>
      </c>
    </row>
    <row r="1326" customFormat="false" ht="57.75" hidden="false" customHeight="true" outlineLevel="0" collapsed="false">
      <c r="A1326" s="1" t="n">
        <v>3</v>
      </c>
      <c r="B1326" s="10" t="n">
        <v>45584</v>
      </c>
      <c r="C1326" s="11" t="s">
        <v>1344</v>
      </c>
      <c r="D1326" s="1" t="s">
        <v>8</v>
      </c>
      <c r="E1326" s="1" t="s">
        <v>18</v>
      </c>
      <c r="F1326" s="1" t="str">
        <f aca="false">TEXT(B1326,"mmm-yyyy")</f>
        <v>Oct-2024</v>
      </c>
    </row>
    <row r="1327" customFormat="false" ht="101.25" hidden="false" customHeight="true" outlineLevel="0" collapsed="false">
      <c r="A1327" s="1" t="n">
        <v>3</v>
      </c>
      <c r="B1327" s="10" t="n">
        <v>45618</v>
      </c>
      <c r="C1327" s="11" t="s">
        <v>1345</v>
      </c>
      <c r="D1327" s="1" t="s">
        <v>8</v>
      </c>
      <c r="E1327" s="1" t="s">
        <v>20</v>
      </c>
      <c r="F1327" s="1" t="str">
        <f aca="false">TEXT(B1327,"mmm-yyyy")</f>
        <v>Nov-2024</v>
      </c>
    </row>
    <row r="1328" customFormat="false" ht="43.5" hidden="false" customHeight="true" outlineLevel="0" collapsed="false">
      <c r="A1328" s="1" t="n">
        <v>5</v>
      </c>
      <c r="B1328" s="10" t="n">
        <v>45622</v>
      </c>
      <c r="C1328" s="11" t="s">
        <v>1346</v>
      </c>
      <c r="D1328" s="1" t="s">
        <v>8</v>
      </c>
      <c r="E1328" s="1" t="s">
        <v>18</v>
      </c>
      <c r="F1328" s="1" t="str">
        <f aca="false">TEXT(B1328,"mmm-yyyy")</f>
        <v>Nov-2024</v>
      </c>
    </row>
    <row r="1329" customFormat="false" ht="101.25" hidden="false" customHeight="true" outlineLevel="0" collapsed="false">
      <c r="A1329" s="1" t="n">
        <v>5</v>
      </c>
      <c r="B1329" s="10" t="n">
        <v>45625</v>
      </c>
      <c r="C1329" s="11" t="s">
        <v>1347</v>
      </c>
      <c r="D1329" s="1" t="s">
        <v>8</v>
      </c>
      <c r="E1329" s="1" t="s">
        <v>18</v>
      </c>
      <c r="F1329" s="1" t="str">
        <f aca="false">TEXT(B1329,"mmm-yyyy")</f>
        <v>Nov-2024</v>
      </c>
    </row>
    <row r="1330" customFormat="false" ht="43.5" hidden="false" customHeight="true" outlineLevel="0" collapsed="false">
      <c r="A1330" s="1" t="n">
        <v>2</v>
      </c>
      <c r="B1330" s="10" t="n">
        <v>45617</v>
      </c>
      <c r="C1330" s="11" t="s">
        <v>1348</v>
      </c>
      <c r="D1330" s="1" t="s">
        <v>8</v>
      </c>
      <c r="E1330" s="1" t="s">
        <v>18</v>
      </c>
      <c r="F1330" s="1" t="str">
        <f aca="false">TEXT(B1330,"mmm-yyyy")</f>
        <v>Nov-2024</v>
      </c>
    </row>
    <row r="1331" customFormat="false" ht="72" hidden="false" customHeight="true" outlineLevel="0" collapsed="false">
      <c r="A1331" s="1" t="n">
        <v>1</v>
      </c>
      <c r="B1331" s="10" t="n">
        <v>45618</v>
      </c>
      <c r="C1331" s="11" t="s">
        <v>1349</v>
      </c>
      <c r="D1331" s="1" t="s">
        <v>8</v>
      </c>
      <c r="E1331" s="1" t="s">
        <v>18</v>
      </c>
      <c r="F1331" s="1" t="str">
        <f aca="false">TEXT(B1331,"mmm-yyyy")</f>
        <v>Nov-2024</v>
      </c>
    </row>
    <row r="1332" customFormat="false" ht="115.5" hidden="false" customHeight="true" outlineLevel="0" collapsed="false">
      <c r="A1332" s="1" t="n">
        <v>2</v>
      </c>
      <c r="B1332" s="10" t="n">
        <v>45581</v>
      </c>
      <c r="C1332" s="11" t="s">
        <v>1350</v>
      </c>
      <c r="D1332" s="1" t="s">
        <v>8</v>
      </c>
      <c r="E1332" s="1" t="s">
        <v>20</v>
      </c>
      <c r="F1332" s="1" t="str">
        <f aca="false">TEXT(B1332,"mmm-yyyy")</f>
        <v>Oct-2024</v>
      </c>
    </row>
    <row r="1333" customFormat="false" ht="72" hidden="false" customHeight="true" outlineLevel="0" collapsed="false">
      <c r="A1333" s="1" t="n">
        <v>3</v>
      </c>
      <c r="B1333" s="10" t="n">
        <v>45622</v>
      </c>
      <c r="C1333" s="11" t="s">
        <v>1351</v>
      </c>
      <c r="D1333" s="1" t="s">
        <v>8</v>
      </c>
      <c r="E1333" s="1" t="s">
        <v>20</v>
      </c>
      <c r="F1333" s="1" t="str">
        <f aca="false">TEXT(B1333,"mmm-yyyy")</f>
        <v>Nov-2024</v>
      </c>
    </row>
    <row r="1334" customFormat="false" ht="28.5" hidden="false" customHeight="true" outlineLevel="0" collapsed="false">
      <c r="A1334" s="1" t="n">
        <v>4</v>
      </c>
      <c r="B1334" s="10" t="n">
        <v>45589</v>
      </c>
      <c r="C1334" s="11" t="s">
        <v>1352</v>
      </c>
      <c r="D1334" s="1" t="s">
        <v>8</v>
      </c>
      <c r="E1334" s="1" t="s">
        <v>18</v>
      </c>
      <c r="F1334" s="1" t="str">
        <f aca="false">TEXT(B1334,"mmm-yyyy")</f>
        <v>Oct-2024</v>
      </c>
    </row>
    <row r="1335" customFormat="false" ht="57.75" hidden="false" customHeight="true" outlineLevel="0" collapsed="false">
      <c r="A1335" s="1" t="n">
        <v>1</v>
      </c>
      <c r="B1335" s="10" t="n">
        <v>45579</v>
      </c>
      <c r="C1335" s="11" t="s">
        <v>1353</v>
      </c>
      <c r="D1335" s="1" t="s">
        <v>8</v>
      </c>
      <c r="E1335" s="1" t="s">
        <v>20</v>
      </c>
      <c r="F1335" s="1" t="str">
        <f aca="false">TEXT(B1335,"mmm-yyyy")</f>
        <v>Oct-2024</v>
      </c>
    </row>
    <row r="1336" customFormat="false" ht="57.75" hidden="false" customHeight="true" outlineLevel="0" collapsed="false">
      <c r="A1336" s="1" t="n">
        <v>1</v>
      </c>
      <c r="B1336" s="10" t="n">
        <v>45599</v>
      </c>
      <c r="C1336" s="11" t="s">
        <v>1354</v>
      </c>
      <c r="D1336" s="1" t="s">
        <v>8</v>
      </c>
      <c r="E1336" s="1" t="s">
        <v>20</v>
      </c>
      <c r="F1336" s="1" t="str">
        <f aca="false">TEXT(B1336,"mmm-yyyy")</f>
        <v>Nov-2024</v>
      </c>
    </row>
    <row r="1337" customFormat="false" ht="43.5" hidden="false" customHeight="true" outlineLevel="0" collapsed="false">
      <c r="A1337" s="1" t="n">
        <v>1</v>
      </c>
      <c r="B1337" s="10" t="n">
        <v>45622</v>
      </c>
      <c r="C1337" s="11" t="s">
        <v>1355</v>
      </c>
      <c r="D1337" s="1" t="s">
        <v>8</v>
      </c>
      <c r="E1337" s="1" t="s">
        <v>18</v>
      </c>
      <c r="F1337" s="1" t="str">
        <f aca="false">TEXT(B1337,"mmm-yyyy")</f>
        <v>Nov-2024</v>
      </c>
    </row>
    <row r="1338" customFormat="false" ht="57.75" hidden="false" customHeight="true" outlineLevel="0" collapsed="false">
      <c r="A1338" s="1" t="n">
        <v>5</v>
      </c>
      <c r="B1338" s="10" t="n">
        <v>45585</v>
      </c>
      <c r="C1338" s="11" t="s">
        <v>1356</v>
      </c>
      <c r="D1338" s="1" t="s">
        <v>8</v>
      </c>
      <c r="E1338" s="1" t="s">
        <v>18</v>
      </c>
      <c r="F1338" s="1" t="str">
        <f aca="false">TEXT(B1338,"mmm-yyyy")</f>
        <v>Oct-2024</v>
      </c>
    </row>
    <row r="1339" customFormat="false" ht="57.75" hidden="false" customHeight="true" outlineLevel="0" collapsed="false">
      <c r="A1339" s="1" t="n">
        <v>5</v>
      </c>
      <c r="B1339" s="10" t="n">
        <v>45578</v>
      </c>
      <c r="C1339" s="11" t="s">
        <v>1357</v>
      </c>
      <c r="D1339" s="1" t="s">
        <v>8</v>
      </c>
      <c r="E1339" s="1" t="s">
        <v>18</v>
      </c>
      <c r="F1339" s="1" t="str">
        <f aca="false">TEXT(B1339,"mmm-yyyy")</f>
        <v>Oct-2024</v>
      </c>
    </row>
    <row r="1340" customFormat="false" ht="87" hidden="false" customHeight="true" outlineLevel="0" collapsed="false">
      <c r="A1340" s="1" t="n">
        <v>1</v>
      </c>
      <c r="B1340" s="10" t="n">
        <v>45578</v>
      </c>
      <c r="C1340" s="11" t="s">
        <v>1358</v>
      </c>
      <c r="D1340" s="1" t="s">
        <v>8</v>
      </c>
      <c r="E1340" s="1" t="s">
        <v>20</v>
      </c>
      <c r="F1340" s="1" t="str">
        <f aca="false">TEXT(B1340,"mmm-yyyy")</f>
        <v>Oct-2024</v>
      </c>
    </row>
    <row r="1341" customFormat="false" ht="57.75" hidden="false" customHeight="true" outlineLevel="0" collapsed="false">
      <c r="A1341" s="1" t="n">
        <v>5</v>
      </c>
      <c r="B1341" s="10" t="n">
        <v>45622</v>
      </c>
      <c r="C1341" s="11" t="s">
        <v>1359</v>
      </c>
      <c r="D1341" s="1" t="s">
        <v>8</v>
      </c>
      <c r="E1341" s="1" t="s">
        <v>18</v>
      </c>
      <c r="F1341" s="1" t="str">
        <f aca="false">TEXT(B1341,"mmm-yyyy")</f>
        <v>Nov-2024</v>
      </c>
    </row>
    <row r="1342" customFormat="false" ht="43.5" hidden="false" customHeight="true" outlineLevel="0" collapsed="false">
      <c r="A1342" s="1" t="n">
        <v>2</v>
      </c>
      <c r="B1342" s="10" t="n">
        <v>45626</v>
      </c>
      <c r="C1342" s="11" t="s">
        <v>1360</v>
      </c>
      <c r="D1342" s="1" t="s">
        <v>8</v>
      </c>
      <c r="E1342" s="1" t="s">
        <v>20</v>
      </c>
      <c r="F1342" s="1" t="str">
        <f aca="false">TEXT(B1342,"mmm-yyyy")</f>
        <v>Nov-2024</v>
      </c>
    </row>
    <row r="1343" customFormat="false" ht="72" hidden="false" customHeight="true" outlineLevel="0" collapsed="false">
      <c r="A1343" s="1" t="n">
        <v>1</v>
      </c>
      <c r="B1343" s="10" t="n">
        <v>45605</v>
      </c>
      <c r="C1343" s="11" t="s">
        <v>1361</v>
      </c>
      <c r="D1343" s="1" t="s">
        <v>8</v>
      </c>
      <c r="E1343" s="1" t="s">
        <v>20</v>
      </c>
      <c r="F1343" s="1" t="str">
        <f aca="false">TEXT(B1343,"mmm-yyyy")</f>
        <v>Nov-2024</v>
      </c>
    </row>
    <row r="1344" customFormat="false" ht="72" hidden="false" customHeight="true" outlineLevel="0" collapsed="false">
      <c r="A1344" s="1" t="n">
        <v>1</v>
      </c>
      <c r="B1344" s="10" t="n">
        <v>45580</v>
      </c>
      <c r="C1344" s="11" t="s">
        <v>1362</v>
      </c>
      <c r="D1344" s="1" t="s">
        <v>8</v>
      </c>
      <c r="E1344" s="1" t="s">
        <v>18</v>
      </c>
      <c r="F1344" s="1" t="str">
        <f aca="false">TEXT(B1344,"mmm-yyyy")</f>
        <v>Oct-2024</v>
      </c>
    </row>
    <row r="1345" customFormat="false" ht="43.5" hidden="false" customHeight="true" outlineLevel="0" collapsed="false">
      <c r="A1345" s="1" t="n">
        <v>5</v>
      </c>
      <c r="B1345" s="10" t="n">
        <v>45586</v>
      </c>
      <c r="C1345" s="11" t="s">
        <v>1363</v>
      </c>
      <c r="D1345" s="1" t="s">
        <v>8</v>
      </c>
      <c r="E1345" s="1" t="s">
        <v>18</v>
      </c>
      <c r="F1345" s="1" t="str">
        <f aca="false">TEXT(B1345,"mmm-yyyy")</f>
        <v>Oct-2024</v>
      </c>
    </row>
    <row r="1346" customFormat="false" ht="72" hidden="false" customHeight="true" outlineLevel="0" collapsed="false">
      <c r="A1346" s="1" t="n">
        <v>4</v>
      </c>
      <c r="B1346" s="10" t="n">
        <v>45586</v>
      </c>
      <c r="C1346" s="11" t="s">
        <v>1364</v>
      </c>
      <c r="D1346" s="1" t="s">
        <v>8</v>
      </c>
      <c r="E1346" s="1" t="s">
        <v>18</v>
      </c>
      <c r="F1346" s="1" t="str">
        <f aca="false">TEXT(B1346,"mmm-yyyy")</f>
        <v>Oct-2024</v>
      </c>
    </row>
    <row r="1347" customFormat="false" ht="43.5" hidden="false" customHeight="true" outlineLevel="0" collapsed="false">
      <c r="A1347" s="1" t="n">
        <v>1</v>
      </c>
      <c r="B1347" s="10" t="n">
        <v>45585</v>
      </c>
      <c r="C1347" s="11" t="s">
        <v>1365</v>
      </c>
      <c r="D1347" s="1" t="s">
        <v>8</v>
      </c>
      <c r="E1347" s="1" t="s">
        <v>20</v>
      </c>
      <c r="F1347" s="1" t="str">
        <f aca="false">TEXT(B1347,"mmm-yyyy")</f>
        <v>Oct-2024</v>
      </c>
    </row>
    <row r="1348" customFormat="false" ht="72" hidden="false" customHeight="true" outlineLevel="0" collapsed="false">
      <c r="A1348" s="1" t="n">
        <v>5</v>
      </c>
      <c r="B1348" s="10" t="n">
        <v>45628</v>
      </c>
      <c r="C1348" s="11" t="s">
        <v>1366</v>
      </c>
      <c r="D1348" s="1" t="s">
        <v>8</v>
      </c>
      <c r="E1348" s="1" t="s">
        <v>18</v>
      </c>
      <c r="F1348" s="1" t="str">
        <f aca="false">TEXT(B1348,"mmm-yyyy")</f>
        <v>Dec-2024</v>
      </c>
    </row>
    <row r="1349" customFormat="false" ht="43.5" hidden="false" customHeight="true" outlineLevel="0" collapsed="false">
      <c r="A1349" s="1" t="n">
        <v>5</v>
      </c>
      <c r="B1349" s="10" t="n">
        <v>45616</v>
      </c>
      <c r="C1349" s="11" t="s">
        <v>1367</v>
      </c>
      <c r="D1349" s="1" t="s">
        <v>8</v>
      </c>
      <c r="E1349" s="1" t="s">
        <v>18</v>
      </c>
      <c r="F1349" s="1" t="str">
        <f aca="false">TEXT(B1349,"mmm-yyyy")</f>
        <v>Nov-2024</v>
      </c>
    </row>
    <row r="1350" customFormat="false" ht="43.5" hidden="false" customHeight="true" outlineLevel="0" collapsed="false">
      <c r="A1350" s="1" t="n">
        <v>5</v>
      </c>
      <c r="B1350" s="10" t="n">
        <v>45582</v>
      </c>
      <c r="C1350" s="11" t="s">
        <v>1368</v>
      </c>
      <c r="D1350" s="1" t="s">
        <v>8</v>
      </c>
      <c r="E1350" s="1" t="s">
        <v>18</v>
      </c>
      <c r="F1350" s="1" t="str">
        <f aca="false">TEXT(B1350,"mmm-yyyy")</f>
        <v>Oct-2024</v>
      </c>
    </row>
    <row r="1351" customFormat="false" ht="57.75" hidden="false" customHeight="true" outlineLevel="0" collapsed="false">
      <c r="A1351" s="1" t="n">
        <v>5</v>
      </c>
      <c r="B1351" s="10" t="n">
        <v>45578</v>
      </c>
      <c r="C1351" s="11" t="s">
        <v>1369</v>
      </c>
      <c r="D1351" s="1" t="s">
        <v>8</v>
      </c>
      <c r="E1351" s="1" t="s">
        <v>20</v>
      </c>
      <c r="F1351" s="1" t="str">
        <f aca="false">TEXT(B1351,"mmm-yyyy")</f>
        <v>Oct-2024</v>
      </c>
    </row>
    <row r="1352" customFormat="false" ht="72" hidden="false" customHeight="true" outlineLevel="0" collapsed="false">
      <c r="A1352" s="1" t="n">
        <v>5</v>
      </c>
      <c r="B1352" s="10" t="n">
        <v>45627</v>
      </c>
      <c r="C1352" s="11" t="s">
        <v>1370</v>
      </c>
      <c r="D1352" s="1" t="s">
        <v>8</v>
      </c>
      <c r="E1352" s="1" t="s">
        <v>18</v>
      </c>
      <c r="F1352" s="1" t="str">
        <f aca="false">TEXT(B1352,"mmm-yyyy")</f>
        <v>Dec-2024</v>
      </c>
    </row>
    <row r="1353" customFormat="false" ht="101.25" hidden="false" customHeight="true" outlineLevel="0" collapsed="false">
      <c r="A1353" s="1" t="n">
        <v>5</v>
      </c>
      <c r="B1353" s="10" t="n">
        <v>45593</v>
      </c>
      <c r="C1353" s="11" t="s">
        <v>1371</v>
      </c>
      <c r="D1353" s="1" t="s">
        <v>8</v>
      </c>
      <c r="E1353" s="1" t="s">
        <v>18</v>
      </c>
      <c r="F1353" s="1" t="str">
        <f aca="false">TEXT(B1353,"mmm-yyyy")</f>
        <v>Oct-2024</v>
      </c>
    </row>
    <row r="1354" customFormat="false" ht="57.75" hidden="false" customHeight="true" outlineLevel="0" collapsed="false">
      <c r="A1354" s="1" t="n">
        <v>1</v>
      </c>
      <c r="B1354" s="10" t="n">
        <v>45591</v>
      </c>
      <c r="C1354" s="11" t="s">
        <v>1372</v>
      </c>
      <c r="D1354" s="1" t="s">
        <v>8</v>
      </c>
      <c r="E1354" s="1" t="s">
        <v>18</v>
      </c>
      <c r="F1354" s="1" t="str">
        <f aca="false">TEXT(B1354,"mmm-yyyy")</f>
        <v>Oct-2024</v>
      </c>
    </row>
    <row r="1355" customFormat="false" ht="101.25" hidden="false" customHeight="true" outlineLevel="0" collapsed="false">
      <c r="A1355" s="1" t="n">
        <v>1</v>
      </c>
      <c r="B1355" s="10" t="n">
        <v>45612</v>
      </c>
      <c r="C1355" s="11" t="s">
        <v>1373</v>
      </c>
      <c r="D1355" s="1" t="s">
        <v>8</v>
      </c>
      <c r="E1355" s="1" t="s">
        <v>18</v>
      </c>
      <c r="F1355" s="1" t="str">
        <f aca="false">TEXT(B1355,"mmm-yyyy")</f>
        <v>Nov-2024</v>
      </c>
    </row>
    <row r="1356" customFormat="false" ht="43.5" hidden="false" customHeight="true" outlineLevel="0" collapsed="false">
      <c r="A1356" s="1" t="n">
        <v>5</v>
      </c>
      <c r="B1356" s="10" t="n">
        <v>45628</v>
      </c>
      <c r="C1356" s="11" t="s">
        <v>1374</v>
      </c>
      <c r="D1356" s="1" t="s">
        <v>8</v>
      </c>
      <c r="E1356" s="1" t="s">
        <v>18</v>
      </c>
      <c r="F1356" s="1" t="str">
        <f aca="false">TEXT(B1356,"mmm-yyyy")</f>
        <v>Dec-2024</v>
      </c>
    </row>
    <row r="1357" customFormat="false" ht="72" hidden="false" customHeight="true" outlineLevel="0" collapsed="false">
      <c r="A1357" s="1" t="n">
        <v>5</v>
      </c>
      <c r="B1357" s="10" t="n">
        <v>45587</v>
      </c>
      <c r="C1357" s="11" t="s">
        <v>1375</v>
      </c>
      <c r="D1357" s="1" t="s">
        <v>8</v>
      </c>
      <c r="E1357" s="1" t="s">
        <v>18</v>
      </c>
      <c r="F1357" s="1" t="str">
        <f aca="false">TEXT(B1357,"mmm-yyyy")</f>
        <v>Oct-2024</v>
      </c>
    </row>
    <row r="1358" customFormat="false" ht="57.75" hidden="false" customHeight="true" outlineLevel="0" collapsed="false">
      <c r="A1358" s="1" t="n">
        <v>5</v>
      </c>
      <c r="B1358" s="10" t="n">
        <v>45594</v>
      </c>
      <c r="C1358" s="11" t="s">
        <v>1376</v>
      </c>
      <c r="D1358" s="1" t="s">
        <v>8</v>
      </c>
      <c r="E1358" s="1" t="s">
        <v>18</v>
      </c>
      <c r="F1358" s="1" t="str">
        <f aca="false">TEXT(B1358,"mmm-yyyy")</f>
        <v>Oct-2024</v>
      </c>
    </row>
    <row r="1359" customFormat="false" ht="72" hidden="false" customHeight="true" outlineLevel="0" collapsed="false">
      <c r="A1359" s="1" t="n">
        <v>1</v>
      </c>
      <c r="B1359" s="10" t="n">
        <v>45597</v>
      </c>
      <c r="C1359" s="11" t="s">
        <v>1377</v>
      </c>
      <c r="D1359" s="1" t="s">
        <v>8</v>
      </c>
      <c r="E1359" s="1" t="s">
        <v>20</v>
      </c>
      <c r="F1359" s="1" t="str">
        <f aca="false">TEXT(B1359,"mmm-yyyy")</f>
        <v>Nov-2024</v>
      </c>
    </row>
    <row r="1360" customFormat="false" ht="115.5" hidden="false" customHeight="true" outlineLevel="0" collapsed="false">
      <c r="A1360" s="1" t="n">
        <v>1</v>
      </c>
      <c r="B1360" s="10" t="n">
        <v>45593</v>
      </c>
      <c r="C1360" s="11" t="s">
        <v>1378</v>
      </c>
      <c r="D1360" s="1" t="s">
        <v>8</v>
      </c>
      <c r="E1360" s="1" t="s">
        <v>20</v>
      </c>
      <c r="F1360" s="1" t="str">
        <f aca="false">TEXT(B1360,"mmm-yyyy")</f>
        <v>Oct-2024</v>
      </c>
    </row>
    <row r="1361" customFormat="false" ht="43.5" hidden="false" customHeight="true" outlineLevel="0" collapsed="false">
      <c r="A1361" s="1" t="n">
        <v>5</v>
      </c>
      <c r="B1361" s="10" t="n">
        <v>45625</v>
      </c>
      <c r="C1361" s="11" t="s">
        <v>1379</v>
      </c>
      <c r="D1361" s="1" t="s">
        <v>8</v>
      </c>
      <c r="E1361" s="1" t="s">
        <v>18</v>
      </c>
      <c r="F1361" s="1" t="str">
        <f aca="false">TEXT(B1361,"mmm-yyyy")</f>
        <v>Nov-2024</v>
      </c>
    </row>
    <row r="1362" customFormat="false" ht="43.5" hidden="false" customHeight="true" outlineLevel="0" collapsed="false">
      <c r="A1362" s="1" t="n">
        <v>5</v>
      </c>
      <c r="B1362" s="10" t="n">
        <v>45615</v>
      </c>
      <c r="C1362" s="11" t="s">
        <v>1380</v>
      </c>
      <c r="D1362" s="1" t="s">
        <v>8</v>
      </c>
      <c r="E1362" s="1" t="s">
        <v>18</v>
      </c>
      <c r="F1362" s="1" t="str">
        <f aca="false">TEXT(B1362,"mmm-yyyy")</f>
        <v>Nov-2024</v>
      </c>
    </row>
    <row r="1363" customFormat="false" ht="72" hidden="false" customHeight="true" outlineLevel="0" collapsed="false">
      <c r="A1363" s="1" t="n">
        <v>1</v>
      </c>
      <c r="B1363" s="10" t="n">
        <v>45576</v>
      </c>
      <c r="C1363" s="11" t="s">
        <v>1381</v>
      </c>
      <c r="D1363" s="1" t="s">
        <v>8</v>
      </c>
      <c r="E1363" s="1" t="s">
        <v>20</v>
      </c>
      <c r="F1363" s="1" t="str">
        <f aca="false">TEXT(B1363,"mmm-yyyy")</f>
        <v>Oct-2024</v>
      </c>
    </row>
    <row r="1364" customFormat="false" ht="130.5" hidden="false" customHeight="true" outlineLevel="0" collapsed="false">
      <c r="A1364" s="1" t="n">
        <v>1</v>
      </c>
      <c r="B1364" s="10" t="n">
        <v>45581</v>
      </c>
      <c r="C1364" s="11" t="s">
        <v>1382</v>
      </c>
      <c r="D1364" s="1" t="s">
        <v>8</v>
      </c>
      <c r="E1364" s="1" t="s">
        <v>20</v>
      </c>
      <c r="F1364" s="1" t="str">
        <f aca="false">TEXT(B1364,"mmm-yyyy")</f>
        <v>Oct-2024</v>
      </c>
    </row>
    <row r="1365" customFormat="false" ht="87" hidden="false" customHeight="true" outlineLevel="0" collapsed="false">
      <c r="A1365" s="1" t="n">
        <v>1</v>
      </c>
      <c r="B1365" s="10" t="n">
        <v>45627</v>
      </c>
      <c r="C1365" s="11" t="s">
        <v>1383</v>
      </c>
      <c r="D1365" s="1" t="s">
        <v>8</v>
      </c>
      <c r="E1365" s="1" t="s">
        <v>20</v>
      </c>
      <c r="F1365" s="1" t="str">
        <f aca="false">TEXT(B1365,"mmm-yyyy")</f>
        <v>Dec-2024</v>
      </c>
    </row>
    <row r="1366" customFormat="false" ht="115.5" hidden="false" customHeight="true" outlineLevel="0" collapsed="false">
      <c r="A1366" s="1" t="n">
        <v>1</v>
      </c>
      <c r="B1366" s="10" t="n">
        <v>45623</v>
      </c>
      <c r="C1366" s="11" t="s">
        <v>1384</v>
      </c>
      <c r="D1366" s="1" t="s">
        <v>8</v>
      </c>
      <c r="E1366" s="1" t="s">
        <v>20</v>
      </c>
      <c r="F1366" s="1" t="str">
        <f aca="false">TEXT(B1366,"mmm-yyyy")</f>
        <v>Nov-2024</v>
      </c>
    </row>
    <row r="1367" customFormat="false" ht="57.75" hidden="false" customHeight="true" outlineLevel="0" collapsed="false">
      <c r="A1367" s="1" t="n">
        <v>4</v>
      </c>
      <c r="B1367" s="10" t="n">
        <v>45608</v>
      </c>
      <c r="C1367" s="11" t="s">
        <v>1385</v>
      </c>
      <c r="D1367" s="1" t="s">
        <v>8</v>
      </c>
      <c r="E1367" s="1" t="s">
        <v>18</v>
      </c>
      <c r="F1367" s="1" t="str">
        <f aca="false">TEXT(B1367,"mmm-yyyy")</f>
        <v>Nov-2024</v>
      </c>
    </row>
    <row r="1368" customFormat="false" ht="72" hidden="false" customHeight="true" outlineLevel="0" collapsed="false">
      <c r="A1368" s="1" t="n">
        <v>4</v>
      </c>
      <c r="B1368" s="10" t="n">
        <v>45580</v>
      </c>
      <c r="C1368" s="11" t="s">
        <v>1386</v>
      </c>
      <c r="D1368" s="1" t="s">
        <v>8</v>
      </c>
      <c r="E1368" s="1" t="s">
        <v>18</v>
      </c>
      <c r="F1368" s="1" t="str">
        <f aca="false">TEXT(B1368,"mmm-yyyy")</f>
        <v>Oct-2024</v>
      </c>
    </row>
    <row r="1369" customFormat="false" ht="72" hidden="false" customHeight="true" outlineLevel="0" collapsed="false">
      <c r="A1369" s="1" t="n">
        <v>1</v>
      </c>
      <c r="B1369" s="10" t="n">
        <v>45599</v>
      </c>
      <c r="C1369" s="11" t="s">
        <v>1387</v>
      </c>
      <c r="D1369" s="1" t="s">
        <v>8</v>
      </c>
      <c r="E1369" s="1" t="s">
        <v>18</v>
      </c>
      <c r="F1369" s="1" t="str">
        <f aca="false">TEXT(B1369,"mmm-yyyy")</f>
        <v>Nov-2024</v>
      </c>
    </row>
    <row r="1370" customFormat="false" ht="43.5" hidden="false" customHeight="true" outlineLevel="0" collapsed="false">
      <c r="A1370" s="1" t="n">
        <v>5</v>
      </c>
      <c r="B1370" s="10" t="n">
        <v>45584</v>
      </c>
      <c r="C1370" s="11" t="s">
        <v>1388</v>
      </c>
      <c r="D1370" s="1" t="s">
        <v>8</v>
      </c>
      <c r="E1370" s="1" t="s">
        <v>18</v>
      </c>
      <c r="F1370" s="1" t="str">
        <f aca="false">TEXT(B1370,"mmm-yyyy")</f>
        <v>Oct-2024</v>
      </c>
    </row>
    <row r="1371" customFormat="false" ht="43.5" hidden="false" customHeight="true" outlineLevel="0" collapsed="false">
      <c r="A1371" s="1" t="n">
        <v>1</v>
      </c>
      <c r="B1371" s="10" t="n">
        <v>45610</v>
      </c>
      <c r="C1371" s="11" t="s">
        <v>1389</v>
      </c>
      <c r="D1371" s="1" t="s">
        <v>8</v>
      </c>
      <c r="E1371" s="1" t="s">
        <v>20</v>
      </c>
      <c r="F1371" s="1" t="str">
        <f aca="false">TEXT(B1371,"mmm-yyyy")</f>
        <v>Nov-2024</v>
      </c>
    </row>
    <row r="1372" customFormat="false" ht="43.5" hidden="false" customHeight="true" outlineLevel="0" collapsed="false">
      <c r="A1372" s="1" t="n">
        <v>4</v>
      </c>
      <c r="B1372" s="10" t="n">
        <v>45615</v>
      </c>
      <c r="C1372" s="11" t="s">
        <v>1390</v>
      </c>
      <c r="D1372" s="1" t="s">
        <v>8</v>
      </c>
      <c r="E1372" s="1" t="s">
        <v>18</v>
      </c>
      <c r="F1372" s="1" t="str">
        <f aca="false">TEXT(B1372,"mmm-yyyy")</f>
        <v>Nov-2024</v>
      </c>
    </row>
    <row r="1373" customFormat="false" ht="43.5" hidden="false" customHeight="true" outlineLevel="0" collapsed="false">
      <c r="A1373" s="1" t="n">
        <v>5</v>
      </c>
      <c r="B1373" s="10" t="n">
        <v>45626</v>
      </c>
      <c r="C1373" s="11" t="s">
        <v>1391</v>
      </c>
      <c r="D1373" s="1" t="s">
        <v>8</v>
      </c>
      <c r="E1373" s="1" t="s">
        <v>18</v>
      </c>
      <c r="F1373" s="1" t="str">
        <f aca="false">TEXT(B1373,"mmm-yyyy")</f>
        <v>Nov-2024</v>
      </c>
    </row>
    <row r="1374" customFormat="false" ht="72" hidden="false" customHeight="true" outlineLevel="0" collapsed="false">
      <c r="A1374" s="1" t="n">
        <v>1</v>
      </c>
      <c r="B1374" s="10" t="n">
        <v>45586</v>
      </c>
      <c r="C1374" s="11" t="s">
        <v>1392</v>
      </c>
      <c r="D1374" s="1" t="s">
        <v>8</v>
      </c>
      <c r="E1374" s="1" t="s">
        <v>18</v>
      </c>
      <c r="F1374" s="1" t="str">
        <f aca="false">TEXT(B1374,"mmm-yyyy")</f>
        <v>Oct-2024</v>
      </c>
    </row>
    <row r="1375" customFormat="false" ht="57.75" hidden="false" customHeight="true" outlineLevel="0" collapsed="false">
      <c r="A1375" s="1" t="n">
        <v>4</v>
      </c>
      <c r="B1375" s="10" t="n">
        <v>45596</v>
      </c>
      <c r="C1375" s="11" t="s">
        <v>1393</v>
      </c>
      <c r="D1375" s="1" t="s">
        <v>8</v>
      </c>
      <c r="E1375" s="1" t="s">
        <v>18</v>
      </c>
      <c r="F1375" s="1" t="str">
        <f aca="false">TEXT(B1375,"mmm-yyyy")</f>
        <v>Oct-2024</v>
      </c>
    </row>
    <row r="1376" customFormat="false" ht="72" hidden="false" customHeight="true" outlineLevel="0" collapsed="false">
      <c r="A1376" s="1" t="n">
        <v>1</v>
      </c>
      <c r="B1376" s="10" t="n">
        <v>45613</v>
      </c>
      <c r="C1376" s="11" t="s">
        <v>1394</v>
      </c>
      <c r="D1376" s="1" t="s">
        <v>8</v>
      </c>
      <c r="E1376" s="1" t="s">
        <v>20</v>
      </c>
      <c r="F1376" s="1" t="str">
        <f aca="false">TEXT(B1376,"mmm-yyyy")</f>
        <v>Nov-2024</v>
      </c>
    </row>
    <row r="1377" customFormat="false" ht="43.5" hidden="false" customHeight="true" outlineLevel="0" collapsed="false">
      <c r="A1377" s="1" t="n">
        <v>2</v>
      </c>
      <c r="B1377" s="10" t="n">
        <v>45600</v>
      </c>
      <c r="C1377" s="11" t="s">
        <v>1395</v>
      </c>
      <c r="D1377" s="1" t="s">
        <v>8</v>
      </c>
      <c r="E1377" s="1" t="s">
        <v>20</v>
      </c>
      <c r="F1377" s="1" t="str">
        <f aca="false">TEXT(B1377,"mmm-yyyy")</f>
        <v>Nov-2024</v>
      </c>
    </row>
    <row r="1378" customFormat="false" ht="57.75" hidden="false" customHeight="true" outlineLevel="0" collapsed="false">
      <c r="A1378" s="1" t="n">
        <v>5</v>
      </c>
      <c r="B1378" s="10" t="n">
        <v>45591</v>
      </c>
      <c r="C1378" s="11" t="s">
        <v>1396</v>
      </c>
      <c r="D1378" s="1" t="s">
        <v>8</v>
      </c>
      <c r="E1378" s="1" t="s">
        <v>18</v>
      </c>
      <c r="F1378" s="1" t="str">
        <f aca="false">TEXT(B1378,"mmm-yyyy")</f>
        <v>Oct-2024</v>
      </c>
    </row>
    <row r="1379" customFormat="false" ht="43.5" hidden="false" customHeight="true" outlineLevel="0" collapsed="false">
      <c r="A1379" s="1" t="n">
        <v>1</v>
      </c>
      <c r="B1379" s="10" t="n">
        <v>45598</v>
      </c>
      <c r="C1379" s="11" t="s">
        <v>1397</v>
      </c>
      <c r="D1379" s="1" t="s">
        <v>8</v>
      </c>
      <c r="E1379" s="1" t="s">
        <v>20</v>
      </c>
      <c r="F1379" s="1" t="str">
        <f aca="false">TEXT(B1379,"mmm-yyyy")</f>
        <v>Nov-2024</v>
      </c>
    </row>
    <row r="1380" customFormat="false" ht="87" hidden="false" customHeight="true" outlineLevel="0" collapsed="false">
      <c r="A1380" s="1" t="n">
        <v>1</v>
      </c>
      <c r="B1380" s="10" t="n">
        <v>45620</v>
      </c>
      <c r="C1380" s="11" t="s">
        <v>1398</v>
      </c>
      <c r="D1380" s="1" t="s">
        <v>8</v>
      </c>
      <c r="E1380" s="1" t="s">
        <v>20</v>
      </c>
      <c r="F1380" s="1" t="str">
        <f aca="false">TEXT(B1380,"mmm-yyyy")</f>
        <v>Nov-2024</v>
      </c>
    </row>
    <row r="1381" customFormat="false" ht="43.5" hidden="false" customHeight="true" outlineLevel="0" collapsed="false">
      <c r="A1381" s="1" t="n">
        <v>5</v>
      </c>
      <c r="B1381" s="10" t="n">
        <v>45581</v>
      </c>
      <c r="C1381" s="11" t="s">
        <v>1399</v>
      </c>
      <c r="D1381" s="1" t="s">
        <v>8</v>
      </c>
      <c r="E1381" s="1" t="s">
        <v>18</v>
      </c>
      <c r="F1381" s="1" t="str">
        <f aca="false">TEXT(B1381,"mmm-yyyy")</f>
        <v>Oct-2024</v>
      </c>
    </row>
    <row r="1382" customFormat="false" ht="130.5" hidden="false" customHeight="true" outlineLevel="0" collapsed="false">
      <c r="A1382" s="1" t="n">
        <v>1</v>
      </c>
      <c r="B1382" s="10" t="n">
        <v>45656</v>
      </c>
      <c r="C1382" s="11" t="s">
        <v>1400</v>
      </c>
      <c r="D1382" s="1" t="s">
        <v>9</v>
      </c>
      <c r="E1382" s="1" t="s">
        <v>20</v>
      </c>
      <c r="F1382" s="1" t="str">
        <f aca="false">TEXT(B1382,"mmm-yyyy")</f>
        <v>Dec-2024</v>
      </c>
    </row>
    <row r="1383" customFormat="false" ht="115.5" hidden="false" customHeight="true" outlineLevel="0" collapsed="false">
      <c r="A1383" s="1" t="n">
        <v>1</v>
      </c>
      <c r="B1383" s="10" t="n">
        <v>45637</v>
      </c>
      <c r="C1383" s="11" t="s">
        <v>1401</v>
      </c>
      <c r="D1383" s="1" t="s">
        <v>9</v>
      </c>
      <c r="E1383" s="1" t="s">
        <v>20</v>
      </c>
      <c r="F1383" s="1" t="str">
        <f aca="false">TEXT(B1383,"mmm-yyyy")</f>
        <v>Dec-2024</v>
      </c>
    </row>
    <row r="1384" customFormat="false" ht="115.5" hidden="false" customHeight="true" outlineLevel="0" collapsed="false">
      <c r="A1384" s="1" t="n">
        <v>1</v>
      </c>
      <c r="B1384" s="10" t="n">
        <v>45650</v>
      </c>
      <c r="C1384" s="11" t="s">
        <v>1402</v>
      </c>
      <c r="D1384" s="1" t="s">
        <v>9</v>
      </c>
      <c r="E1384" s="1" t="s">
        <v>20</v>
      </c>
      <c r="F1384" s="1" t="str">
        <f aca="false">TEXT(B1384,"mmm-yyyy")</f>
        <v>Dec-2024</v>
      </c>
    </row>
    <row r="1385" customFormat="false" ht="101.25" hidden="false" customHeight="true" outlineLevel="0" collapsed="false">
      <c r="A1385" s="1" t="n">
        <v>1</v>
      </c>
      <c r="B1385" s="10" t="n">
        <v>45594</v>
      </c>
      <c r="C1385" s="11" t="s">
        <v>1403</v>
      </c>
      <c r="D1385" s="1" t="s">
        <v>9</v>
      </c>
      <c r="E1385" s="1" t="s">
        <v>18</v>
      </c>
      <c r="F1385" s="1" t="str">
        <f aca="false">TEXT(B1385,"mmm-yyyy")</f>
        <v>Oct-2024</v>
      </c>
    </row>
    <row r="1386" customFormat="false" ht="115.5" hidden="false" customHeight="true" outlineLevel="0" collapsed="false">
      <c r="A1386" s="1" t="n">
        <v>2</v>
      </c>
      <c r="B1386" s="10" t="n">
        <v>45625</v>
      </c>
      <c r="C1386" s="11" t="s">
        <v>1404</v>
      </c>
      <c r="D1386" s="1" t="s">
        <v>9</v>
      </c>
      <c r="E1386" s="1" t="s">
        <v>18</v>
      </c>
      <c r="F1386" s="1" t="str">
        <f aca="false">TEXT(B1386,"mmm-yyyy")</f>
        <v>Nov-2024</v>
      </c>
    </row>
    <row r="1387" customFormat="false" ht="101.25" hidden="false" customHeight="true" outlineLevel="0" collapsed="false">
      <c r="A1387" s="1" t="n">
        <v>1</v>
      </c>
      <c r="B1387" s="10" t="n">
        <v>45605</v>
      </c>
      <c r="C1387" s="11" t="s">
        <v>1405</v>
      </c>
      <c r="D1387" s="1" t="s">
        <v>9</v>
      </c>
      <c r="E1387" s="1" t="s">
        <v>20</v>
      </c>
      <c r="F1387" s="1" t="str">
        <f aca="false">TEXT(B1387,"mmm-yyyy")</f>
        <v>Nov-2024</v>
      </c>
    </row>
    <row r="1388" customFormat="false" ht="130.5" hidden="false" customHeight="true" outlineLevel="0" collapsed="false">
      <c r="A1388" s="1" t="n">
        <v>1</v>
      </c>
      <c r="B1388" s="10" t="n">
        <v>45632</v>
      </c>
      <c r="C1388" s="11" t="s">
        <v>1406</v>
      </c>
      <c r="D1388" s="1" t="s">
        <v>9</v>
      </c>
      <c r="E1388" s="1" t="s">
        <v>18</v>
      </c>
      <c r="F1388" s="1" t="str">
        <f aca="false">TEXT(B1388,"mmm-yyyy")</f>
        <v>Dec-2024</v>
      </c>
    </row>
    <row r="1389" customFormat="false" ht="87" hidden="false" customHeight="true" outlineLevel="0" collapsed="false">
      <c r="A1389" s="1" t="n">
        <v>1</v>
      </c>
      <c r="B1389" s="10" t="n">
        <v>45627</v>
      </c>
      <c r="C1389" s="11" t="s">
        <v>1407</v>
      </c>
      <c r="D1389" s="1" t="s">
        <v>9</v>
      </c>
      <c r="E1389" s="1" t="s">
        <v>20</v>
      </c>
      <c r="F1389" s="1" t="str">
        <f aca="false">TEXT(B1389,"mmm-yyyy")</f>
        <v>Dec-2024</v>
      </c>
    </row>
    <row r="1390" customFormat="false" ht="130.5" hidden="false" customHeight="true" outlineLevel="0" collapsed="false">
      <c r="A1390" s="1" t="n">
        <v>1</v>
      </c>
      <c r="B1390" s="10" t="n">
        <v>45613</v>
      </c>
      <c r="C1390" s="11" t="s">
        <v>1408</v>
      </c>
      <c r="D1390" s="1" t="s">
        <v>9</v>
      </c>
      <c r="E1390" s="1" t="s">
        <v>32</v>
      </c>
      <c r="F1390" s="1" t="str">
        <f aca="false">TEXT(B1390,"mmm-yyyy")</f>
        <v>Nov-2024</v>
      </c>
    </row>
    <row r="1391" customFormat="false" ht="130.5" hidden="false" customHeight="true" outlineLevel="0" collapsed="false">
      <c r="A1391" s="1" t="n">
        <v>1</v>
      </c>
      <c r="B1391" s="10" t="n">
        <v>45619</v>
      </c>
      <c r="C1391" s="11" t="s">
        <v>1409</v>
      </c>
      <c r="D1391" s="1" t="s">
        <v>9</v>
      </c>
      <c r="E1391" s="1" t="s">
        <v>18</v>
      </c>
      <c r="F1391" s="1" t="str">
        <f aca="false">TEXT(B1391,"mmm-yyyy")</f>
        <v>Nov-2024</v>
      </c>
    </row>
    <row r="1392" customFormat="false" ht="130.5" hidden="false" customHeight="true" outlineLevel="0" collapsed="false">
      <c r="A1392" s="1" t="n">
        <v>1</v>
      </c>
      <c r="B1392" s="10" t="n">
        <v>45626</v>
      </c>
      <c r="C1392" s="11" t="s">
        <v>1410</v>
      </c>
      <c r="D1392" s="1" t="s">
        <v>9</v>
      </c>
      <c r="E1392" s="1" t="s">
        <v>20</v>
      </c>
      <c r="F1392" s="1" t="str">
        <f aca="false">TEXT(B1392,"mmm-yyyy")</f>
        <v>Nov-2024</v>
      </c>
    </row>
    <row r="1393" customFormat="false" ht="130.5" hidden="false" customHeight="true" outlineLevel="0" collapsed="false">
      <c r="A1393" s="1" t="n">
        <v>1</v>
      </c>
      <c r="B1393" s="10" t="n">
        <v>45626</v>
      </c>
      <c r="C1393" s="11" t="s">
        <v>1411</v>
      </c>
      <c r="D1393" s="1" t="s">
        <v>9</v>
      </c>
      <c r="E1393" s="1" t="s">
        <v>20</v>
      </c>
      <c r="F1393" s="1" t="str">
        <f aca="false">TEXT(B1393,"mmm-yyyy")</f>
        <v>Nov-2024</v>
      </c>
    </row>
    <row r="1394" customFormat="false" ht="87" hidden="false" customHeight="true" outlineLevel="0" collapsed="false">
      <c r="A1394" s="1" t="n">
        <v>2</v>
      </c>
      <c r="B1394" s="10" t="n">
        <v>45610</v>
      </c>
      <c r="C1394" s="11" t="s">
        <v>1412</v>
      </c>
      <c r="D1394" s="1" t="s">
        <v>9</v>
      </c>
      <c r="E1394" s="1" t="s">
        <v>20</v>
      </c>
      <c r="F1394" s="1" t="str">
        <f aca="false">TEXT(B1394,"mmm-yyyy")</f>
        <v>Nov-2024</v>
      </c>
    </row>
    <row r="1395" customFormat="false" ht="87" hidden="false" customHeight="true" outlineLevel="0" collapsed="false">
      <c r="A1395" s="1" t="n">
        <v>1</v>
      </c>
      <c r="B1395" s="10" t="n">
        <v>45623</v>
      </c>
      <c r="C1395" s="11" t="s">
        <v>1413</v>
      </c>
      <c r="D1395" s="1" t="s">
        <v>9</v>
      </c>
      <c r="E1395" s="1" t="s">
        <v>20</v>
      </c>
      <c r="F1395" s="1" t="str">
        <f aca="false">TEXT(B1395,"mmm-yyyy")</f>
        <v>Nov-2024</v>
      </c>
    </row>
    <row r="1396" customFormat="false" ht="144.75" hidden="false" customHeight="true" outlineLevel="0" collapsed="false">
      <c r="A1396" s="1" t="n">
        <v>1</v>
      </c>
      <c r="B1396" s="10" t="n">
        <v>45519</v>
      </c>
      <c r="C1396" s="11" t="s">
        <v>1414</v>
      </c>
      <c r="D1396" s="1" t="s">
        <v>9</v>
      </c>
      <c r="E1396" s="1" t="s">
        <v>20</v>
      </c>
      <c r="F1396" s="1" t="str">
        <f aca="false">TEXT(B1396,"mmm-yyyy")</f>
        <v>Aug-2024</v>
      </c>
    </row>
    <row r="1397" customFormat="false" ht="101.25" hidden="false" customHeight="true" outlineLevel="0" collapsed="false">
      <c r="A1397" s="1" t="n">
        <v>1</v>
      </c>
      <c r="B1397" s="10" t="n">
        <v>45529</v>
      </c>
      <c r="C1397" s="11" t="s">
        <v>1415</v>
      </c>
      <c r="D1397" s="1" t="s">
        <v>9</v>
      </c>
      <c r="E1397" s="1" t="s">
        <v>20</v>
      </c>
      <c r="F1397" s="1" t="str">
        <f aca="false">TEXT(B1397,"mmm-yyyy")</f>
        <v>Aug-2024</v>
      </c>
    </row>
    <row r="1398" customFormat="false" ht="115.5" hidden="false" customHeight="true" outlineLevel="0" collapsed="false">
      <c r="A1398" s="1" t="n">
        <v>1</v>
      </c>
      <c r="B1398" s="10" t="n">
        <v>45560</v>
      </c>
      <c r="C1398" s="11" t="s">
        <v>1416</v>
      </c>
      <c r="D1398" s="1" t="s">
        <v>9</v>
      </c>
      <c r="E1398" s="1" t="s">
        <v>18</v>
      </c>
      <c r="F1398" s="1" t="str">
        <f aca="false">TEXT(B1398,"mmm-yyyy")</f>
        <v>Sep-2024</v>
      </c>
    </row>
    <row r="1399" customFormat="false" ht="130.5" hidden="false" customHeight="true" outlineLevel="0" collapsed="false">
      <c r="A1399" s="1" t="n">
        <v>1</v>
      </c>
      <c r="B1399" s="10" t="n">
        <v>45640</v>
      </c>
      <c r="C1399" s="11" t="s">
        <v>1417</v>
      </c>
      <c r="D1399" s="1" t="s">
        <v>9</v>
      </c>
      <c r="E1399" s="1" t="s">
        <v>20</v>
      </c>
      <c r="F1399" s="1" t="str">
        <f aca="false">TEXT(B1399,"mmm-yyyy")</f>
        <v>Dec-2024</v>
      </c>
    </row>
    <row r="1400" customFormat="false" ht="115.5" hidden="false" customHeight="true" outlineLevel="0" collapsed="false">
      <c r="A1400" s="1" t="n">
        <v>1</v>
      </c>
      <c r="B1400" s="10" t="n">
        <v>45569</v>
      </c>
      <c r="C1400" s="11" t="s">
        <v>1418</v>
      </c>
      <c r="D1400" s="1" t="s">
        <v>9</v>
      </c>
      <c r="E1400" s="1" t="s">
        <v>20</v>
      </c>
      <c r="F1400" s="1" t="str">
        <f aca="false">TEXT(B1400,"mmm-yyyy")</f>
        <v>Oct-2024</v>
      </c>
    </row>
    <row r="1401" customFormat="false" ht="130.5" hidden="false" customHeight="true" outlineLevel="0" collapsed="false">
      <c r="A1401" s="1" t="n">
        <v>1</v>
      </c>
      <c r="B1401" s="10" t="n">
        <v>45572</v>
      </c>
      <c r="C1401" s="11" t="s">
        <v>1419</v>
      </c>
      <c r="D1401" s="1" t="s">
        <v>9</v>
      </c>
      <c r="E1401" s="1" t="s">
        <v>20</v>
      </c>
      <c r="F1401" s="1" t="str">
        <f aca="false">TEXT(B1401,"mmm-yyyy")</f>
        <v>Oct-2024</v>
      </c>
    </row>
    <row r="1402" customFormat="false" ht="115.5" hidden="false" customHeight="true" outlineLevel="0" collapsed="false">
      <c r="A1402" s="1" t="n">
        <v>4</v>
      </c>
      <c r="B1402" s="10" t="n">
        <v>45585</v>
      </c>
      <c r="C1402" s="11" t="s">
        <v>1420</v>
      </c>
      <c r="D1402" s="1" t="s">
        <v>9</v>
      </c>
      <c r="E1402" s="1" t="s">
        <v>18</v>
      </c>
      <c r="F1402" s="1" t="str">
        <f aca="false">TEXT(B1402,"mmm-yyyy")</f>
        <v>Oct-2024</v>
      </c>
    </row>
    <row r="1403" customFormat="false" ht="101.25" hidden="false" customHeight="true" outlineLevel="0" collapsed="false">
      <c r="A1403" s="1" t="n">
        <v>1</v>
      </c>
      <c r="B1403" s="10" t="n">
        <v>45543</v>
      </c>
      <c r="C1403" s="11" t="s">
        <v>1421</v>
      </c>
      <c r="D1403" s="1" t="s">
        <v>9</v>
      </c>
      <c r="E1403" s="1" t="s">
        <v>20</v>
      </c>
      <c r="F1403" s="1" t="str">
        <f aca="false">TEXT(B1403,"mmm-yyyy")</f>
        <v>Sep-2024</v>
      </c>
    </row>
    <row r="1404" customFormat="false" ht="115.5" hidden="false" customHeight="true" outlineLevel="0" collapsed="false">
      <c r="A1404" s="1" t="n">
        <v>1</v>
      </c>
      <c r="B1404" s="10" t="n">
        <v>45573</v>
      </c>
      <c r="C1404" s="11" t="s">
        <v>1422</v>
      </c>
      <c r="D1404" s="1" t="s">
        <v>9</v>
      </c>
      <c r="E1404" s="1" t="s">
        <v>18</v>
      </c>
      <c r="F1404" s="1" t="str">
        <f aca="false">TEXT(B1404,"mmm-yyyy")</f>
        <v>Oct-2024</v>
      </c>
    </row>
    <row r="1405" customFormat="false" ht="87" hidden="false" customHeight="true" outlineLevel="0" collapsed="false">
      <c r="A1405" s="1" t="n">
        <v>1</v>
      </c>
      <c r="B1405" s="10" t="n">
        <v>45570</v>
      </c>
      <c r="C1405" s="11" t="s">
        <v>1423</v>
      </c>
      <c r="D1405" s="1" t="s">
        <v>9</v>
      </c>
      <c r="E1405" s="1" t="s">
        <v>20</v>
      </c>
      <c r="F1405" s="1" t="str">
        <f aca="false">TEXT(B1405,"mmm-yyyy")</f>
        <v>Oct-2024</v>
      </c>
    </row>
    <row r="1406" customFormat="false" ht="101.25" hidden="false" customHeight="true" outlineLevel="0" collapsed="false">
      <c r="A1406" s="1" t="n">
        <v>1</v>
      </c>
      <c r="B1406" s="10" t="n">
        <v>45570</v>
      </c>
      <c r="C1406" s="11" t="s">
        <v>1424</v>
      </c>
      <c r="D1406" s="1" t="s">
        <v>9</v>
      </c>
      <c r="E1406" s="1" t="s">
        <v>20</v>
      </c>
      <c r="F1406" s="1" t="str">
        <f aca="false">TEXT(B1406,"mmm-yyyy")</f>
        <v>Oct-2024</v>
      </c>
    </row>
    <row r="1407" customFormat="false" ht="115.5" hidden="false" customHeight="true" outlineLevel="0" collapsed="false">
      <c r="A1407" s="1" t="n">
        <v>1</v>
      </c>
      <c r="B1407" s="10" t="n">
        <v>45519</v>
      </c>
      <c r="C1407" s="11" t="s">
        <v>1425</v>
      </c>
      <c r="D1407" s="1" t="s">
        <v>9</v>
      </c>
      <c r="E1407" s="1" t="s">
        <v>20</v>
      </c>
      <c r="F1407" s="1" t="str">
        <f aca="false">TEXT(B1407,"mmm-yyyy")</f>
        <v>Aug-2024</v>
      </c>
    </row>
    <row r="1408" customFormat="false" ht="115.5" hidden="false" customHeight="true" outlineLevel="0" collapsed="false">
      <c r="A1408" s="1" t="n">
        <v>1</v>
      </c>
      <c r="B1408" s="10" t="n">
        <v>45635</v>
      </c>
      <c r="C1408" s="11" t="s">
        <v>1426</v>
      </c>
      <c r="D1408" s="1" t="s">
        <v>9</v>
      </c>
      <c r="E1408" s="1" t="s">
        <v>20</v>
      </c>
      <c r="F1408" s="1" t="str">
        <f aca="false">TEXT(B1408,"mmm-yyyy")</f>
        <v>Dec-2024</v>
      </c>
    </row>
    <row r="1409" customFormat="false" ht="130.5" hidden="false" customHeight="true" outlineLevel="0" collapsed="false">
      <c r="A1409" s="1" t="n">
        <v>1</v>
      </c>
      <c r="B1409" s="10" t="n">
        <v>45638</v>
      </c>
      <c r="C1409" s="11" t="s">
        <v>1427</v>
      </c>
      <c r="D1409" s="1" t="s">
        <v>9</v>
      </c>
      <c r="E1409" s="1" t="s">
        <v>20</v>
      </c>
      <c r="F1409" s="1" t="str">
        <f aca="false">TEXT(B1409,"mmm-yyyy")</f>
        <v>Dec-2024</v>
      </c>
    </row>
    <row r="1410" customFormat="false" ht="115.5" hidden="false" customHeight="true" outlineLevel="0" collapsed="false">
      <c r="A1410" s="1" t="n">
        <v>1</v>
      </c>
      <c r="B1410" s="10" t="n">
        <v>45643</v>
      </c>
      <c r="C1410" s="11" t="s">
        <v>1428</v>
      </c>
      <c r="D1410" s="1" t="s">
        <v>9</v>
      </c>
      <c r="E1410" s="1" t="s">
        <v>20</v>
      </c>
      <c r="F1410" s="1" t="str">
        <f aca="false">TEXT(B1410,"mmm-yyyy")</f>
        <v>Dec-2024</v>
      </c>
    </row>
    <row r="1411" customFormat="false" ht="115.5" hidden="false" customHeight="true" outlineLevel="0" collapsed="false">
      <c r="A1411" s="1" t="n">
        <v>1</v>
      </c>
      <c r="B1411" s="10" t="n">
        <v>45646</v>
      </c>
      <c r="C1411" s="11" t="s">
        <v>1429</v>
      </c>
      <c r="D1411" s="1" t="s">
        <v>9</v>
      </c>
      <c r="E1411" s="1" t="s">
        <v>20</v>
      </c>
      <c r="F1411" s="1" t="str">
        <f aca="false">TEXT(B1411,"mmm-yyyy")</f>
        <v>Dec-2024</v>
      </c>
    </row>
    <row r="1412" customFormat="false" ht="101.25" hidden="false" customHeight="true" outlineLevel="0" collapsed="false">
      <c r="A1412" s="1" t="n">
        <v>1</v>
      </c>
      <c r="B1412" s="10" t="n">
        <v>45641</v>
      </c>
      <c r="C1412" s="11" t="s">
        <v>1430</v>
      </c>
      <c r="D1412" s="1" t="s">
        <v>9</v>
      </c>
      <c r="E1412" s="1" t="s">
        <v>20</v>
      </c>
      <c r="F1412" s="1" t="str">
        <f aca="false">TEXT(B1412,"mmm-yyyy")</f>
        <v>Dec-2024</v>
      </c>
    </row>
    <row r="1413" customFormat="false" ht="87" hidden="false" customHeight="true" outlineLevel="0" collapsed="false">
      <c r="A1413" s="1" t="n">
        <v>1</v>
      </c>
      <c r="B1413" s="10" t="n">
        <v>45637</v>
      </c>
      <c r="C1413" s="11" t="s">
        <v>1431</v>
      </c>
      <c r="D1413" s="1" t="s">
        <v>9</v>
      </c>
      <c r="E1413" s="1" t="s">
        <v>20</v>
      </c>
      <c r="F1413" s="1" t="str">
        <f aca="false">TEXT(B1413,"mmm-yyyy")</f>
        <v>Dec-2024</v>
      </c>
    </row>
    <row r="1414" customFormat="false" ht="130.5" hidden="false" customHeight="true" outlineLevel="0" collapsed="false">
      <c r="A1414" s="1" t="n">
        <v>1</v>
      </c>
      <c r="B1414" s="10" t="n">
        <v>45651</v>
      </c>
      <c r="C1414" s="11" t="s">
        <v>1432</v>
      </c>
      <c r="D1414" s="1" t="s">
        <v>9</v>
      </c>
      <c r="E1414" s="1" t="s">
        <v>18</v>
      </c>
      <c r="F1414" s="1" t="str">
        <f aca="false">TEXT(B1414,"mmm-yyyy")</f>
        <v>Dec-2024</v>
      </c>
    </row>
    <row r="1415" customFormat="false" ht="72" hidden="false" customHeight="true" outlineLevel="0" collapsed="false">
      <c r="A1415" s="1" t="n">
        <v>1</v>
      </c>
      <c r="B1415" s="10" t="n">
        <v>45655</v>
      </c>
      <c r="C1415" s="11" t="s">
        <v>1433</v>
      </c>
      <c r="D1415" s="1" t="s">
        <v>9</v>
      </c>
      <c r="E1415" s="1" t="s">
        <v>20</v>
      </c>
      <c r="F1415" s="1" t="str">
        <f aca="false">TEXT(B1415,"mmm-yyyy")</f>
        <v>Dec-2024</v>
      </c>
    </row>
    <row r="1416" customFormat="false" ht="87" hidden="false" customHeight="true" outlineLevel="0" collapsed="false">
      <c r="A1416" s="1" t="n">
        <v>1</v>
      </c>
      <c r="B1416" s="10" t="n">
        <v>45650</v>
      </c>
      <c r="C1416" s="11" t="s">
        <v>1434</v>
      </c>
      <c r="D1416" s="1" t="s">
        <v>9</v>
      </c>
      <c r="E1416" s="1" t="s">
        <v>20</v>
      </c>
      <c r="F1416" s="1" t="str">
        <f aca="false">TEXT(B1416,"mmm-yyyy")</f>
        <v>Dec-2024</v>
      </c>
    </row>
    <row r="1417" customFormat="false" ht="130.5" hidden="false" customHeight="true" outlineLevel="0" collapsed="false">
      <c r="A1417" s="1" t="n">
        <v>1</v>
      </c>
      <c r="B1417" s="10" t="n">
        <v>45656</v>
      </c>
      <c r="C1417" s="11" t="s">
        <v>1435</v>
      </c>
      <c r="D1417" s="1" t="s">
        <v>9</v>
      </c>
      <c r="E1417" s="1" t="s">
        <v>20</v>
      </c>
      <c r="F1417" s="1" t="str">
        <f aca="false">TEXT(B1417,"mmm-yyyy")</f>
        <v>Dec-2024</v>
      </c>
    </row>
    <row r="1418" customFormat="false" ht="72" hidden="false" customHeight="true" outlineLevel="0" collapsed="false">
      <c r="A1418" s="1" t="n">
        <v>1</v>
      </c>
      <c r="B1418" s="10" t="n">
        <v>45648</v>
      </c>
      <c r="C1418" s="11" t="s">
        <v>1436</v>
      </c>
      <c r="D1418" s="1" t="s">
        <v>9</v>
      </c>
      <c r="E1418" s="1" t="s">
        <v>20</v>
      </c>
      <c r="F1418" s="1" t="str">
        <f aca="false">TEXT(B1418,"mmm-yyyy")</f>
        <v>Dec-2024</v>
      </c>
    </row>
    <row r="1419" customFormat="false" ht="87" hidden="false" customHeight="true" outlineLevel="0" collapsed="false">
      <c r="A1419" s="1" t="n">
        <v>1</v>
      </c>
      <c r="B1419" s="10" t="n">
        <v>45643</v>
      </c>
      <c r="C1419" s="11" t="s">
        <v>1437</v>
      </c>
      <c r="D1419" s="1" t="s">
        <v>9</v>
      </c>
      <c r="E1419" s="1" t="s">
        <v>18</v>
      </c>
      <c r="F1419" s="1" t="str">
        <f aca="false">TEXT(B1419,"mmm-yyyy")</f>
        <v>Dec-2024</v>
      </c>
    </row>
    <row r="1420" customFormat="false" ht="72" hidden="false" customHeight="true" outlineLevel="0" collapsed="false">
      <c r="A1420" s="1" t="n">
        <v>1</v>
      </c>
      <c r="B1420" s="10" t="n">
        <v>45642</v>
      </c>
      <c r="C1420" s="11" t="s">
        <v>1438</v>
      </c>
      <c r="D1420" s="1" t="s">
        <v>9</v>
      </c>
      <c r="E1420" s="1" t="s">
        <v>20</v>
      </c>
      <c r="F1420" s="1" t="str">
        <f aca="false">TEXT(B1420,"mmm-yyyy")</f>
        <v>Dec-2024</v>
      </c>
    </row>
    <row r="1421" customFormat="false" ht="115.5" hidden="false" customHeight="true" outlineLevel="0" collapsed="false">
      <c r="A1421" s="1" t="n">
        <v>1</v>
      </c>
      <c r="B1421" s="10" t="n">
        <v>45644</v>
      </c>
      <c r="C1421" s="11" t="s">
        <v>1439</v>
      </c>
      <c r="D1421" s="1" t="s">
        <v>9</v>
      </c>
      <c r="E1421" s="1" t="s">
        <v>20</v>
      </c>
      <c r="F1421" s="1" t="str">
        <f aca="false">TEXT(B1421,"mmm-yyyy")</f>
        <v>Dec-2024</v>
      </c>
    </row>
    <row r="1422" customFormat="false" ht="72" hidden="false" customHeight="true" outlineLevel="0" collapsed="false">
      <c r="A1422" s="1" t="n">
        <v>1</v>
      </c>
      <c r="B1422" s="10" t="n">
        <v>45655</v>
      </c>
      <c r="C1422" s="11" t="s">
        <v>1440</v>
      </c>
      <c r="D1422" s="1" t="s">
        <v>9</v>
      </c>
      <c r="E1422" s="1" t="s">
        <v>20</v>
      </c>
      <c r="F1422" s="1" t="str">
        <f aca="false">TEXT(B1422,"mmm-yyyy")</f>
        <v>Dec-2024</v>
      </c>
    </row>
    <row r="1423" customFormat="false" ht="72" hidden="false" customHeight="true" outlineLevel="0" collapsed="false">
      <c r="A1423" s="1" t="n">
        <v>1</v>
      </c>
      <c r="B1423" s="10" t="n">
        <v>45641</v>
      </c>
      <c r="C1423" s="11" t="s">
        <v>1441</v>
      </c>
      <c r="D1423" s="1" t="s">
        <v>9</v>
      </c>
      <c r="E1423" s="1" t="s">
        <v>20</v>
      </c>
      <c r="F1423" s="1" t="str">
        <f aca="false">TEXT(B1423,"mmm-yyyy")</f>
        <v>Dec-2024</v>
      </c>
    </row>
    <row r="1424" customFormat="false" ht="115.5" hidden="false" customHeight="true" outlineLevel="0" collapsed="false">
      <c r="A1424" s="1" t="n">
        <v>1</v>
      </c>
      <c r="B1424" s="10" t="n">
        <v>45640</v>
      </c>
      <c r="C1424" s="11" t="s">
        <v>1442</v>
      </c>
      <c r="D1424" s="1" t="s">
        <v>9</v>
      </c>
      <c r="E1424" s="1" t="s">
        <v>20</v>
      </c>
      <c r="F1424" s="1" t="str">
        <f aca="false">TEXT(B1424,"mmm-yyyy")</f>
        <v>Dec-2024</v>
      </c>
    </row>
    <row r="1425" customFormat="false" ht="130.5" hidden="false" customHeight="true" outlineLevel="0" collapsed="false">
      <c r="A1425" s="1" t="n">
        <v>1</v>
      </c>
      <c r="B1425" s="10" t="n">
        <v>45644</v>
      </c>
      <c r="C1425" s="11" t="s">
        <v>1443</v>
      </c>
      <c r="D1425" s="1" t="s">
        <v>9</v>
      </c>
      <c r="E1425" s="1" t="s">
        <v>20</v>
      </c>
      <c r="F1425" s="1" t="str">
        <f aca="false">TEXT(B1425,"mmm-yyyy")</f>
        <v>Dec-2024</v>
      </c>
    </row>
    <row r="1426" customFormat="false" ht="101.25" hidden="false" customHeight="true" outlineLevel="0" collapsed="false">
      <c r="A1426" s="1" t="n">
        <v>1</v>
      </c>
      <c r="B1426" s="10" t="n">
        <v>45644</v>
      </c>
      <c r="C1426" s="11" t="s">
        <v>1444</v>
      </c>
      <c r="D1426" s="1" t="s">
        <v>9</v>
      </c>
      <c r="E1426" s="1" t="s">
        <v>20</v>
      </c>
      <c r="F1426" s="1" t="str">
        <f aca="false">TEXT(B1426,"mmm-yyyy")</f>
        <v>Dec-2024</v>
      </c>
    </row>
    <row r="1427" customFormat="false" ht="72" hidden="false" customHeight="true" outlineLevel="0" collapsed="false">
      <c r="A1427" s="1" t="n">
        <v>1</v>
      </c>
      <c r="B1427" s="10" t="n">
        <v>45645</v>
      </c>
      <c r="C1427" s="11" t="s">
        <v>1445</v>
      </c>
      <c r="D1427" s="1" t="s">
        <v>9</v>
      </c>
      <c r="E1427" s="1" t="s">
        <v>20</v>
      </c>
      <c r="F1427" s="1" t="str">
        <f aca="false">TEXT(B1427,"mmm-yyyy")</f>
        <v>Dec-2024</v>
      </c>
    </row>
    <row r="1428" customFormat="false" ht="101.25" hidden="false" customHeight="true" outlineLevel="0" collapsed="false">
      <c r="A1428" s="1" t="n">
        <v>1</v>
      </c>
      <c r="B1428" s="10" t="n">
        <v>45646</v>
      </c>
      <c r="C1428" s="11" t="s">
        <v>1446</v>
      </c>
      <c r="D1428" s="1" t="s">
        <v>9</v>
      </c>
      <c r="E1428" s="1" t="s">
        <v>20</v>
      </c>
      <c r="F1428" s="1" t="str">
        <f aca="false">TEXT(B1428,"mmm-yyyy")</f>
        <v>Dec-2024</v>
      </c>
    </row>
    <row r="1429" customFormat="false" ht="130.5" hidden="false" customHeight="true" outlineLevel="0" collapsed="false">
      <c r="A1429" s="1" t="n">
        <v>1</v>
      </c>
      <c r="B1429" s="10" t="n">
        <v>45657</v>
      </c>
      <c r="C1429" s="11" t="s">
        <v>1447</v>
      </c>
      <c r="D1429" s="1" t="s">
        <v>9</v>
      </c>
      <c r="E1429" s="1" t="s">
        <v>18</v>
      </c>
      <c r="F1429" s="1" t="str">
        <f aca="false">TEXT(B1429,"mmm-yyyy")</f>
        <v>Dec-2024</v>
      </c>
    </row>
    <row r="1430" customFormat="false" ht="101.25" hidden="false" customHeight="true" outlineLevel="0" collapsed="false">
      <c r="A1430" s="1" t="n">
        <v>1</v>
      </c>
      <c r="B1430" s="10" t="n">
        <v>45631</v>
      </c>
      <c r="C1430" s="11" t="s">
        <v>1448</v>
      </c>
      <c r="D1430" s="1" t="s">
        <v>9</v>
      </c>
      <c r="E1430" s="1" t="s">
        <v>20</v>
      </c>
      <c r="F1430" s="1" t="str">
        <f aca="false">TEXT(B1430,"mmm-yyyy")</f>
        <v>Dec-2024</v>
      </c>
    </row>
    <row r="1431" customFormat="false" ht="72" hidden="false" customHeight="true" outlineLevel="0" collapsed="false">
      <c r="A1431" s="1" t="n">
        <v>1</v>
      </c>
      <c r="B1431" s="10" t="n">
        <v>45643</v>
      </c>
      <c r="C1431" s="11" t="s">
        <v>1449</v>
      </c>
      <c r="D1431" s="1" t="s">
        <v>9</v>
      </c>
      <c r="E1431" s="1" t="s">
        <v>20</v>
      </c>
      <c r="F1431" s="1" t="str">
        <f aca="false">TEXT(B1431,"mmm-yyyy")</f>
        <v>Dec-2024</v>
      </c>
    </row>
    <row r="1432" customFormat="false" ht="87" hidden="false" customHeight="true" outlineLevel="0" collapsed="false">
      <c r="A1432" s="1" t="n">
        <v>1</v>
      </c>
      <c r="B1432" s="10" t="n">
        <v>45644</v>
      </c>
      <c r="C1432" s="11" t="s">
        <v>1450</v>
      </c>
      <c r="D1432" s="1" t="s">
        <v>9</v>
      </c>
      <c r="E1432" s="1" t="s">
        <v>20</v>
      </c>
      <c r="F1432" s="1" t="str">
        <f aca="false">TEXT(B1432,"mmm-yyyy")</f>
        <v>Dec-2024</v>
      </c>
    </row>
    <row r="1433" customFormat="false" ht="115.5" hidden="false" customHeight="true" outlineLevel="0" collapsed="false">
      <c r="A1433" s="1" t="n">
        <v>1</v>
      </c>
      <c r="B1433" s="10" t="n">
        <v>45640</v>
      </c>
      <c r="C1433" s="11" t="s">
        <v>1451</v>
      </c>
      <c r="D1433" s="1" t="s">
        <v>9</v>
      </c>
      <c r="E1433" s="1" t="s">
        <v>20</v>
      </c>
      <c r="F1433" s="1" t="str">
        <f aca="false">TEXT(B1433,"mmm-yyyy")</f>
        <v>Dec-2024</v>
      </c>
    </row>
    <row r="1434" customFormat="false" ht="101.25" hidden="false" customHeight="true" outlineLevel="0" collapsed="false">
      <c r="A1434" s="1" t="n">
        <v>1</v>
      </c>
      <c r="B1434" s="10" t="n">
        <v>45632</v>
      </c>
      <c r="C1434" s="11" t="s">
        <v>1452</v>
      </c>
      <c r="D1434" s="1" t="s">
        <v>9</v>
      </c>
      <c r="E1434" s="1" t="s">
        <v>20</v>
      </c>
      <c r="F1434" s="1" t="str">
        <f aca="false">TEXT(B1434,"mmm-yyyy")</f>
        <v>Dec-2024</v>
      </c>
    </row>
    <row r="1435" customFormat="false" ht="57.75" hidden="false" customHeight="true" outlineLevel="0" collapsed="false">
      <c r="A1435" s="1" t="n">
        <v>1</v>
      </c>
      <c r="B1435" s="10" t="n">
        <v>45657</v>
      </c>
      <c r="C1435" s="11" t="s">
        <v>1453</v>
      </c>
      <c r="D1435" s="1" t="s">
        <v>9</v>
      </c>
      <c r="E1435" s="1" t="s">
        <v>20</v>
      </c>
      <c r="F1435" s="1" t="str">
        <f aca="false">TEXT(B1435,"mmm-yyyy")</f>
        <v>Dec-2024</v>
      </c>
    </row>
    <row r="1436" customFormat="false" ht="57.75" hidden="false" customHeight="true" outlineLevel="0" collapsed="false">
      <c r="A1436" s="1" t="n">
        <v>2</v>
      </c>
      <c r="B1436" s="10" t="n">
        <v>45650</v>
      </c>
      <c r="C1436" s="11" t="s">
        <v>1454</v>
      </c>
      <c r="D1436" s="1" t="s">
        <v>9</v>
      </c>
      <c r="E1436" s="1" t="s">
        <v>20</v>
      </c>
      <c r="F1436" s="1" t="str">
        <f aca="false">TEXT(B1436,"mmm-yyyy")</f>
        <v>Dec-2024</v>
      </c>
    </row>
    <row r="1437" customFormat="false" ht="87" hidden="false" customHeight="true" outlineLevel="0" collapsed="false">
      <c r="A1437" s="1" t="n">
        <v>1</v>
      </c>
      <c r="B1437" s="10" t="n">
        <v>45594</v>
      </c>
      <c r="C1437" s="11" t="s">
        <v>1455</v>
      </c>
      <c r="D1437" s="1" t="s">
        <v>9</v>
      </c>
      <c r="E1437" s="1" t="s">
        <v>20</v>
      </c>
      <c r="F1437" s="1" t="str">
        <f aca="false">TEXT(B1437,"mmm-yyyy")</f>
        <v>Oct-2024</v>
      </c>
    </row>
    <row r="1438" customFormat="false" ht="87" hidden="false" customHeight="true" outlineLevel="0" collapsed="false">
      <c r="A1438" s="1" t="n">
        <v>1</v>
      </c>
      <c r="B1438" s="10" t="n">
        <v>45656</v>
      </c>
      <c r="C1438" s="11" t="s">
        <v>1456</v>
      </c>
      <c r="D1438" s="1" t="s">
        <v>9</v>
      </c>
      <c r="E1438" s="1" t="s">
        <v>18</v>
      </c>
      <c r="F1438" s="1" t="str">
        <f aca="false">TEXT(B1438,"mmm-yyyy")</f>
        <v>Dec-2024</v>
      </c>
    </row>
    <row r="1439" customFormat="false" ht="72" hidden="false" customHeight="true" outlineLevel="0" collapsed="false">
      <c r="A1439" s="1" t="n">
        <v>2</v>
      </c>
      <c r="B1439" s="10" t="n">
        <v>45639</v>
      </c>
      <c r="C1439" s="11" t="s">
        <v>1457</v>
      </c>
      <c r="D1439" s="1" t="s">
        <v>9</v>
      </c>
      <c r="E1439" s="1" t="s">
        <v>18</v>
      </c>
      <c r="F1439" s="1" t="str">
        <f aca="false">TEXT(B1439,"mmm-yyyy")</f>
        <v>Dec-2024</v>
      </c>
    </row>
    <row r="1440" customFormat="false" ht="101.25" hidden="false" customHeight="true" outlineLevel="0" collapsed="false">
      <c r="A1440" s="1" t="n">
        <v>1</v>
      </c>
      <c r="B1440" s="10" t="n">
        <v>45633</v>
      </c>
      <c r="C1440" s="11" t="s">
        <v>1458</v>
      </c>
      <c r="D1440" s="1" t="s">
        <v>9</v>
      </c>
      <c r="E1440" s="1" t="s">
        <v>20</v>
      </c>
      <c r="F1440" s="1" t="str">
        <f aca="false">TEXT(B1440,"mmm-yyyy")</f>
        <v>Dec-2024</v>
      </c>
    </row>
    <row r="1441" customFormat="false" ht="130.5" hidden="false" customHeight="true" outlineLevel="0" collapsed="false">
      <c r="A1441" s="1" t="n">
        <v>1</v>
      </c>
      <c r="B1441" s="10" t="n">
        <v>45616</v>
      </c>
      <c r="C1441" s="11" t="s">
        <v>1459</v>
      </c>
      <c r="D1441" s="1" t="s">
        <v>9</v>
      </c>
      <c r="E1441" s="1" t="s">
        <v>20</v>
      </c>
      <c r="F1441" s="1" t="str">
        <f aca="false">TEXT(B1441,"mmm-yyyy")</f>
        <v>Nov-2024</v>
      </c>
    </row>
    <row r="1442" customFormat="false" ht="101.25" hidden="false" customHeight="true" outlineLevel="0" collapsed="false">
      <c r="A1442" s="1" t="n">
        <v>1</v>
      </c>
      <c r="B1442" s="10" t="n">
        <v>45637</v>
      </c>
      <c r="C1442" s="11" t="s">
        <v>1460</v>
      </c>
      <c r="D1442" s="1" t="s">
        <v>9</v>
      </c>
      <c r="E1442" s="1" t="s">
        <v>18</v>
      </c>
      <c r="F1442" s="1" t="str">
        <f aca="false">TEXT(B1442,"mmm-yyyy")</f>
        <v>Dec-2024</v>
      </c>
    </row>
    <row r="1443" customFormat="false" ht="57.75" hidden="false" customHeight="true" outlineLevel="0" collapsed="false">
      <c r="A1443" s="1" t="n">
        <v>1</v>
      </c>
      <c r="B1443" s="10" t="n">
        <v>45655</v>
      </c>
      <c r="C1443" s="11" t="s">
        <v>1461</v>
      </c>
      <c r="D1443" s="1" t="s">
        <v>9</v>
      </c>
      <c r="E1443" s="1" t="s">
        <v>20</v>
      </c>
      <c r="F1443" s="1" t="str">
        <f aca="false">TEXT(B1443,"mmm-yyyy")</f>
        <v>Dec-2024</v>
      </c>
    </row>
    <row r="1444" customFormat="false" ht="144.75" hidden="false" customHeight="true" outlineLevel="0" collapsed="false">
      <c r="A1444" s="1" t="n">
        <v>1</v>
      </c>
      <c r="B1444" s="10" t="n">
        <v>45643</v>
      </c>
      <c r="C1444" s="11" t="s">
        <v>1462</v>
      </c>
      <c r="D1444" s="1" t="s">
        <v>9</v>
      </c>
      <c r="E1444" s="1" t="s">
        <v>20</v>
      </c>
      <c r="F1444" s="1" t="str">
        <f aca="false">TEXT(B1444,"mmm-yyyy")</f>
        <v>Dec-2024</v>
      </c>
    </row>
    <row r="1445" customFormat="false" ht="101.25" hidden="false" customHeight="true" outlineLevel="0" collapsed="false">
      <c r="A1445" s="1" t="n">
        <v>1</v>
      </c>
      <c r="B1445" s="10" t="n">
        <v>45649</v>
      </c>
      <c r="C1445" s="11" t="s">
        <v>1463</v>
      </c>
      <c r="D1445" s="1" t="s">
        <v>9</v>
      </c>
      <c r="E1445" s="1" t="s">
        <v>20</v>
      </c>
      <c r="F1445" s="1" t="str">
        <f aca="false">TEXT(B1445,"mmm-yyyy")</f>
        <v>Dec-2024</v>
      </c>
    </row>
    <row r="1446" customFormat="false" ht="130.5" hidden="false" customHeight="true" outlineLevel="0" collapsed="false">
      <c r="A1446" s="1" t="n">
        <v>1</v>
      </c>
      <c r="B1446" s="10" t="n">
        <v>45655</v>
      </c>
      <c r="C1446" s="11" t="s">
        <v>1464</v>
      </c>
      <c r="D1446" s="1" t="s">
        <v>9</v>
      </c>
      <c r="E1446" s="1" t="s">
        <v>20</v>
      </c>
      <c r="F1446" s="1" t="str">
        <f aca="false">TEXT(B1446,"mmm-yyyy")</f>
        <v>Dec-2024</v>
      </c>
    </row>
    <row r="1447" customFormat="false" ht="130.5" hidden="false" customHeight="true" outlineLevel="0" collapsed="false">
      <c r="A1447" s="1" t="n">
        <v>1</v>
      </c>
      <c r="B1447" s="10" t="n">
        <v>45589</v>
      </c>
      <c r="C1447" s="11" t="s">
        <v>1465</v>
      </c>
      <c r="D1447" s="1" t="s">
        <v>9</v>
      </c>
      <c r="E1447" s="1" t="s">
        <v>20</v>
      </c>
      <c r="F1447" s="1" t="str">
        <f aca="false">TEXT(B1447,"mmm-yyyy")</f>
        <v>Oct-2024</v>
      </c>
    </row>
    <row r="1448" customFormat="false" ht="115.5" hidden="false" customHeight="true" outlineLevel="0" collapsed="false">
      <c r="A1448" s="1" t="n">
        <v>2</v>
      </c>
      <c r="B1448" s="10" t="n">
        <v>45646</v>
      </c>
      <c r="C1448" s="11" t="s">
        <v>1466</v>
      </c>
      <c r="D1448" s="1" t="s">
        <v>9</v>
      </c>
      <c r="E1448" s="1" t="s">
        <v>18</v>
      </c>
      <c r="F1448" s="1" t="str">
        <f aca="false">TEXT(B1448,"mmm-yyyy")</f>
        <v>Dec-2024</v>
      </c>
    </row>
    <row r="1449" customFormat="false" ht="101.25" hidden="false" customHeight="true" outlineLevel="0" collapsed="false">
      <c r="A1449" s="1" t="n">
        <v>1</v>
      </c>
      <c r="B1449" s="10" t="n">
        <v>45657</v>
      </c>
      <c r="C1449" s="11" t="s">
        <v>1467</v>
      </c>
      <c r="D1449" s="1" t="s">
        <v>9</v>
      </c>
      <c r="E1449" s="1" t="s">
        <v>20</v>
      </c>
      <c r="F1449" s="1" t="str">
        <f aca="false">TEXT(B1449,"mmm-yyyy")</f>
        <v>Dec-2024</v>
      </c>
    </row>
    <row r="1450" customFormat="false" ht="130.5" hidden="false" customHeight="true" outlineLevel="0" collapsed="false">
      <c r="A1450" s="1" t="n">
        <v>1</v>
      </c>
      <c r="B1450" s="10" t="n">
        <v>45625</v>
      </c>
      <c r="C1450" s="11" t="s">
        <v>1468</v>
      </c>
      <c r="D1450" s="1" t="s">
        <v>9</v>
      </c>
      <c r="E1450" s="1" t="s">
        <v>20</v>
      </c>
      <c r="F1450" s="1" t="str">
        <f aca="false">TEXT(B1450,"mmm-yyyy")</f>
        <v>Nov-2024</v>
      </c>
    </row>
    <row r="1451" customFormat="false" ht="130.5" hidden="false" customHeight="true" outlineLevel="0" collapsed="false">
      <c r="A1451" s="1" t="n">
        <v>1</v>
      </c>
      <c r="B1451" s="10" t="n">
        <v>45641</v>
      </c>
      <c r="C1451" s="11" t="s">
        <v>1469</v>
      </c>
      <c r="D1451" s="1" t="s">
        <v>9</v>
      </c>
      <c r="E1451" s="1" t="s">
        <v>20</v>
      </c>
      <c r="F1451" s="1" t="str">
        <f aca="false">TEXT(B1451,"mmm-yyyy")</f>
        <v>Dec-2024</v>
      </c>
    </row>
    <row r="1452" customFormat="false" ht="101.25" hidden="false" customHeight="true" outlineLevel="0" collapsed="false">
      <c r="A1452" s="1" t="n">
        <v>1</v>
      </c>
      <c r="B1452" s="10" t="n">
        <v>45591</v>
      </c>
      <c r="C1452" s="11" t="s">
        <v>1470</v>
      </c>
      <c r="D1452" s="1" t="s">
        <v>9</v>
      </c>
      <c r="E1452" s="1" t="s">
        <v>20</v>
      </c>
      <c r="F1452" s="1" t="str">
        <f aca="false">TEXT(B1452,"mmm-yyyy")</f>
        <v>Oct-2024</v>
      </c>
    </row>
    <row r="1453" customFormat="false" ht="130.5" hidden="false" customHeight="true" outlineLevel="0" collapsed="false">
      <c r="A1453" s="1" t="n">
        <v>1</v>
      </c>
      <c r="B1453" s="10" t="n">
        <v>45632</v>
      </c>
      <c r="C1453" s="11" t="s">
        <v>1471</v>
      </c>
      <c r="D1453" s="1" t="s">
        <v>9</v>
      </c>
      <c r="E1453" s="1" t="s">
        <v>20</v>
      </c>
      <c r="F1453" s="1" t="str">
        <f aca="false">TEXT(B1453,"mmm-yyyy")</f>
        <v>Dec-2024</v>
      </c>
    </row>
    <row r="1454" customFormat="false" ht="87" hidden="false" customHeight="true" outlineLevel="0" collapsed="false">
      <c r="A1454" s="1" t="n">
        <v>1</v>
      </c>
      <c r="B1454" s="10" t="n">
        <v>45655</v>
      </c>
      <c r="C1454" s="11" t="s">
        <v>1472</v>
      </c>
      <c r="D1454" s="1" t="s">
        <v>9</v>
      </c>
      <c r="E1454" s="1" t="s">
        <v>20</v>
      </c>
      <c r="F1454" s="1" t="str">
        <f aca="false">TEXT(B1454,"mmm-yyyy")</f>
        <v>Dec-2024</v>
      </c>
    </row>
    <row r="1455" customFormat="false" ht="101.25" hidden="false" customHeight="true" outlineLevel="0" collapsed="false">
      <c r="A1455" s="1" t="n">
        <v>1</v>
      </c>
      <c r="B1455" s="10" t="n">
        <v>45647</v>
      </c>
      <c r="C1455" s="11" t="s">
        <v>1473</v>
      </c>
      <c r="D1455" s="1" t="s">
        <v>9</v>
      </c>
      <c r="E1455" s="1" t="s">
        <v>20</v>
      </c>
      <c r="F1455" s="1" t="str">
        <f aca="false">TEXT(B1455,"mmm-yyyy")</f>
        <v>Dec-2024</v>
      </c>
    </row>
    <row r="1456" customFormat="false" ht="115.5" hidden="false" customHeight="true" outlineLevel="0" collapsed="false">
      <c r="A1456" s="1" t="n">
        <v>1</v>
      </c>
      <c r="B1456" s="10" t="n">
        <v>45593</v>
      </c>
      <c r="C1456" s="11" t="s">
        <v>1474</v>
      </c>
      <c r="D1456" s="1" t="s">
        <v>9</v>
      </c>
      <c r="E1456" s="1" t="s">
        <v>18</v>
      </c>
      <c r="F1456" s="1" t="str">
        <f aca="false">TEXT(B1456,"mmm-yyyy")</f>
        <v>Oct-2024</v>
      </c>
    </row>
    <row r="1457" customFormat="false" ht="115.5" hidden="false" customHeight="true" outlineLevel="0" collapsed="false">
      <c r="A1457" s="1" t="n">
        <v>1</v>
      </c>
      <c r="B1457" s="10" t="n">
        <v>45604</v>
      </c>
      <c r="C1457" s="11" t="s">
        <v>1475</v>
      </c>
      <c r="D1457" s="1" t="s">
        <v>9</v>
      </c>
      <c r="E1457" s="1" t="s">
        <v>20</v>
      </c>
      <c r="F1457" s="1" t="str">
        <f aca="false">TEXT(B1457,"mmm-yyyy")</f>
        <v>Nov-2024</v>
      </c>
    </row>
    <row r="1458" customFormat="false" ht="87" hidden="false" customHeight="true" outlineLevel="0" collapsed="false">
      <c r="A1458" s="1" t="n">
        <v>1</v>
      </c>
      <c r="B1458" s="10" t="n">
        <v>45647</v>
      </c>
      <c r="C1458" s="11" t="s">
        <v>1476</v>
      </c>
      <c r="D1458" s="1" t="s">
        <v>9</v>
      </c>
      <c r="E1458" s="1" t="s">
        <v>20</v>
      </c>
      <c r="F1458" s="1" t="str">
        <f aca="false">TEXT(B1458,"mmm-yyyy")</f>
        <v>Dec-2024</v>
      </c>
    </row>
    <row r="1459" customFormat="false" ht="87" hidden="false" customHeight="true" outlineLevel="0" collapsed="false">
      <c r="A1459" s="1" t="n">
        <v>1</v>
      </c>
      <c r="B1459" s="10" t="n">
        <v>45606</v>
      </c>
      <c r="C1459" s="11" t="s">
        <v>1477</v>
      </c>
      <c r="D1459" s="1" t="s">
        <v>9</v>
      </c>
      <c r="E1459" s="1" t="s">
        <v>18</v>
      </c>
      <c r="F1459" s="1" t="str">
        <f aca="false">TEXT(B1459,"mmm-yyyy")</f>
        <v>Nov-2024</v>
      </c>
    </row>
    <row r="1460" customFormat="false" ht="101.25" hidden="false" customHeight="true" outlineLevel="0" collapsed="false">
      <c r="A1460" s="1" t="n">
        <v>1</v>
      </c>
      <c r="B1460" s="10" t="n">
        <v>45634</v>
      </c>
      <c r="C1460" s="11" t="s">
        <v>1478</v>
      </c>
      <c r="D1460" s="1" t="s">
        <v>9</v>
      </c>
      <c r="E1460" s="1" t="s">
        <v>20</v>
      </c>
      <c r="F1460" s="1" t="str">
        <f aca="false">TEXT(B1460,"mmm-yyyy")</f>
        <v>Dec-2024</v>
      </c>
    </row>
    <row r="1461" customFormat="false" ht="72" hidden="false" customHeight="true" outlineLevel="0" collapsed="false">
      <c r="A1461" s="1" t="n">
        <v>1</v>
      </c>
      <c r="B1461" s="10" t="n">
        <v>45651</v>
      </c>
      <c r="C1461" s="11" t="s">
        <v>1479</v>
      </c>
      <c r="D1461" s="1" t="s">
        <v>9</v>
      </c>
      <c r="E1461" s="1" t="s">
        <v>18</v>
      </c>
      <c r="F1461" s="1" t="str">
        <f aca="false">TEXT(B1461,"mmm-yyyy")</f>
        <v>Dec-2024</v>
      </c>
    </row>
    <row r="1462" customFormat="false" ht="87" hidden="false" customHeight="true" outlineLevel="0" collapsed="false">
      <c r="A1462" s="1" t="n">
        <v>1</v>
      </c>
      <c r="B1462" s="10" t="n">
        <v>45633</v>
      </c>
      <c r="C1462" s="11" t="s">
        <v>1480</v>
      </c>
      <c r="D1462" s="1" t="s">
        <v>9</v>
      </c>
      <c r="E1462" s="1" t="s">
        <v>18</v>
      </c>
      <c r="F1462" s="1" t="str">
        <f aca="false">TEXT(B1462,"mmm-yyyy")</f>
        <v>Dec-2024</v>
      </c>
    </row>
    <row r="1463" customFormat="false" ht="72" hidden="false" customHeight="true" outlineLevel="0" collapsed="false">
      <c r="A1463" s="1" t="n">
        <v>1</v>
      </c>
      <c r="B1463" s="10" t="n">
        <v>45653</v>
      </c>
      <c r="C1463" s="11" t="s">
        <v>1481</v>
      </c>
      <c r="D1463" s="1" t="s">
        <v>9</v>
      </c>
      <c r="E1463" s="1" t="s">
        <v>20</v>
      </c>
      <c r="F1463" s="1" t="str">
        <f aca="false">TEXT(B1463,"mmm-yyyy")</f>
        <v>Dec-2024</v>
      </c>
    </row>
    <row r="1464" customFormat="false" ht="115.5" hidden="false" customHeight="true" outlineLevel="0" collapsed="false">
      <c r="A1464" s="1" t="n">
        <v>1</v>
      </c>
      <c r="B1464" s="10" t="n">
        <v>45654</v>
      </c>
      <c r="C1464" s="11" t="s">
        <v>1482</v>
      </c>
      <c r="D1464" s="1" t="s">
        <v>9</v>
      </c>
      <c r="E1464" s="1" t="s">
        <v>18</v>
      </c>
      <c r="F1464" s="1" t="str">
        <f aca="false">TEXT(B1464,"mmm-yyyy")</f>
        <v>Dec-2024</v>
      </c>
    </row>
    <row r="1465" customFormat="false" ht="87" hidden="false" customHeight="true" outlineLevel="0" collapsed="false">
      <c r="A1465" s="1" t="n">
        <v>1</v>
      </c>
      <c r="B1465" s="10" t="n">
        <v>45650</v>
      </c>
      <c r="C1465" s="11" t="s">
        <v>1483</v>
      </c>
      <c r="D1465" s="1" t="s">
        <v>9</v>
      </c>
      <c r="E1465" s="1" t="s">
        <v>20</v>
      </c>
      <c r="F1465" s="1" t="str">
        <f aca="false">TEXT(B1465,"mmm-yyyy")</f>
        <v>Dec-2024</v>
      </c>
    </row>
    <row r="1466" customFormat="false" ht="144.75" hidden="false" customHeight="true" outlineLevel="0" collapsed="false">
      <c r="A1466" s="1" t="n">
        <v>1</v>
      </c>
      <c r="B1466" s="10" t="n">
        <v>45628</v>
      </c>
      <c r="C1466" s="11" t="s">
        <v>1484</v>
      </c>
      <c r="D1466" s="1" t="s">
        <v>9</v>
      </c>
      <c r="E1466" s="1" t="s">
        <v>20</v>
      </c>
      <c r="F1466" s="1" t="str">
        <f aca="false">TEXT(B1466,"mmm-yyyy")</f>
        <v>Dec-2024</v>
      </c>
    </row>
    <row r="1467" customFormat="false" ht="57.75" hidden="false" customHeight="true" outlineLevel="0" collapsed="false">
      <c r="A1467" s="1" t="n">
        <v>1</v>
      </c>
      <c r="B1467" s="10" t="n">
        <v>45643</v>
      </c>
      <c r="C1467" s="11" t="s">
        <v>1485</v>
      </c>
      <c r="D1467" s="1" t="s">
        <v>9</v>
      </c>
      <c r="E1467" s="1" t="s">
        <v>20</v>
      </c>
      <c r="F1467" s="1" t="str">
        <f aca="false">TEXT(B1467,"mmm-yyyy")</f>
        <v>Dec-2024</v>
      </c>
    </row>
    <row r="1468" customFormat="false" ht="115.5" hidden="false" customHeight="true" outlineLevel="0" collapsed="false">
      <c r="A1468" s="1" t="n">
        <v>1</v>
      </c>
      <c r="B1468" s="10" t="n">
        <v>45606</v>
      </c>
      <c r="C1468" s="11" t="s">
        <v>1486</v>
      </c>
      <c r="D1468" s="1" t="s">
        <v>9</v>
      </c>
      <c r="E1468" s="1" t="s">
        <v>20</v>
      </c>
      <c r="F1468" s="1" t="str">
        <f aca="false">TEXT(B1468,"mmm-yyyy")</f>
        <v>Nov-2024</v>
      </c>
    </row>
    <row r="1469" customFormat="false" ht="115.5" hidden="false" customHeight="true" outlineLevel="0" collapsed="false">
      <c r="A1469" s="1" t="n">
        <v>1</v>
      </c>
      <c r="B1469" s="10" t="n">
        <v>45632</v>
      </c>
      <c r="C1469" s="11" t="s">
        <v>1487</v>
      </c>
      <c r="D1469" s="1" t="s">
        <v>9</v>
      </c>
      <c r="E1469" s="1" t="s">
        <v>20</v>
      </c>
      <c r="F1469" s="1" t="str">
        <f aca="false">TEXT(B1469,"mmm-yyyy")</f>
        <v>Dec-2024</v>
      </c>
    </row>
    <row r="1470" customFormat="false" ht="57.75" hidden="false" customHeight="true" outlineLevel="0" collapsed="false">
      <c r="A1470" s="1" t="n">
        <v>1</v>
      </c>
      <c r="B1470" s="10" t="n">
        <v>45646</v>
      </c>
      <c r="C1470" s="11" t="s">
        <v>1488</v>
      </c>
      <c r="D1470" s="1" t="s">
        <v>9</v>
      </c>
      <c r="E1470" s="1" t="s">
        <v>20</v>
      </c>
      <c r="F1470" s="1" t="str">
        <f aca="false">TEXT(B1470,"mmm-yyyy")</f>
        <v>Dec-2024</v>
      </c>
    </row>
    <row r="1471" customFormat="false" ht="115.5" hidden="false" customHeight="true" outlineLevel="0" collapsed="false">
      <c r="A1471" s="1" t="n">
        <v>1</v>
      </c>
      <c r="B1471" s="10" t="n">
        <v>45602</v>
      </c>
      <c r="C1471" s="11" t="s">
        <v>1489</v>
      </c>
      <c r="D1471" s="1" t="s">
        <v>9</v>
      </c>
      <c r="E1471" s="1" t="s">
        <v>18</v>
      </c>
      <c r="F1471" s="1" t="str">
        <f aca="false">TEXT(B1471,"mmm-yyyy")</f>
        <v>Nov-2024</v>
      </c>
    </row>
    <row r="1472" customFormat="false" ht="87" hidden="false" customHeight="true" outlineLevel="0" collapsed="false">
      <c r="A1472" s="1" t="n">
        <v>1</v>
      </c>
      <c r="B1472" s="10" t="n">
        <v>45637</v>
      </c>
      <c r="C1472" s="11" t="s">
        <v>1490</v>
      </c>
      <c r="D1472" s="1" t="s">
        <v>9</v>
      </c>
      <c r="E1472" s="1" t="s">
        <v>20</v>
      </c>
      <c r="F1472" s="1" t="str">
        <f aca="false">TEXT(B1472,"mmm-yyyy")</f>
        <v>Dec-2024</v>
      </c>
    </row>
    <row r="1473" customFormat="false" ht="101.25" hidden="false" customHeight="true" outlineLevel="0" collapsed="false">
      <c r="A1473" s="1" t="n">
        <v>1</v>
      </c>
      <c r="B1473" s="10" t="n">
        <v>45609</v>
      </c>
      <c r="C1473" s="11" t="s">
        <v>1491</v>
      </c>
      <c r="D1473" s="1" t="s">
        <v>9</v>
      </c>
      <c r="E1473" s="1" t="s">
        <v>20</v>
      </c>
      <c r="F1473" s="1" t="str">
        <f aca="false">TEXT(B1473,"mmm-yyyy")</f>
        <v>Nov-2024</v>
      </c>
    </row>
    <row r="1474" customFormat="false" ht="130.5" hidden="false" customHeight="true" outlineLevel="0" collapsed="false">
      <c r="A1474" s="1" t="n">
        <v>1</v>
      </c>
      <c r="B1474" s="10" t="n">
        <v>45634</v>
      </c>
      <c r="C1474" s="11" t="s">
        <v>1492</v>
      </c>
      <c r="D1474" s="1" t="s">
        <v>9</v>
      </c>
      <c r="E1474" s="1" t="s">
        <v>20</v>
      </c>
      <c r="F1474" s="1" t="str">
        <f aca="false">TEXT(B1474,"mmm-yyyy")</f>
        <v>Dec-2024</v>
      </c>
    </row>
    <row r="1475" customFormat="false" ht="130.5" hidden="false" customHeight="true" outlineLevel="0" collapsed="false">
      <c r="A1475" s="1" t="n">
        <v>1</v>
      </c>
      <c r="B1475" s="10" t="n">
        <v>45636</v>
      </c>
      <c r="C1475" s="11" t="s">
        <v>1493</v>
      </c>
      <c r="D1475" s="1" t="s">
        <v>9</v>
      </c>
      <c r="E1475" s="1" t="s">
        <v>20</v>
      </c>
      <c r="F1475" s="1" t="str">
        <f aca="false">TEXT(B1475,"mmm-yyyy")</f>
        <v>Dec-2024</v>
      </c>
    </row>
    <row r="1476" customFormat="false" ht="101.25" hidden="false" customHeight="true" outlineLevel="0" collapsed="false">
      <c r="A1476" s="1" t="n">
        <v>1</v>
      </c>
      <c r="B1476" s="10" t="n">
        <v>45636</v>
      </c>
      <c r="C1476" s="11" t="s">
        <v>1494</v>
      </c>
      <c r="D1476" s="1" t="s">
        <v>9</v>
      </c>
      <c r="E1476" s="1" t="s">
        <v>18</v>
      </c>
      <c r="F1476" s="1" t="str">
        <f aca="false">TEXT(B1476,"mmm-yyyy")</f>
        <v>Dec-2024</v>
      </c>
    </row>
    <row r="1477" customFormat="false" ht="57.75" hidden="false" customHeight="true" outlineLevel="0" collapsed="false">
      <c r="A1477" s="1" t="n">
        <v>3</v>
      </c>
      <c r="B1477" s="10" t="n">
        <v>45634</v>
      </c>
      <c r="C1477" s="11" t="s">
        <v>1495</v>
      </c>
      <c r="D1477" s="1" t="s">
        <v>9</v>
      </c>
      <c r="E1477" s="1" t="s">
        <v>20</v>
      </c>
      <c r="F1477" s="1" t="str">
        <f aca="false">TEXT(B1477,"mmm-yyyy")</f>
        <v>Dec-2024</v>
      </c>
    </row>
    <row r="1478" customFormat="false" ht="101.25" hidden="false" customHeight="true" outlineLevel="0" collapsed="false">
      <c r="A1478" s="1" t="n">
        <v>2</v>
      </c>
      <c r="B1478" s="10" t="n">
        <v>45635</v>
      </c>
      <c r="C1478" s="11" t="s">
        <v>1496</v>
      </c>
      <c r="D1478" s="1" t="s">
        <v>9</v>
      </c>
      <c r="E1478" s="1" t="s">
        <v>20</v>
      </c>
      <c r="F1478" s="1" t="str">
        <f aca="false">TEXT(B1478,"mmm-yyyy")</f>
        <v>Dec-2024</v>
      </c>
    </row>
    <row r="1479" customFormat="false" ht="101.25" hidden="false" customHeight="true" outlineLevel="0" collapsed="false">
      <c r="A1479" s="1" t="n">
        <v>1</v>
      </c>
      <c r="B1479" s="10" t="n">
        <v>45634</v>
      </c>
      <c r="C1479" s="11" t="s">
        <v>1497</v>
      </c>
      <c r="D1479" s="1" t="s">
        <v>9</v>
      </c>
      <c r="E1479" s="1" t="s">
        <v>20</v>
      </c>
      <c r="F1479" s="1" t="str">
        <f aca="false">TEXT(B1479,"mmm-yyyy")</f>
        <v>Dec-2024</v>
      </c>
    </row>
    <row r="1480" customFormat="false" ht="115.5" hidden="false" customHeight="true" outlineLevel="0" collapsed="false">
      <c r="A1480" s="1" t="n">
        <v>1</v>
      </c>
      <c r="B1480" s="10" t="n">
        <v>45629</v>
      </c>
      <c r="C1480" s="11" t="s">
        <v>1498</v>
      </c>
      <c r="D1480" s="1" t="s">
        <v>9</v>
      </c>
      <c r="E1480" s="1" t="s">
        <v>20</v>
      </c>
      <c r="F1480" s="1" t="str">
        <f aca="false">TEXT(B1480,"mmm-yyyy")</f>
        <v>Dec-2024</v>
      </c>
    </row>
    <row r="1481" customFormat="false" ht="87" hidden="false" customHeight="true" outlineLevel="0" collapsed="false">
      <c r="A1481" s="1" t="n">
        <v>1</v>
      </c>
      <c r="B1481" s="10" t="n">
        <v>45655</v>
      </c>
      <c r="C1481" s="11" t="s">
        <v>1499</v>
      </c>
      <c r="D1481" s="1" t="s">
        <v>9</v>
      </c>
      <c r="E1481" s="1" t="s">
        <v>20</v>
      </c>
      <c r="F1481" s="1" t="str">
        <f aca="false">TEXT(B1481,"mmm-yyyy")</f>
        <v>Dec-2024</v>
      </c>
    </row>
    <row r="1482" customFormat="false" ht="87" hidden="false" customHeight="true" outlineLevel="0" collapsed="false">
      <c r="A1482" s="1" t="n">
        <v>1</v>
      </c>
      <c r="B1482" s="10" t="n">
        <v>45602</v>
      </c>
      <c r="C1482" s="11" t="s">
        <v>1500</v>
      </c>
      <c r="D1482" s="1" t="s">
        <v>9</v>
      </c>
      <c r="E1482" s="1" t="s">
        <v>20</v>
      </c>
      <c r="F1482" s="1" t="str">
        <f aca="false">TEXT(B1482,"mmm-yyyy")</f>
        <v>Nov-2024</v>
      </c>
    </row>
    <row r="1483" customFormat="false" ht="130.5" hidden="false" customHeight="true" outlineLevel="0" collapsed="false">
      <c r="A1483" s="1" t="n">
        <v>1</v>
      </c>
      <c r="B1483" s="10" t="n">
        <v>45630</v>
      </c>
      <c r="C1483" s="11" t="s">
        <v>1501</v>
      </c>
      <c r="D1483" s="1" t="s">
        <v>9</v>
      </c>
      <c r="E1483" s="1" t="s">
        <v>20</v>
      </c>
      <c r="F1483" s="1" t="str">
        <f aca="false">TEXT(B1483,"mmm-yyyy")</f>
        <v>Dec-2024</v>
      </c>
    </row>
    <row r="1484" customFormat="false" ht="101.25" hidden="false" customHeight="true" outlineLevel="0" collapsed="false">
      <c r="A1484" s="1" t="n">
        <v>1</v>
      </c>
      <c r="B1484" s="10" t="n">
        <v>45646</v>
      </c>
      <c r="C1484" s="11" t="s">
        <v>1502</v>
      </c>
      <c r="D1484" s="1" t="s">
        <v>9</v>
      </c>
      <c r="E1484" s="1" t="s">
        <v>20</v>
      </c>
      <c r="F1484" s="1" t="str">
        <f aca="false">TEXT(B1484,"mmm-yyyy")</f>
        <v>Dec-2024</v>
      </c>
    </row>
    <row r="1485" customFormat="false" ht="115.5" hidden="false" customHeight="true" outlineLevel="0" collapsed="false">
      <c r="A1485" s="1" t="n">
        <v>1</v>
      </c>
      <c r="B1485" s="10" t="n">
        <v>45594</v>
      </c>
      <c r="C1485" s="11" t="s">
        <v>1503</v>
      </c>
      <c r="D1485" s="1" t="s">
        <v>9</v>
      </c>
      <c r="E1485" s="1" t="s">
        <v>20</v>
      </c>
      <c r="F1485" s="1" t="str">
        <f aca="false">TEXT(B1485,"mmm-yyyy")</f>
        <v>Oct-2024</v>
      </c>
    </row>
    <row r="1486" customFormat="false" ht="87" hidden="false" customHeight="true" outlineLevel="0" collapsed="false">
      <c r="A1486" s="1" t="n">
        <v>1</v>
      </c>
      <c r="B1486" s="10" t="n">
        <v>45629</v>
      </c>
      <c r="C1486" s="11" t="s">
        <v>1504</v>
      </c>
      <c r="D1486" s="1" t="s">
        <v>9</v>
      </c>
      <c r="E1486" s="1" t="s">
        <v>20</v>
      </c>
      <c r="F1486" s="1" t="str">
        <f aca="false">TEXT(B1486,"mmm-yyyy")</f>
        <v>Dec-2024</v>
      </c>
    </row>
    <row r="1487" customFormat="false" ht="115.5" hidden="false" customHeight="true" outlineLevel="0" collapsed="false">
      <c r="A1487" s="1" t="n">
        <v>1</v>
      </c>
      <c r="B1487" s="10" t="n">
        <v>45594</v>
      </c>
      <c r="C1487" s="11" t="s">
        <v>1505</v>
      </c>
      <c r="D1487" s="1" t="s">
        <v>9</v>
      </c>
      <c r="E1487" s="1" t="s">
        <v>18</v>
      </c>
      <c r="F1487" s="1" t="str">
        <f aca="false">TEXT(B1487,"mmm-yyyy")</f>
        <v>Oct-2024</v>
      </c>
    </row>
    <row r="1488" customFormat="false" ht="101.25" hidden="false" customHeight="true" outlineLevel="0" collapsed="false">
      <c r="A1488" s="1" t="n">
        <v>1</v>
      </c>
      <c r="B1488" s="10" t="n">
        <v>45606</v>
      </c>
      <c r="C1488" s="11" t="s">
        <v>1506</v>
      </c>
      <c r="D1488" s="1" t="s">
        <v>9</v>
      </c>
      <c r="E1488" s="1" t="s">
        <v>18</v>
      </c>
      <c r="F1488" s="1" t="str">
        <f aca="false">TEXT(B1488,"mmm-yyyy")</f>
        <v>Nov-2024</v>
      </c>
    </row>
    <row r="1489" customFormat="false" ht="72" hidden="false" customHeight="true" outlineLevel="0" collapsed="false">
      <c r="A1489" s="1" t="n">
        <v>4</v>
      </c>
      <c r="B1489" s="10" t="n">
        <v>45595</v>
      </c>
      <c r="C1489" s="11" t="s">
        <v>1507</v>
      </c>
      <c r="D1489" s="1" t="s">
        <v>9</v>
      </c>
      <c r="E1489" s="1" t="s">
        <v>18</v>
      </c>
      <c r="F1489" s="1" t="str">
        <f aca="false">TEXT(B1489,"mmm-yyyy")</f>
        <v>Oct-2024</v>
      </c>
    </row>
    <row r="1490" customFormat="false" ht="130.5" hidden="false" customHeight="true" outlineLevel="0" collapsed="false">
      <c r="A1490" s="1" t="n">
        <v>1</v>
      </c>
      <c r="B1490" s="10" t="n">
        <v>45605</v>
      </c>
      <c r="C1490" s="11" t="s">
        <v>1508</v>
      </c>
      <c r="D1490" s="1" t="s">
        <v>9</v>
      </c>
      <c r="E1490" s="1" t="s">
        <v>20</v>
      </c>
      <c r="F1490" s="1" t="str">
        <f aca="false">TEXT(B1490,"mmm-yyyy")</f>
        <v>Nov-2024</v>
      </c>
    </row>
    <row r="1491" customFormat="false" ht="57.75" hidden="false" customHeight="true" outlineLevel="0" collapsed="false">
      <c r="A1491" s="1" t="n">
        <v>1</v>
      </c>
      <c r="B1491" s="10" t="n">
        <v>45598</v>
      </c>
      <c r="C1491" s="11" t="s">
        <v>1509</v>
      </c>
      <c r="D1491" s="1" t="s">
        <v>9</v>
      </c>
      <c r="E1491" s="1" t="s">
        <v>20</v>
      </c>
      <c r="F1491" s="1" t="str">
        <f aca="false">TEXT(B1491,"mmm-yyyy")</f>
        <v>Nov-2024</v>
      </c>
    </row>
    <row r="1492" customFormat="false" ht="115.5" hidden="false" customHeight="true" outlineLevel="0" collapsed="false">
      <c r="A1492" s="1" t="n">
        <v>1</v>
      </c>
      <c r="B1492" s="10" t="n">
        <v>45606</v>
      </c>
      <c r="C1492" s="11" t="s">
        <v>1510</v>
      </c>
      <c r="D1492" s="1" t="s">
        <v>9</v>
      </c>
      <c r="E1492" s="1" t="s">
        <v>20</v>
      </c>
      <c r="F1492" s="1" t="str">
        <f aca="false">TEXT(B1492,"mmm-yyyy")</f>
        <v>Nov-2024</v>
      </c>
    </row>
    <row r="1493" customFormat="false" ht="115.5" hidden="false" customHeight="true" outlineLevel="0" collapsed="false">
      <c r="A1493" s="1" t="n">
        <v>1</v>
      </c>
      <c r="B1493" s="10" t="n">
        <v>45597</v>
      </c>
      <c r="C1493" s="11" t="s">
        <v>1511</v>
      </c>
      <c r="D1493" s="1" t="s">
        <v>9</v>
      </c>
      <c r="E1493" s="1" t="s">
        <v>20</v>
      </c>
      <c r="F1493" s="1" t="str">
        <f aca="false">TEXT(B1493,"mmm-yyyy")</f>
        <v>Nov-2024</v>
      </c>
    </row>
    <row r="1494" customFormat="false" ht="72" hidden="false" customHeight="true" outlineLevel="0" collapsed="false">
      <c r="A1494" s="1" t="n">
        <v>1</v>
      </c>
      <c r="B1494" s="10" t="n">
        <v>45616</v>
      </c>
      <c r="C1494" s="11" t="s">
        <v>1512</v>
      </c>
      <c r="D1494" s="1" t="s">
        <v>9</v>
      </c>
      <c r="E1494" s="1" t="s">
        <v>20</v>
      </c>
      <c r="F1494" s="1" t="str">
        <f aca="false">TEXT(B1494,"mmm-yyyy")</f>
        <v>Nov-2024</v>
      </c>
    </row>
    <row r="1495" customFormat="false" ht="115.5" hidden="false" customHeight="true" outlineLevel="0" collapsed="false">
      <c r="A1495" s="1" t="n">
        <v>1</v>
      </c>
      <c r="B1495" s="10" t="n">
        <v>45589</v>
      </c>
      <c r="C1495" s="11" t="s">
        <v>1513</v>
      </c>
      <c r="D1495" s="1" t="s">
        <v>9</v>
      </c>
      <c r="E1495" s="1" t="s">
        <v>20</v>
      </c>
      <c r="F1495" s="1" t="str">
        <f aca="false">TEXT(B1495,"mmm-yyyy")</f>
        <v>Oct-2024</v>
      </c>
    </row>
    <row r="1496" customFormat="false" ht="72" hidden="false" customHeight="true" outlineLevel="0" collapsed="false">
      <c r="A1496" s="1" t="n">
        <v>1</v>
      </c>
      <c r="B1496" s="10" t="n">
        <v>45618</v>
      </c>
      <c r="C1496" s="11" t="s">
        <v>1514</v>
      </c>
      <c r="D1496" s="1" t="s">
        <v>9</v>
      </c>
      <c r="E1496" s="1" t="s">
        <v>20</v>
      </c>
      <c r="F1496" s="1" t="str">
        <f aca="false">TEXT(B1496,"mmm-yyyy")</f>
        <v>Nov-2024</v>
      </c>
    </row>
    <row r="1497" customFormat="false" ht="130.5" hidden="false" customHeight="true" outlineLevel="0" collapsed="false">
      <c r="A1497" s="1" t="n">
        <v>3</v>
      </c>
      <c r="B1497" s="10" t="n">
        <v>45606</v>
      </c>
      <c r="C1497" s="11" t="s">
        <v>1515</v>
      </c>
      <c r="D1497" s="1" t="s">
        <v>9</v>
      </c>
      <c r="E1497" s="1" t="s">
        <v>18</v>
      </c>
      <c r="F1497" s="1" t="str">
        <f aca="false">TEXT(B1497,"mmm-yyyy")</f>
        <v>Nov-2024</v>
      </c>
    </row>
    <row r="1498" customFormat="false" ht="144.75" hidden="false" customHeight="true" outlineLevel="0" collapsed="false">
      <c r="A1498" s="1" t="n">
        <v>1</v>
      </c>
      <c r="B1498" s="10" t="n">
        <v>45601</v>
      </c>
      <c r="C1498" s="11" t="s">
        <v>1516</v>
      </c>
      <c r="D1498" s="1" t="s">
        <v>9</v>
      </c>
      <c r="E1498" s="1" t="s">
        <v>20</v>
      </c>
      <c r="F1498" s="1" t="str">
        <f aca="false">TEXT(B1498,"mmm-yyyy")</f>
        <v>Nov-2024</v>
      </c>
    </row>
    <row r="1499" customFormat="false" ht="101.25" hidden="false" customHeight="true" outlineLevel="0" collapsed="false">
      <c r="A1499" s="1" t="n">
        <v>1</v>
      </c>
      <c r="B1499" s="10" t="n">
        <v>45592</v>
      </c>
      <c r="C1499" s="11" t="s">
        <v>1517</v>
      </c>
      <c r="D1499" s="1" t="s">
        <v>9</v>
      </c>
      <c r="E1499" s="1" t="s">
        <v>20</v>
      </c>
      <c r="F1499" s="1" t="str">
        <f aca="false">TEXT(B1499,"mmm-yyyy")</f>
        <v>Oct-2024</v>
      </c>
    </row>
    <row r="1500" customFormat="false" ht="101.25" hidden="false" customHeight="true" outlineLevel="0" collapsed="false">
      <c r="A1500" s="1" t="n">
        <v>1</v>
      </c>
      <c r="B1500" s="10" t="n">
        <v>45596</v>
      </c>
      <c r="C1500" s="11" t="s">
        <v>1518</v>
      </c>
      <c r="D1500" s="1" t="s">
        <v>9</v>
      </c>
      <c r="E1500" s="1" t="s">
        <v>20</v>
      </c>
      <c r="F1500" s="1" t="str">
        <f aca="false">TEXT(B1500,"mmm-yyyy")</f>
        <v>Oct-2024</v>
      </c>
    </row>
    <row r="1501" customFormat="false" ht="130.5" hidden="false" customHeight="true" outlineLevel="0" collapsed="false">
      <c r="A1501" s="1" t="n">
        <v>1</v>
      </c>
      <c r="B1501" s="10" t="n">
        <v>45626</v>
      </c>
      <c r="C1501" s="11" t="s">
        <v>1519</v>
      </c>
      <c r="D1501" s="1" t="s">
        <v>9</v>
      </c>
      <c r="E1501" s="1" t="s">
        <v>20</v>
      </c>
      <c r="F1501" s="1" t="str">
        <f aca="false">TEXT(B1501,"mmm-yyyy")</f>
        <v>Nov-2024</v>
      </c>
    </row>
    <row r="1502" customFormat="false" ht="72" hidden="false" customHeight="true" outlineLevel="0" collapsed="false">
      <c r="A1502" s="1" t="n">
        <v>1</v>
      </c>
      <c r="B1502" s="10" t="n">
        <v>45618</v>
      </c>
      <c r="C1502" s="11" t="s">
        <v>1520</v>
      </c>
      <c r="D1502" s="1" t="s">
        <v>9</v>
      </c>
      <c r="E1502" s="1" t="s">
        <v>20</v>
      </c>
      <c r="F1502" s="1" t="str">
        <f aca="false">TEXT(B1502,"mmm-yyyy")</f>
        <v>Nov-2024</v>
      </c>
    </row>
    <row r="1503" customFormat="false" ht="57.75" hidden="false" customHeight="true" outlineLevel="0" collapsed="false">
      <c r="A1503" s="1" t="n">
        <v>1</v>
      </c>
      <c r="B1503" s="10" t="n">
        <v>45592</v>
      </c>
      <c r="C1503" s="11" t="s">
        <v>1521</v>
      </c>
      <c r="D1503" s="1" t="s">
        <v>9</v>
      </c>
      <c r="E1503" s="1" t="s">
        <v>20</v>
      </c>
      <c r="F1503" s="1" t="str">
        <f aca="false">TEXT(B1503,"mmm-yyyy")</f>
        <v>Oct-2024</v>
      </c>
    </row>
    <row r="1504" customFormat="false" ht="130.5" hidden="false" customHeight="true" outlineLevel="0" collapsed="false">
      <c r="A1504" s="1" t="n">
        <v>1</v>
      </c>
      <c r="B1504" s="10" t="n">
        <v>45604</v>
      </c>
      <c r="C1504" s="11" t="s">
        <v>1522</v>
      </c>
      <c r="D1504" s="1" t="s">
        <v>9</v>
      </c>
      <c r="E1504" s="1" t="s">
        <v>20</v>
      </c>
      <c r="F1504" s="1" t="str">
        <f aca="false">TEXT(B1504,"mmm-yyyy")</f>
        <v>Nov-2024</v>
      </c>
    </row>
    <row r="1505" customFormat="false" ht="130.5" hidden="false" customHeight="true" outlineLevel="0" collapsed="false">
      <c r="A1505" s="1" t="n">
        <v>1</v>
      </c>
      <c r="B1505" s="10" t="n">
        <v>45598</v>
      </c>
      <c r="C1505" s="11" t="s">
        <v>1523</v>
      </c>
      <c r="D1505" s="1" t="s">
        <v>9</v>
      </c>
      <c r="E1505" s="1" t="s">
        <v>20</v>
      </c>
      <c r="F1505" s="1" t="str">
        <f aca="false">TEXT(B1505,"mmm-yyyy")</f>
        <v>Nov-2024</v>
      </c>
    </row>
    <row r="1506" customFormat="false" ht="130.5" hidden="false" customHeight="true" outlineLevel="0" collapsed="false">
      <c r="A1506" s="1" t="n">
        <v>1</v>
      </c>
      <c r="B1506" s="10" t="n">
        <v>45614</v>
      </c>
      <c r="C1506" s="11" t="s">
        <v>1524</v>
      </c>
      <c r="D1506" s="1" t="s">
        <v>9</v>
      </c>
      <c r="E1506" s="1" t="s">
        <v>20</v>
      </c>
      <c r="F1506" s="1" t="str">
        <f aca="false">TEXT(B1506,"mmm-yyyy")</f>
        <v>Nov-2024</v>
      </c>
    </row>
    <row r="1507" customFormat="false" ht="101.25" hidden="false" customHeight="true" outlineLevel="0" collapsed="false">
      <c r="A1507" s="1" t="n">
        <v>1</v>
      </c>
      <c r="B1507" s="10" t="n">
        <v>45628</v>
      </c>
      <c r="C1507" s="11" t="s">
        <v>1525</v>
      </c>
      <c r="D1507" s="1" t="s">
        <v>9</v>
      </c>
      <c r="E1507" s="1" t="s">
        <v>32</v>
      </c>
      <c r="F1507" s="1" t="str">
        <f aca="false">TEXT(B1507,"mmm-yyyy")</f>
        <v>Dec-2024</v>
      </c>
    </row>
    <row r="1508" customFormat="false" ht="57.75" hidden="false" customHeight="true" outlineLevel="0" collapsed="false">
      <c r="A1508" s="1" t="n">
        <v>3</v>
      </c>
      <c r="B1508" s="10" t="n">
        <v>45611</v>
      </c>
      <c r="C1508" s="11" t="s">
        <v>1526</v>
      </c>
      <c r="D1508" s="1" t="s">
        <v>9</v>
      </c>
      <c r="E1508" s="1" t="s">
        <v>18</v>
      </c>
      <c r="F1508" s="1" t="str">
        <f aca="false">TEXT(B1508,"mmm-yyyy")</f>
        <v>Nov-2024</v>
      </c>
    </row>
    <row r="1509" customFormat="false" ht="130.5" hidden="false" customHeight="true" outlineLevel="0" collapsed="false">
      <c r="A1509" s="1" t="n">
        <v>1</v>
      </c>
      <c r="B1509" s="10" t="n">
        <v>45603</v>
      </c>
      <c r="C1509" s="11" t="s">
        <v>1527</v>
      </c>
      <c r="D1509" s="1" t="s">
        <v>9</v>
      </c>
      <c r="E1509" s="1" t="s">
        <v>20</v>
      </c>
      <c r="F1509" s="1" t="str">
        <f aca="false">TEXT(B1509,"mmm-yyyy")</f>
        <v>Nov-2024</v>
      </c>
    </row>
    <row r="1510" customFormat="false" ht="72" hidden="false" customHeight="true" outlineLevel="0" collapsed="false">
      <c r="A1510" s="1" t="n">
        <v>1</v>
      </c>
      <c r="B1510" s="10" t="n">
        <v>45651</v>
      </c>
      <c r="C1510" s="11" t="s">
        <v>1528</v>
      </c>
      <c r="D1510" s="1" t="s">
        <v>9</v>
      </c>
      <c r="E1510" s="1" t="s">
        <v>20</v>
      </c>
      <c r="F1510" s="1" t="str">
        <f aca="false">TEXT(B1510,"mmm-yyyy")</f>
        <v>Dec-2024</v>
      </c>
    </row>
    <row r="1511" customFormat="false" ht="87" hidden="false" customHeight="true" outlineLevel="0" collapsed="false">
      <c r="A1511" s="1" t="n">
        <v>2</v>
      </c>
      <c r="B1511" s="10" t="n">
        <v>45601</v>
      </c>
      <c r="C1511" s="11" t="s">
        <v>1529</v>
      </c>
      <c r="D1511" s="1" t="s">
        <v>9</v>
      </c>
      <c r="E1511" s="1" t="s">
        <v>18</v>
      </c>
      <c r="F1511" s="1" t="str">
        <f aca="false">TEXT(B1511,"mmm-yyyy")</f>
        <v>Nov-2024</v>
      </c>
    </row>
    <row r="1512" customFormat="false" ht="101.25" hidden="false" customHeight="true" outlineLevel="0" collapsed="false">
      <c r="A1512" s="1" t="n">
        <v>1</v>
      </c>
      <c r="B1512" s="10" t="n">
        <v>45619</v>
      </c>
      <c r="C1512" s="11" t="s">
        <v>1530</v>
      </c>
      <c r="D1512" s="1" t="s">
        <v>9</v>
      </c>
      <c r="E1512" s="1" t="s">
        <v>20</v>
      </c>
      <c r="F1512" s="1" t="str">
        <f aca="false">TEXT(B1512,"mmm-yyyy")</f>
        <v>Nov-2024</v>
      </c>
    </row>
    <row r="1513" customFormat="false" ht="72" hidden="false" customHeight="true" outlineLevel="0" collapsed="false">
      <c r="A1513" s="1" t="n">
        <v>1</v>
      </c>
      <c r="B1513" s="10" t="n">
        <v>45654</v>
      </c>
      <c r="C1513" s="11" t="s">
        <v>1531</v>
      </c>
      <c r="D1513" s="1" t="s">
        <v>9</v>
      </c>
      <c r="E1513" s="1" t="s">
        <v>20</v>
      </c>
      <c r="F1513" s="1" t="str">
        <f aca="false">TEXT(B1513,"mmm-yyyy")</f>
        <v>Dec-2024</v>
      </c>
    </row>
    <row r="1514" customFormat="false" ht="101.25" hidden="false" customHeight="true" outlineLevel="0" collapsed="false">
      <c r="A1514" s="1" t="n">
        <v>1</v>
      </c>
      <c r="B1514" s="10" t="n">
        <v>45601</v>
      </c>
      <c r="C1514" s="11" t="s">
        <v>1532</v>
      </c>
      <c r="D1514" s="1" t="s">
        <v>9</v>
      </c>
      <c r="E1514" s="1" t="s">
        <v>20</v>
      </c>
      <c r="F1514" s="1" t="str">
        <f aca="false">TEXT(B1514,"mmm-yyyy")</f>
        <v>Nov-2024</v>
      </c>
    </row>
    <row r="1515" customFormat="false" ht="101.25" hidden="false" customHeight="true" outlineLevel="0" collapsed="false">
      <c r="A1515" s="1" t="n">
        <v>1</v>
      </c>
      <c r="B1515" s="10" t="n">
        <v>45635</v>
      </c>
      <c r="C1515" s="11" t="s">
        <v>1533</v>
      </c>
      <c r="D1515" s="1" t="s">
        <v>9</v>
      </c>
      <c r="E1515" s="1" t="s">
        <v>18</v>
      </c>
      <c r="F1515" s="1" t="str">
        <f aca="false">TEXT(B1515,"mmm-yyyy")</f>
        <v>Dec-2024</v>
      </c>
    </row>
    <row r="1516" customFormat="false" ht="57.75" hidden="false" customHeight="true" outlineLevel="0" collapsed="false">
      <c r="A1516" s="1" t="n">
        <v>1</v>
      </c>
      <c r="B1516" s="10" t="n">
        <v>45653</v>
      </c>
      <c r="C1516" s="11" t="s">
        <v>1534</v>
      </c>
      <c r="D1516" s="1" t="s">
        <v>9</v>
      </c>
      <c r="E1516" s="1" t="s">
        <v>20</v>
      </c>
      <c r="F1516" s="1" t="str">
        <f aca="false">TEXT(B1516,"mmm-yyyy")</f>
        <v>Dec-2024</v>
      </c>
    </row>
    <row r="1517" customFormat="false" ht="72" hidden="false" customHeight="true" outlineLevel="0" collapsed="false">
      <c r="A1517" s="1" t="n">
        <v>4</v>
      </c>
      <c r="B1517" s="10" t="n">
        <v>45656</v>
      </c>
      <c r="C1517" s="11" t="s">
        <v>1535</v>
      </c>
      <c r="D1517" s="1" t="s">
        <v>9</v>
      </c>
      <c r="E1517" s="1" t="s">
        <v>20</v>
      </c>
      <c r="F1517" s="1" t="str">
        <f aca="false">TEXT(B1517,"mmm-yyyy")</f>
        <v>Dec-2024</v>
      </c>
    </row>
    <row r="1518" customFormat="false" ht="72" hidden="false" customHeight="true" outlineLevel="0" collapsed="false">
      <c r="A1518" s="1" t="n">
        <v>1</v>
      </c>
      <c r="B1518" s="10" t="n">
        <v>45634</v>
      </c>
      <c r="C1518" s="11" t="s">
        <v>1536</v>
      </c>
      <c r="D1518" s="1" t="s">
        <v>9</v>
      </c>
      <c r="E1518" s="1" t="s">
        <v>20</v>
      </c>
      <c r="F1518" s="1" t="str">
        <f aca="false">TEXT(B1518,"mmm-yyyy")</f>
        <v>Dec-2024</v>
      </c>
    </row>
    <row r="1519" customFormat="false" ht="87" hidden="false" customHeight="true" outlineLevel="0" collapsed="false">
      <c r="A1519" s="1" t="n">
        <v>1</v>
      </c>
      <c r="B1519" s="10" t="n">
        <v>45604</v>
      </c>
      <c r="C1519" s="11" t="s">
        <v>1537</v>
      </c>
      <c r="D1519" s="1" t="s">
        <v>9</v>
      </c>
      <c r="E1519" s="1" t="s">
        <v>18</v>
      </c>
      <c r="F1519" s="1" t="str">
        <f aca="false">TEXT(B1519,"mmm-yyyy")</f>
        <v>Nov-2024</v>
      </c>
    </row>
    <row r="1520" customFormat="false" ht="87" hidden="false" customHeight="true" outlineLevel="0" collapsed="false">
      <c r="A1520" s="1" t="n">
        <v>1</v>
      </c>
      <c r="B1520" s="10" t="n">
        <v>45615</v>
      </c>
      <c r="C1520" s="11" t="s">
        <v>1538</v>
      </c>
      <c r="D1520" s="1" t="s">
        <v>9</v>
      </c>
      <c r="E1520" s="1" t="s">
        <v>20</v>
      </c>
      <c r="F1520" s="1" t="str">
        <f aca="false">TEXT(B1520,"mmm-yyyy")</f>
        <v>Nov-2024</v>
      </c>
    </row>
    <row r="1521" customFormat="false" ht="87" hidden="false" customHeight="true" outlineLevel="0" collapsed="false">
      <c r="A1521" s="1" t="n">
        <v>1</v>
      </c>
      <c r="B1521" s="10" t="n">
        <v>45599</v>
      </c>
      <c r="C1521" s="11" t="s">
        <v>1539</v>
      </c>
      <c r="D1521" s="1" t="s">
        <v>9</v>
      </c>
      <c r="E1521" s="1" t="s">
        <v>20</v>
      </c>
      <c r="F1521" s="1" t="str">
        <f aca="false">TEXT(B1521,"mmm-yyyy")</f>
        <v>Nov-2024</v>
      </c>
    </row>
    <row r="1522" customFormat="false" ht="72" hidden="false" customHeight="true" outlineLevel="0" collapsed="false">
      <c r="A1522" s="1" t="n">
        <v>1</v>
      </c>
      <c r="B1522" s="10" t="n">
        <v>45617</v>
      </c>
      <c r="C1522" s="11" t="s">
        <v>1540</v>
      </c>
      <c r="D1522" s="1" t="s">
        <v>9</v>
      </c>
      <c r="E1522" s="1" t="s">
        <v>20</v>
      </c>
      <c r="F1522" s="1" t="str">
        <f aca="false">TEXT(B1522,"mmm-yyyy")</f>
        <v>Nov-2024</v>
      </c>
    </row>
    <row r="1523" customFormat="false" ht="57.75" hidden="false" customHeight="true" outlineLevel="0" collapsed="false">
      <c r="A1523" s="1" t="n">
        <v>1</v>
      </c>
      <c r="B1523" s="10" t="n">
        <v>45656</v>
      </c>
      <c r="C1523" s="11" t="s">
        <v>1541</v>
      </c>
      <c r="D1523" s="1" t="s">
        <v>9</v>
      </c>
      <c r="E1523" s="1" t="s">
        <v>20</v>
      </c>
      <c r="F1523" s="1" t="str">
        <f aca="false">TEXT(B1523,"mmm-yyyy")</f>
        <v>Dec-2024</v>
      </c>
    </row>
    <row r="1524" customFormat="false" ht="57.75" hidden="false" customHeight="true" outlineLevel="0" collapsed="false">
      <c r="A1524" s="1" t="n">
        <v>1</v>
      </c>
      <c r="B1524" s="10" t="n">
        <v>45642</v>
      </c>
      <c r="C1524" s="11" t="s">
        <v>1542</v>
      </c>
      <c r="D1524" s="1" t="s">
        <v>9</v>
      </c>
      <c r="E1524" s="1" t="s">
        <v>20</v>
      </c>
      <c r="F1524" s="1" t="str">
        <f aca="false">TEXT(B1524,"mmm-yyyy")</f>
        <v>Dec-2024</v>
      </c>
    </row>
    <row r="1525" customFormat="false" ht="115.5" hidden="false" customHeight="true" outlineLevel="0" collapsed="false">
      <c r="A1525" s="1" t="n">
        <v>1</v>
      </c>
      <c r="B1525" s="10" t="n">
        <v>45593</v>
      </c>
      <c r="C1525" s="11" t="s">
        <v>1543</v>
      </c>
      <c r="D1525" s="1" t="s">
        <v>9</v>
      </c>
      <c r="E1525" s="1" t="s">
        <v>18</v>
      </c>
      <c r="F1525" s="1" t="str">
        <f aca="false">TEXT(B1525,"mmm-yyyy")</f>
        <v>Oct-2024</v>
      </c>
    </row>
    <row r="1526" customFormat="false" ht="101.25" hidden="false" customHeight="true" outlineLevel="0" collapsed="false">
      <c r="A1526" s="1" t="n">
        <v>5</v>
      </c>
      <c r="B1526" s="10" t="n">
        <v>45633</v>
      </c>
      <c r="C1526" s="11" t="s">
        <v>1544</v>
      </c>
      <c r="D1526" s="1" t="s">
        <v>9</v>
      </c>
      <c r="E1526" s="1" t="s">
        <v>18</v>
      </c>
      <c r="F1526" s="1" t="str">
        <f aca="false">TEXT(B1526,"mmm-yyyy")</f>
        <v>Dec-2024</v>
      </c>
    </row>
    <row r="1527" customFormat="false" ht="43.5" hidden="false" customHeight="true" outlineLevel="0" collapsed="false">
      <c r="A1527" s="1" t="n">
        <v>1</v>
      </c>
      <c r="B1527" s="10" t="n">
        <v>45645</v>
      </c>
      <c r="C1527" s="11" t="s">
        <v>1545</v>
      </c>
      <c r="D1527" s="1" t="s">
        <v>9</v>
      </c>
      <c r="E1527" s="1" t="s">
        <v>20</v>
      </c>
      <c r="F1527" s="1" t="str">
        <f aca="false">TEXT(B1527,"mmm-yyyy")</f>
        <v>Dec-2024</v>
      </c>
    </row>
    <row r="1528" customFormat="false" ht="130.5" hidden="false" customHeight="true" outlineLevel="0" collapsed="false">
      <c r="A1528" s="1" t="n">
        <v>1</v>
      </c>
      <c r="B1528" s="10" t="n">
        <v>45653</v>
      </c>
      <c r="C1528" s="11" t="s">
        <v>1546</v>
      </c>
      <c r="D1528" s="1" t="s">
        <v>9</v>
      </c>
      <c r="E1528" s="1" t="s">
        <v>18</v>
      </c>
      <c r="F1528" s="1" t="str">
        <f aca="false">TEXT(B1528,"mmm-yyyy")</f>
        <v>Dec-2024</v>
      </c>
    </row>
    <row r="1529" customFormat="false" ht="57.75" hidden="false" customHeight="true" outlineLevel="0" collapsed="false">
      <c r="A1529" s="1" t="n">
        <v>1</v>
      </c>
      <c r="B1529" s="10" t="n">
        <v>45630</v>
      </c>
      <c r="C1529" s="11" t="s">
        <v>1547</v>
      </c>
      <c r="D1529" s="1" t="s">
        <v>9</v>
      </c>
      <c r="E1529" s="1" t="s">
        <v>18</v>
      </c>
      <c r="F1529" s="1" t="str">
        <f aca="false">TEXT(B1529,"mmm-yyyy")</f>
        <v>Dec-2024</v>
      </c>
    </row>
    <row r="1530" customFormat="false" ht="144.75" hidden="false" customHeight="true" outlineLevel="0" collapsed="false">
      <c r="A1530" s="1" t="n">
        <v>1</v>
      </c>
      <c r="B1530" s="10" t="n">
        <v>45647</v>
      </c>
      <c r="C1530" s="11" t="s">
        <v>1548</v>
      </c>
      <c r="D1530" s="1" t="s">
        <v>9</v>
      </c>
      <c r="E1530" s="1" t="s">
        <v>18</v>
      </c>
      <c r="F1530" s="1" t="str">
        <f aca="false">TEXT(B1530,"mmm-yyyy")</f>
        <v>Dec-2024</v>
      </c>
    </row>
    <row r="1531" customFormat="false" ht="115.5" hidden="false" customHeight="true" outlineLevel="0" collapsed="false">
      <c r="A1531" s="1" t="n">
        <v>1</v>
      </c>
      <c r="B1531" s="10" t="n">
        <v>45593</v>
      </c>
      <c r="C1531" s="11" t="s">
        <v>1549</v>
      </c>
      <c r="D1531" s="1" t="s">
        <v>9</v>
      </c>
      <c r="E1531" s="1" t="s">
        <v>18</v>
      </c>
      <c r="F1531" s="1" t="str">
        <f aca="false">TEXT(B1531,"mmm-yyyy")</f>
        <v>Oct-2024</v>
      </c>
    </row>
    <row r="1532" customFormat="false" ht="72" hidden="false" customHeight="true" outlineLevel="0" collapsed="false">
      <c r="A1532" s="1" t="n">
        <v>1</v>
      </c>
      <c r="B1532" s="10" t="n">
        <v>45597</v>
      </c>
      <c r="C1532" s="11" t="s">
        <v>1550</v>
      </c>
      <c r="D1532" s="1" t="s">
        <v>9</v>
      </c>
      <c r="E1532" s="1" t="s">
        <v>20</v>
      </c>
      <c r="F1532" s="1" t="str">
        <f aca="false">TEXT(B1532,"mmm-yyyy")</f>
        <v>Nov-2024</v>
      </c>
    </row>
    <row r="1533" customFormat="false" ht="144.75" hidden="false" customHeight="true" outlineLevel="0" collapsed="false">
      <c r="A1533" s="1" t="n">
        <v>1</v>
      </c>
      <c r="B1533" s="10" t="n">
        <v>45649</v>
      </c>
      <c r="C1533" s="11" t="s">
        <v>1551</v>
      </c>
      <c r="D1533" s="1" t="s">
        <v>9</v>
      </c>
      <c r="E1533" s="1" t="s">
        <v>20</v>
      </c>
      <c r="F1533" s="1" t="str">
        <f aca="false">TEXT(B1533,"mmm-yyyy")</f>
        <v>Dec-2024</v>
      </c>
    </row>
    <row r="1534" customFormat="false" ht="72" hidden="false" customHeight="true" outlineLevel="0" collapsed="false">
      <c r="A1534" s="1" t="n">
        <v>1</v>
      </c>
      <c r="B1534" s="10" t="n">
        <v>45634</v>
      </c>
      <c r="C1534" s="11" t="s">
        <v>1552</v>
      </c>
      <c r="D1534" s="1" t="s">
        <v>9</v>
      </c>
      <c r="E1534" s="1" t="s">
        <v>20</v>
      </c>
      <c r="F1534" s="1" t="str">
        <f aca="false">TEXT(B1534,"mmm-yyyy")</f>
        <v>Dec-2024</v>
      </c>
    </row>
    <row r="1535" customFormat="false" ht="130.5" hidden="false" customHeight="true" outlineLevel="0" collapsed="false">
      <c r="A1535" s="1" t="n">
        <v>1</v>
      </c>
      <c r="B1535" s="10" t="n">
        <v>45627</v>
      </c>
      <c r="C1535" s="11" t="s">
        <v>1553</v>
      </c>
      <c r="D1535" s="1" t="s">
        <v>9</v>
      </c>
      <c r="E1535" s="1" t="s">
        <v>20</v>
      </c>
      <c r="F1535" s="1" t="str">
        <f aca="false">TEXT(B1535,"mmm-yyyy")</f>
        <v>Dec-2024</v>
      </c>
    </row>
    <row r="1536" customFormat="false" ht="130.5" hidden="false" customHeight="true" outlineLevel="0" collapsed="false">
      <c r="A1536" s="1" t="n">
        <v>1</v>
      </c>
      <c r="B1536" s="10" t="n">
        <v>45594</v>
      </c>
      <c r="C1536" s="11" t="s">
        <v>1554</v>
      </c>
      <c r="D1536" s="1" t="s">
        <v>9</v>
      </c>
      <c r="E1536" s="1" t="s">
        <v>20</v>
      </c>
      <c r="F1536" s="1" t="str">
        <f aca="false">TEXT(B1536,"mmm-yyyy")</f>
        <v>Oct-2024</v>
      </c>
    </row>
    <row r="1537" customFormat="false" ht="115.5" hidden="false" customHeight="true" outlineLevel="0" collapsed="false">
      <c r="A1537" s="1" t="n">
        <v>1</v>
      </c>
      <c r="B1537" s="10" t="n">
        <v>45595</v>
      </c>
      <c r="C1537" s="11" t="s">
        <v>1555</v>
      </c>
      <c r="D1537" s="1" t="s">
        <v>9</v>
      </c>
      <c r="E1537" s="1" t="s">
        <v>20</v>
      </c>
      <c r="F1537" s="1" t="str">
        <f aca="false">TEXT(B1537,"mmm-yyyy")</f>
        <v>Oct-2024</v>
      </c>
    </row>
    <row r="1538" customFormat="false" ht="130.5" hidden="false" customHeight="true" outlineLevel="0" collapsed="false">
      <c r="A1538" s="1" t="n">
        <v>1</v>
      </c>
      <c r="B1538" s="10" t="n">
        <v>45609</v>
      </c>
      <c r="C1538" s="11" t="s">
        <v>1556</v>
      </c>
      <c r="D1538" s="1" t="s">
        <v>9</v>
      </c>
      <c r="E1538" s="1" t="s">
        <v>18</v>
      </c>
      <c r="F1538" s="1" t="str">
        <f aca="false">TEXT(B1538,"mmm-yyyy")</f>
        <v>Nov-2024</v>
      </c>
    </row>
    <row r="1539" customFormat="false" ht="87" hidden="false" customHeight="true" outlineLevel="0" collapsed="false">
      <c r="A1539" s="1" t="n">
        <v>1</v>
      </c>
      <c r="B1539" s="10" t="n">
        <v>45599</v>
      </c>
      <c r="C1539" s="11" t="s">
        <v>1557</v>
      </c>
      <c r="D1539" s="1" t="s">
        <v>9</v>
      </c>
      <c r="E1539" s="1" t="s">
        <v>20</v>
      </c>
      <c r="F1539" s="1" t="str">
        <f aca="false">TEXT(B1539,"mmm-yyyy")</f>
        <v>Nov-2024</v>
      </c>
    </row>
    <row r="1540" customFormat="false" ht="72" hidden="false" customHeight="true" outlineLevel="0" collapsed="false">
      <c r="A1540" s="1" t="n">
        <v>1</v>
      </c>
      <c r="B1540" s="10" t="n">
        <v>45616</v>
      </c>
      <c r="C1540" s="11" t="s">
        <v>1558</v>
      </c>
      <c r="D1540" s="1" t="s">
        <v>9</v>
      </c>
      <c r="E1540" s="1" t="s">
        <v>20</v>
      </c>
      <c r="F1540" s="1" t="str">
        <f aca="false">TEXT(B1540,"mmm-yyyy")</f>
        <v>Nov-2024</v>
      </c>
    </row>
    <row r="1541" customFormat="false" ht="57.75" hidden="false" customHeight="true" outlineLevel="0" collapsed="false">
      <c r="A1541" s="1" t="n">
        <v>1</v>
      </c>
      <c r="B1541" s="10" t="n">
        <v>45651</v>
      </c>
      <c r="C1541" s="11" t="s">
        <v>1559</v>
      </c>
      <c r="D1541" s="1" t="s">
        <v>9</v>
      </c>
      <c r="E1541" s="1" t="s">
        <v>20</v>
      </c>
      <c r="F1541" s="1" t="str">
        <f aca="false">TEXT(B1541,"mmm-yyyy")</f>
        <v>Dec-2024</v>
      </c>
    </row>
    <row r="1542" customFormat="false" ht="72" hidden="false" customHeight="true" outlineLevel="0" collapsed="false">
      <c r="A1542" s="1" t="n">
        <v>5</v>
      </c>
      <c r="B1542" s="10" t="n">
        <v>45633</v>
      </c>
      <c r="C1542" s="11" t="s">
        <v>1560</v>
      </c>
      <c r="D1542" s="1" t="s">
        <v>9</v>
      </c>
      <c r="E1542" s="1" t="s">
        <v>18</v>
      </c>
      <c r="F1542" s="1" t="str">
        <f aca="false">TEXT(B1542,"mmm-yyyy")</f>
        <v>Dec-2024</v>
      </c>
    </row>
    <row r="1543" customFormat="false" ht="72" hidden="false" customHeight="true" outlineLevel="0" collapsed="false">
      <c r="A1543" s="1" t="n">
        <v>4</v>
      </c>
      <c r="B1543" s="10" t="n">
        <v>45615</v>
      </c>
      <c r="C1543" s="11" t="s">
        <v>1561</v>
      </c>
      <c r="D1543" s="1" t="s">
        <v>9</v>
      </c>
      <c r="E1543" s="1" t="s">
        <v>18</v>
      </c>
      <c r="F1543" s="1" t="str">
        <f aca="false">TEXT(B1543,"mmm-yyyy")</f>
        <v>Nov-2024</v>
      </c>
    </row>
    <row r="1544" customFormat="false" ht="101.25" hidden="false" customHeight="true" outlineLevel="0" collapsed="false">
      <c r="A1544" s="1" t="n">
        <v>5</v>
      </c>
      <c r="B1544" s="10" t="n">
        <v>45650</v>
      </c>
      <c r="C1544" s="11" t="s">
        <v>1562</v>
      </c>
      <c r="D1544" s="1" t="s">
        <v>9</v>
      </c>
      <c r="E1544" s="1" t="s">
        <v>18</v>
      </c>
      <c r="F1544" s="1" t="str">
        <f aca="false">TEXT(B1544,"mmm-yyyy")</f>
        <v>Dec-2024</v>
      </c>
    </row>
    <row r="1545" customFormat="false" ht="57.75" hidden="false" customHeight="true" outlineLevel="0" collapsed="false">
      <c r="A1545" s="1" t="n">
        <v>2</v>
      </c>
      <c r="B1545" s="10" t="n">
        <v>45603</v>
      </c>
      <c r="C1545" s="11" t="s">
        <v>1563</v>
      </c>
      <c r="D1545" s="1" t="s">
        <v>9</v>
      </c>
      <c r="E1545" s="1" t="s">
        <v>20</v>
      </c>
      <c r="F1545" s="1" t="str">
        <f aca="false">TEXT(B1545,"mmm-yyyy")</f>
        <v>Nov-2024</v>
      </c>
    </row>
    <row r="1546" customFormat="false" ht="101.25" hidden="false" customHeight="true" outlineLevel="0" collapsed="false">
      <c r="A1546" s="1" t="n">
        <v>1</v>
      </c>
      <c r="B1546" s="10" t="n">
        <v>45630</v>
      </c>
      <c r="C1546" s="11" t="s">
        <v>1564</v>
      </c>
      <c r="D1546" s="1" t="s">
        <v>9</v>
      </c>
      <c r="E1546" s="1" t="s">
        <v>20</v>
      </c>
      <c r="F1546" s="1" t="str">
        <f aca="false">TEXT(B1546,"mmm-yyyy")</f>
        <v>Dec-2024</v>
      </c>
    </row>
    <row r="1547" customFormat="false" ht="87" hidden="false" customHeight="true" outlineLevel="0" collapsed="false">
      <c r="A1547" s="1" t="n">
        <v>1</v>
      </c>
      <c r="B1547" s="10" t="n">
        <v>45610</v>
      </c>
      <c r="C1547" s="11" t="s">
        <v>1565</v>
      </c>
      <c r="D1547" s="1" t="s">
        <v>9</v>
      </c>
      <c r="E1547" s="1" t="s">
        <v>20</v>
      </c>
      <c r="F1547" s="1" t="str">
        <f aca="false">TEXT(B1547,"mmm-yyyy")</f>
        <v>Nov-2024</v>
      </c>
    </row>
    <row r="1548" customFormat="false" ht="115.5" hidden="false" customHeight="true" outlineLevel="0" collapsed="false">
      <c r="A1548" s="1" t="n">
        <v>1</v>
      </c>
      <c r="B1548" s="10" t="n">
        <v>45605</v>
      </c>
      <c r="C1548" s="11" t="s">
        <v>1566</v>
      </c>
      <c r="D1548" s="1" t="s">
        <v>9</v>
      </c>
      <c r="E1548" s="1" t="s">
        <v>20</v>
      </c>
      <c r="F1548" s="1" t="str">
        <f aca="false">TEXT(B1548,"mmm-yyyy")</f>
        <v>Nov-2024</v>
      </c>
    </row>
    <row r="1549" customFormat="false" ht="115.5" hidden="false" customHeight="true" outlineLevel="0" collapsed="false">
      <c r="A1549" s="1" t="n">
        <v>1</v>
      </c>
      <c r="B1549" s="10" t="n">
        <v>45637</v>
      </c>
      <c r="C1549" s="11" t="s">
        <v>1567</v>
      </c>
      <c r="D1549" s="1" t="s">
        <v>9</v>
      </c>
      <c r="E1549" s="1" t="s">
        <v>18</v>
      </c>
      <c r="F1549" s="1" t="str">
        <f aca="false">TEXT(B1549,"mmm-yyyy")</f>
        <v>Dec-2024</v>
      </c>
    </row>
    <row r="1550" customFormat="false" ht="43.5" hidden="false" customHeight="true" outlineLevel="0" collapsed="false">
      <c r="A1550" s="1" t="n">
        <v>1</v>
      </c>
      <c r="B1550" s="10" t="n">
        <v>45653</v>
      </c>
      <c r="C1550" s="11" t="s">
        <v>1568</v>
      </c>
      <c r="D1550" s="1" t="s">
        <v>9</v>
      </c>
      <c r="E1550" s="1" t="s">
        <v>20</v>
      </c>
      <c r="F1550" s="1" t="str">
        <f aca="false">TEXT(B1550,"mmm-yyyy")</f>
        <v>Dec-2024</v>
      </c>
    </row>
    <row r="1551" customFormat="false" ht="101.25" hidden="false" customHeight="true" outlineLevel="0" collapsed="false">
      <c r="A1551" s="1" t="n">
        <v>3</v>
      </c>
      <c r="B1551" s="10" t="n">
        <v>45632</v>
      </c>
      <c r="C1551" s="11" t="s">
        <v>1569</v>
      </c>
      <c r="D1551" s="1" t="s">
        <v>9</v>
      </c>
      <c r="E1551" s="1" t="s">
        <v>20</v>
      </c>
      <c r="F1551" s="1" t="str">
        <f aca="false">TEXT(B1551,"mmm-yyyy")</f>
        <v>Dec-2024</v>
      </c>
    </row>
    <row r="1552" customFormat="false" ht="115.5" hidden="false" customHeight="true" outlineLevel="0" collapsed="false">
      <c r="A1552" s="1" t="n">
        <v>1</v>
      </c>
      <c r="B1552" s="10" t="n">
        <v>45608</v>
      </c>
      <c r="C1552" s="11" t="s">
        <v>1570</v>
      </c>
      <c r="D1552" s="1" t="s">
        <v>9</v>
      </c>
      <c r="E1552" s="1" t="s">
        <v>20</v>
      </c>
      <c r="F1552" s="1" t="str">
        <f aca="false">TEXT(B1552,"mmm-yyyy")</f>
        <v>Nov-2024</v>
      </c>
    </row>
    <row r="1553" customFormat="false" ht="101.25" hidden="false" customHeight="true" outlineLevel="0" collapsed="false">
      <c r="A1553" s="1" t="n">
        <v>1</v>
      </c>
      <c r="B1553" s="10" t="n">
        <v>45600</v>
      </c>
      <c r="C1553" s="11" t="s">
        <v>1571</v>
      </c>
      <c r="D1553" s="1" t="s">
        <v>9</v>
      </c>
      <c r="E1553" s="1" t="s">
        <v>20</v>
      </c>
      <c r="F1553" s="1" t="str">
        <f aca="false">TEXT(B1553,"mmm-yyyy")</f>
        <v>Nov-2024</v>
      </c>
    </row>
    <row r="1554" customFormat="false" ht="130.5" hidden="false" customHeight="true" outlineLevel="0" collapsed="false">
      <c r="A1554" s="1" t="n">
        <v>1</v>
      </c>
      <c r="B1554" s="10" t="n">
        <v>45590</v>
      </c>
      <c r="C1554" s="11" t="s">
        <v>1572</v>
      </c>
      <c r="D1554" s="1" t="s">
        <v>9</v>
      </c>
      <c r="E1554" s="1" t="s">
        <v>20</v>
      </c>
      <c r="F1554" s="1" t="str">
        <f aca="false">TEXT(B1554,"mmm-yyyy")</f>
        <v>Oct-2024</v>
      </c>
    </row>
    <row r="1555" customFormat="false" ht="115.5" hidden="false" customHeight="true" outlineLevel="0" collapsed="false">
      <c r="A1555" s="1" t="n">
        <v>1</v>
      </c>
      <c r="B1555" s="10" t="n">
        <v>45638</v>
      </c>
      <c r="C1555" s="11" t="s">
        <v>1573</v>
      </c>
      <c r="D1555" s="1" t="s">
        <v>9</v>
      </c>
      <c r="E1555" s="1" t="s">
        <v>32</v>
      </c>
      <c r="F1555" s="1" t="str">
        <f aca="false">TEXT(B1555,"mmm-yyyy")</f>
        <v>Dec-2024</v>
      </c>
    </row>
    <row r="1556" customFormat="false" ht="87" hidden="false" customHeight="true" outlineLevel="0" collapsed="false">
      <c r="A1556" s="1" t="n">
        <v>1</v>
      </c>
      <c r="B1556" s="10" t="n">
        <v>45612</v>
      </c>
      <c r="C1556" s="11" t="s">
        <v>1574</v>
      </c>
      <c r="D1556" s="1" t="s">
        <v>9</v>
      </c>
      <c r="E1556" s="1" t="s">
        <v>20</v>
      </c>
      <c r="F1556" s="1" t="str">
        <f aca="false">TEXT(B1556,"mmm-yyyy")</f>
        <v>Nov-2024</v>
      </c>
    </row>
    <row r="1557" customFormat="false" ht="130.5" hidden="false" customHeight="true" outlineLevel="0" collapsed="false">
      <c r="A1557" s="1" t="n">
        <v>1</v>
      </c>
      <c r="B1557" s="10" t="n">
        <v>45633</v>
      </c>
      <c r="C1557" s="11" t="s">
        <v>1575</v>
      </c>
      <c r="D1557" s="1" t="s">
        <v>9</v>
      </c>
      <c r="E1557" s="1" t="s">
        <v>18</v>
      </c>
      <c r="F1557" s="1" t="str">
        <f aca="false">TEXT(B1557,"mmm-yyyy")</f>
        <v>Dec-2024</v>
      </c>
    </row>
    <row r="1558" customFormat="false" ht="72" hidden="false" customHeight="true" outlineLevel="0" collapsed="false">
      <c r="A1558" s="1" t="n">
        <v>1</v>
      </c>
      <c r="B1558" s="10" t="n">
        <v>45634</v>
      </c>
      <c r="C1558" s="11" t="s">
        <v>1576</v>
      </c>
      <c r="D1558" s="1" t="s">
        <v>9</v>
      </c>
      <c r="E1558" s="1" t="s">
        <v>32</v>
      </c>
      <c r="F1558" s="1" t="str">
        <f aca="false">TEXT(B1558,"mmm-yyyy")</f>
        <v>Dec-2024</v>
      </c>
    </row>
    <row r="1559" customFormat="false" ht="72" hidden="false" customHeight="true" outlineLevel="0" collapsed="false">
      <c r="A1559" s="1" t="n">
        <v>1</v>
      </c>
      <c r="B1559" s="10" t="n">
        <v>45593</v>
      </c>
      <c r="C1559" s="11" t="s">
        <v>1577</v>
      </c>
      <c r="D1559" s="1" t="s">
        <v>9</v>
      </c>
      <c r="E1559" s="1" t="s">
        <v>20</v>
      </c>
      <c r="F1559" s="1" t="str">
        <f aca="false">TEXT(B1559,"mmm-yyyy")</f>
        <v>Oct-2024</v>
      </c>
    </row>
    <row r="1560" customFormat="false" ht="130.5" hidden="false" customHeight="true" outlineLevel="0" collapsed="false">
      <c r="A1560" s="1" t="n">
        <v>1</v>
      </c>
      <c r="B1560" s="10" t="n">
        <v>45611</v>
      </c>
      <c r="C1560" s="11" t="s">
        <v>1578</v>
      </c>
      <c r="D1560" s="1" t="s">
        <v>9</v>
      </c>
      <c r="E1560" s="1" t="s">
        <v>20</v>
      </c>
      <c r="F1560" s="1" t="str">
        <f aca="false">TEXT(B1560,"mmm-yyyy")</f>
        <v>Nov-2024</v>
      </c>
    </row>
    <row r="1561" customFormat="false" ht="57.75" hidden="false" customHeight="true" outlineLevel="0" collapsed="false">
      <c r="A1561" s="1" t="n">
        <v>1</v>
      </c>
      <c r="B1561" s="10" t="n">
        <v>45613</v>
      </c>
      <c r="C1561" s="11" t="s">
        <v>1579</v>
      </c>
      <c r="D1561" s="1" t="s">
        <v>9</v>
      </c>
      <c r="E1561" s="1" t="s">
        <v>20</v>
      </c>
      <c r="F1561" s="1" t="str">
        <f aca="false">TEXT(B1561,"mmm-yyyy")</f>
        <v>Nov-2024</v>
      </c>
    </row>
    <row r="1562" customFormat="false" ht="101.25" hidden="false" customHeight="true" outlineLevel="0" collapsed="false">
      <c r="A1562" s="1" t="n">
        <v>1</v>
      </c>
      <c r="B1562" s="10" t="n">
        <v>45604</v>
      </c>
      <c r="C1562" s="11" t="s">
        <v>1580</v>
      </c>
      <c r="D1562" s="1" t="s">
        <v>9</v>
      </c>
      <c r="E1562" s="1" t="s">
        <v>20</v>
      </c>
      <c r="F1562" s="1" t="str">
        <f aca="false">TEXT(B1562,"mmm-yyyy")</f>
        <v>Nov-2024</v>
      </c>
    </row>
    <row r="1563" customFormat="false" ht="72" hidden="false" customHeight="true" outlineLevel="0" collapsed="false">
      <c r="A1563" s="1" t="n">
        <v>1</v>
      </c>
      <c r="B1563" s="10" t="n">
        <v>45634</v>
      </c>
      <c r="C1563" s="11" t="s">
        <v>1581</v>
      </c>
      <c r="D1563" s="1" t="s">
        <v>9</v>
      </c>
      <c r="E1563" s="1" t="s">
        <v>20</v>
      </c>
      <c r="F1563" s="1" t="str">
        <f aca="false">TEXT(B1563,"mmm-yyyy")</f>
        <v>Dec-2024</v>
      </c>
    </row>
    <row r="1564" customFormat="false" ht="130.5" hidden="false" customHeight="true" outlineLevel="0" collapsed="false">
      <c r="A1564" s="1" t="n">
        <v>3</v>
      </c>
      <c r="B1564" s="10" t="n">
        <v>45588</v>
      </c>
      <c r="C1564" s="11" t="s">
        <v>1582</v>
      </c>
      <c r="D1564" s="1" t="s">
        <v>9</v>
      </c>
      <c r="E1564" s="1" t="s">
        <v>18</v>
      </c>
      <c r="F1564" s="1" t="str">
        <f aca="false">TEXT(B1564,"mmm-yyyy")</f>
        <v>Oct-2024</v>
      </c>
    </row>
    <row r="1565" customFormat="false" ht="87" hidden="false" customHeight="true" outlineLevel="0" collapsed="false">
      <c r="A1565" s="1" t="n">
        <v>1</v>
      </c>
      <c r="B1565" s="10" t="n">
        <v>45607</v>
      </c>
      <c r="C1565" s="11" t="s">
        <v>1583</v>
      </c>
      <c r="D1565" s="1" t="s">
        <v>9</v>
      </c>
      <c r="E1565" s="1" t="s">
        <v>20</v>
      </c>
      <c r="F1565" s="1" t="str">
        <f aca="false">TEXT(B1565,"mmm-yyyy")</f>
        <v>Nov-2024</v>
      </c>
    </row>
    <row r="1566" customFormat="false" ht="115.5" hidden="false" customHeight="true" outlineLevel="0" collapsed="false">
      <c r="A1566" s="1" t="n">
        <v>1</v>
      </c>
      <c r="B1566" s="10" t="n">
        <v>45614</v>
      </c>
      <c r="C1566" s="11" t="s">
        <v>1584</v>
      </c>
      <c r="D1566" s="1" t="s">
        <v>9</v>
      </c>
      <c r="E1566" s="1" t="s">
        <v>20</v>
      </c>
      <c r="F1566" s="1" t="str">
        <f aca="false">TEXT(B1566,"mmm-yyyy")</f>
        <v>Nov-2024</v>
      </c>
    </row>
    <row r="1567" customFormat="false" ht="72" hidden="false" customHeight="true" outlineLevel="0" collapsed="false">
      <c r="A1567" s="1" t="n">
        <v>3</v>
      </c>
      <c r="B1567" s="10" t="n">
        <v>45598</v>
      </c>
      <c r="C1567" s="11" t="s">
        <v>1585</v>
      </c>
      <c r="D1567" s="1" t="s">
        <v>9</v>
      </c>
      <c r="E1567" s="1" t="s">
        <v>20</v>
      </c>
      <c r="F1567" s="1" t="str">
        <f aca="false">TEXT(B1567,"mmm-yyyy")</f>
        <v>Nov-2024</v>
      </c>
    </row>
    <row r="1568" customFormat="false" ht="115.5" hidden="false" customHeight="true" outlineLevel="0" collapsed="false">
      <c r="A1568" s="1" t="n">
        <v>1</v>
      </c>
      <c r="B1568" s="10" t="n">
        <v>45574</v>
      </c>
      <c r="C1568" s="11" t="s">
        <v>1586</v>
      </c>
      <c r="D1568" s="1" t="s">
        <v>9</v>
      </c>
      <c r="E1568" s="1" t="s">
        <v>32</v>
      </c>
      <c r="F1568" s="1" t="str">
        <f aca="false">TEXT(B1568,"mmm-yyyy")</f>
        <v>Oct-2024</v>
      </c>
    </row>
    <row r="1569" customFormat="false" ht="72" hidden="false" customHeight="true" outlineLevel="0" collapsed="false">
      <c r="A1569" s="1" t="n">
        <v>1</v>
      </c>
      <c r="B1569" s="10" t="n">
        <v>45584</v>
      </c>
      <c r="C1569" s="11" t="s">
        <v>1587</v>
      </c>
      <c r="D1569" s="1" t="s">
        <v>9</v>
      </c>
      <c r="E1569" s="1" t="s">
        <v>20</v>
      </c>
      <c r="F1569" s="1" t="str">
        <f aca="false">TEXT(B1569,"mmm-yyyy")</f>
        <v>Oct-2024</v>
      </c>
    </row>
    <row r="1570" customFormat="false" ht="72" hidden="false" customHeight="true" outlineLevel="0" collapsed="false">
      <c r="A1570" s="1" t="n">
        <v>1</v>
      </c>
      <c r="B1570" s="10" t="n">
        <v>45594</v>
      </c>
      <c r="C1570" s="11" t="s">
        <v>1588</v>
      </c>
      <c r="D1570" s="1" t="s">
        <v>9</v>
      </c>
      <c r="E1570" s="1" t="s">
        <v>20</v>
      </c>
      <c r="F1570" s="1" t="str">
        <f aca="false">TEXT(B1570,"mmm-yyyy")</f>
        <v>Oct-2024</v>
      </c>
    </row>
    <row r="1571" customFormat="false" ht="87" hidden="false" customHeight="true" outlineLevel="0" collapsed="false">
      <c r="A1571" s="1" t="n">
        <v>1</v>
      </c>
      <c r="B1571" s="10" t="n">
        <v>45634</v>
      </c>
      <c r="C1571" s="11" t="s">
        <v>1589</v>
      </c>
      <c r="D1571" s="1" t="s">
        <v>9</v>
      </c>
      <c r="E1571" s="1" t="s">
        <v>20</v>
      </c>
      <c r="F1571" s="1" t="str">
        <f aca="false">TEXT(B1571,"mmm-yyyy")</f>
        <v>Dec-2024</v>
      </c>
    </row>
    <row r="1572" customFormat="false" ht="72" hidden="false" customHeight="true" outlineLevel="0" collapsed="false">
      <c r="A1572" s="1" t="n">
        <v>1</v>
      </c>
      <c r="B1572" s="10" t="n">
        <v>45638</v>
      </c>
      <c r="C1572" s="11" t="s">
        <v>1590</v>
      </c>
      <c r="D1572" s="1" t="s">
        <v>9</v>
      </c>
      <c r="E1572" s="1" t="s">
        <v>20</v>
      </c>
      <c r="F1572" s="1" t="str">
        <f aca="false">TEXT(B1572,"mmm-yyyy")</f>
        <v>Dec-2024</v>
      </c>
    </row>
    <row r="1573" customFormat="false" ht="72" hidden="false" customHeight="true" outlineLevel="0" collapsed="false">
      <c r="A1573" s="1" t="n">
        <v>1</v>
      </c>
      <c r="B1573" s="10" t="n">
        <v>45644</v>
      </c>
      <c r="C1573" s="11" t="s">
        <v>1591</v>
      </c>
      <c r="D1573" s="1" t="s">
        <v>9</v>
      </c>
      <c r="E1573" s="1" t="s">
        <v>20</v>
      </c>
      <c r="F1573" s="1" t="str">
        <f aca="false">TEXT(B1573,"mmm-yyyy")</f>
        <v>Dec-2024</v>
      </c>
    </row>
    <row r="1574" customFormat="false" ht="72" hidden="false" customHeight="true" outlineLevel="0" collapsed="false">
      <c r="A1574" s="1" t="n">
        <v>1</v>
      </c>
      <c r="B1574" s="10" t="n">
        <v>45608</v>
      </c>
      <c r="C1574" s="11" t="s">
        <v>1592</v>
      </c>
      <c r="D1574" s="1" t="s">
        <v>9</v>
      </c>
      <c r="E1574" s="1" t="s">
        <v>18</v>
      </c>
      <c r="F1574" s="1" t="str">
        <f aca="false">TEXT(B1574,"mmm-yyyy")</f>
        <v>Nov-2024</v>
      </c>
    </row>
    <row r="1575" customFormat="false" ht="87" hidden="false" customHeight="true" outlineLevel="0" collapsed="false">
      <c r="A1575" s="1" t="n">
        <v>1</v>
      </c>
      <c r="B1575" s="10" t="n">
        <v>45628</v>
      </c>
      <c r="C1575" s="11" t="s">
        <v>1593</v>
      </c>
      <c r="D1575" s="1" t="s">
        <v>9</v>
      </c>
      <c r="E1575" s="1" t="s">
        <v>20</v>
      </c>
      <c r="F1575" s="1" t="str">
        <f aca="false">TEXT(B1575,"mmm-yyyy")</f>
        <v>Dec-2024</v>
      </c>
    </row>
    <row r="1576" customFormat="false" ht="130.5" hidden="false" customHeight="true" outlineLevel="0" collapsed="false">
      <c r="A1576" s="1" t="n">
        <v>5</v>
      </c>
      <c r="B1576" s="10" t="n">
        <v>45624</v>
      </c>
      <c r="C1576" s="11" t="s">
        <v>1594</v>
      </c>
      <c r="D1576" s="1" t="s">
        <v>9</v>
      </c>
      <c r="E1576" s="1" t="s">
        <v>18</v>
      </c>
      <c r="F1576" s="1" t="str">
        <f aca="false">TEXT(B1576,"mmm-yyyy")</f>
        <v>Nov-2024</v>
      </c>
    </row>
    <row r="1577" customFormat="false" ht="57.75" hidden="false" customHeight="true" outlineLevel="0" collapsed="false">
      <c r="A1577" s="1" t="n">
        <v>1</v>
      </c>
      <c r="B1577" s="10" t="n">
        <v>45628</v>
      </c>
      <c r="C1577" s="11" t="s">
        <v>1595</v>
      </c>
      <c r="D1577" s="1" t="s">
        <v>9</v>
      </c>
      <c r="E1577" s="1" t="s">
        <v>20</v>
      </c>
      <c r="F1577" s="1" t="str">
        <f aca="false">TEXT(B1577,"mmm-yyyy")</f>
        <v>Dec-2024</v>
      </c>
    </row>
    <row r="1578" customFormat="false" ht="57.75" hidden="false" customHeight="true" outlineLevel="0" collapsed="false">
      <c r="A1578" s="1" t="n">
        <v>1</v>
      </c>
      <c r="B1578" s="10" t="n">
        <v>45606</v>
      </c>
      <c r="C1578" s="11" t="s">
        <v>1596</v>
      </c>
      <c r="D1578" s="1" t="s">
        <v>9</v>
      </c>
      <c r="E1578" s="1" t="s">
        <v>32</v>
      </c>
      <c r="F1578" s="1" t="str">
        <f aca="false">TEXT(B1578,"mmm-yyyy")</f>
        <v>Nov-2024</v>
      </c>
    </row>
    <row r="1579" customFormat="false" ht="87" hidden="false" customHeight="true" outlineLevel="0" collapsed="false">
      <c r="A1579" s="1" t="n">
        <v>1</v>
      </c>
      <c r="B1579" s="10" t="n">
        <v>45637</v>
      </c>
      <c r="C1579" s="11" t="s">
        <v>1597</v>
      </c>
      <c r="D1579" s="1" t="s">
        <v>9</v>
      </c>
      <c r="E1579" s="1" t="s">
        <v>20</v>
      </c>
      <c r="F1579" s="1" t="str">
        <f aca="false">TEXT(B1579,"mmm-yyyy")</f>
        <v>Dec-2024</v>
      </c>
    </row>
    <row r="1580" customFormat="false" ht="144.75" hidden="false" customHeight="true" outlineLevel="0" collapsed="false">
      <c r="A1580" s="1" t="n">
        <v>1</v>
      </c>
      <c r="B1580" s="10" t="n">
        <v>45575</v>
      </c>
      <c r="C1580" s="11" t="s">
        <v>1598</v>
      </c>
      <c r="D1580" s="1" t="s">
        <v>9</v>
      </c>
      <c r="E1580" s="1" t="s">
        <v>20</v>
      </c>
      <c r="F1580" s="1" t="str">
        <f aca="false">TEXT(B1580,"mmm-yyyy")</f>
        <v>Oct-2024</v>
      </c>
    </row>
    <row r="1581" customFormat="false" ht="57.75" hidden="false" customHeight="true" outlineLevel="0" collapsed="false">
      <c r="A1581" s="1" t="n">
        <v>1</v>
      </c>
      <c r="B1581" s="10" t="n">
        <v>45630</v>
      </c>
      <c r="C1581" s="11" t="s">
        <v>1599</v>
      </c>
      <c r="D1581" s="1" t="s">
        <v>9</v>
      </c>
      <c r="E1581" s="1" t="s">
        <v>18</v>
      </c>
      <c r="F1581" s="1" t="str">
        <f aca="false">TEXT(B1581,"mmm-yyyy")</f>
        <v>Dec-2024</v>
      </c>
    </row>
    <row r="1582" customFormat="false" ht="57.75" hidden="false" customHeight="true" outlineLevel="0" collapsed="false">
      <c r="A1582" s="1" t="n">
        <v>1</v>
      </c>
      <c r="B1582" s="10" t="n">
        <v>45604</v>
      </c>
      <c r="C1582" s="11" t="s">
        <v>1600</v>
      </c>
      <c r="D1582" s="1" t="s">
        <v>9</v>
      </c>
      <c r="E1582" s="1" t="s">
        <v>20</v>
      </c>
      <c r="F1582" s="1" t="str">
        <f aca="false">TEXT(B1582,"mmm-yyyy")</f>
        <v>Nov-2024</v>
      </c>
    </row>
    <row r="1583" customFormat="false" ht="57.75" hidden="false" customHeight="true" outlineLevel="0" collapsed="false">
      <c r="A1583" s="1" t="n">
        <v>1</v>
      </c>
      <c r="B1583" s="10" t="n">
        <v>45600</v>
      </c>
      <c r="C1583" s="11" t="s">
        <v>1601</v>
      </c>
      <c r="D1583" s="1" t="s">
        <v>9</v>
      </c>
      <c r="E1583" s="1" t="s">
        <v>20</v>
      </c>
      <c r="F1583" s="1" t="str">
        <f aca="false">TEXT(B1583,"mmm-yyyy")</f>
        <v>Nov-2024</v>
      </c>
    </row>
    <row r="1584" customFormat="false" ht="43.5" hidden="false" customHeight="true" outlineLevel="0" collapsed="false">
      <c r="A1584" s="1" t="n">
        <v>1</v>
      </c>
      <c r="B1584" s="10" t="n">
        <v>45631</v>
      </c>
      <c r="C1584" s="11" t="s">
        <v>1602</v>
      </c>
      <c r="D1584" s="1" t="s">
        <v>9</v>
      </c>
      <c r="E1584" s="1" t="s">
        <v>20</v>
      </c>
      <c r="F1584" s="1" t="str">
        <f aca="false">TEXT(B1584,"mmm-yyyy")</f>
        <v>Dec-2024</v>
      </c>
    </row>
    <row r="1585" customFormat="false" ht="87" hidden="false" customHeight="true" outlineLevel="0" collapsed="false">
      <c r="A1585" s="1" t="n">
        <v>1</v>
      </c>
      <c r="B1585" s="10" t="n">
        <v>45594</v>
      </c>
      <c r="C1585" s="11" t="s">
        <v>1603</v>
      </c>
      <c r="D1585" s="1" t="s">
        <v>9</v>
      </c>
      <c r="E1585" s="1" t="s">
        <v>18</v>
      </c>
      <c r="F1585" s="1" t="str">
        <f aca="false">TEXT(B1585,"mmm-yyyy")</f>
        <v>Oct-2024</v>
      </c>
    </row>
    <row r="1586" customFormat="false" ht="101.25" hidden="false" customHeight="true" outlineLevel="0" collapsed="false">
      <c r="A1586" s="1" t="n">
        <v>1</v>
      </c>
      <c r="B1586" s="10" t="n">
        <v>45580</v>
      </c>
      <c r="C1586" s="11" t="s">
        <v>1604</v>
      </c>
      <c r="D1586" s="1" t="s">
        <v>9</v>
      </c>
      <c r="E1586" s="1" t="s">
        <v>20</v>
      </c>
      <c r="F1586" s="1" t="str">
        <f aca="false">TEXT(B1586,"mmm-yyyy")</f>
        <v>Oct-2024</v>
      </c>
    </row>
    <row r="1587" customFormat="false" ht="72" hidden="false" customHeight="true" outlineLevel="0" collapsed="false">
      <c r="A1587" s="1" t="n">
        <v>1</v>
      </c>
      <c r="B1587" s="10" t="n">
        <v>45620</v>
      </c>
      <c r="C1587" s="11" t="s">
        <v>1605</v>
      </c>
      <c r="D1587" s="1" t="s">
        <v>9</v>
      </c>
      <c r="E1587" s="1" t="s">
        <v>20</v>
      </c>
      <c r="F1587" s="1" t="str">
        <f aca="false">TEXT(B1587,"mmm-yyyy")</f>
        <v>Nov-2024</v>
      </c>
    </row>
    <row r="1588" customFormat="false" ht="130.5" hidden="false" customHeight="true" outlineLevel="0" collapsed="false">
      <c r="A1588" s="1" t="n">
        <v>1</v>
      </c>
      <c r="B1588" s="10" t="n">
        <v>45586</v>
      </c>
      <c r="C1588" s="11" t="s">
        <v>1606</v>
      </c>
      <c r="D1588" s="1" t="s">
        <v>9</v>
      </c>
      <c r="E1588" s="1" t="s">
        <v>20</v>
      </c>
      <c r="F1588" s="1" t="str">
        <f aca="false">TEXT(B1588,"mmm-yyyy")</f>
        <v>Oct-2024</v>
      </c>
    </row>
    <row r="1589" customFormat="false" ht="43.5" hidden="false" customHeight="true" outlineLevel="0" collapsed="false">
      <c r="A1589" s="1" t="n">
        <v>1</v>
      </c>
      <c r="B1589" s="10" t="n">
        <v>45636</v>
      </c>
      <c r="C1589" s="11" t="s">
        <v>1607</v>
      </c>
      <c r="D1589" s="1" t="s">
        <v>9</v>
      </c>
      <c r="E1589" s="1" t="s">
        <v>32</v>
      </c>
      <c r="F1589" s="1" t="str">
        <f aca="false">TEXT(B1589,"mmm-yyyy")</f>
        <v>Dec-2024</v>
      </c>
    </row>
    <row r="1590" customFormat="false" ht="101.25" hidden="false" customHeight="true" outlineLevel="0" collapsed="false">
      <c r="A1590" s="1" t="n">
        <v>1</v>
      </c>
      <c r="B1590" s="10" t="n">
        <v>45656</v>
      </c>
      <c r="C1590" s="11" t="s">
        <v>1608</v>
      </c>
      <c r="D1590" s="1" t="s">
        <v>9</v>
      </c>
      <c r="E1590" s="1" t="s">
        <v>20</v>
      </c>
      <c r="F1590" s="1" t="str">
        <f aca="false">TEXT(B1590,"mmm-yyyy")</f>
        <v>Dec-2024</v>
      </c>
    </row>
    <row r="1591" customFormat="false" ht="72" hidden="false" customHeight="true" outlineLevel="0" collapsed="false">
      <c r="A1591" s="1" t="n">
        <v>1</v>
      </c>
      <c r="B1591" s="10" t="n">
        <v>45644</v>
      </c>
      <c r="C1591" s="11" t="s">
        <v>1609</v>
      </c>
      <c r="D1591" s="1" t="s">
        <v>9</v>
      </c>
      <c r="E1591" s="1" t="s">
        <v>20</v>
      </c>
      <c r="F1591" s="1" t="str">
        <f aca="false">TEXT(B1591,"mmm-yyyy")</f>
        <v>Dec-2024</v>
      </c>
    </row>
    <row r="1592" customFormat="false" ht="43.5" hidden="false" customHeight="true" outlineLevel="0" collapsed="false">
      <c r="A1592" s="1" t="n">
        <v>1</v>
      </c>
      <c r="B1592" s="10" t="n">
        <v>45639</v>
      </c>
      <c r="C1592" s="11" t="s">
        <v>1610</v>
      </c>
      <c r="D1592" s="1" t="s">
        <v>9</v>
      </c>
      <c r="E1592" s="1" t="s">
        <v>20</v>
      </c>
      <c r="F1592" s="1" t="str">
        <f aca="false">TEXT(B1592,"mmm-yyyy")</f>
        <v>Dec-2024</v>
      </c>
    </row>
    <row r="1593" customFormat="false" ht="57.75" hidden="false" customHeight="true" outlineLevel="0" collapsed="false">
      <c r="A1593" s="1" t="n">
        <v>1</v>
      </c>
      <c r="B1593" s="10" t="n">
        <v>45657</v>
      </c>
      <c r="C1593" s="11" t="s">
        <v>1611</v>
      </c>
      <c r="D1593" s="1" t="s">
        <v>9</v>
      </c>
      <c r="E1593" s="1" t="s">
        <v>20</v>
      </c>
      <c r="F1593" s="1" t="str">
        <f aca="false">TEXT(B1593,"mmm-yyyy")</f>
        <v>Dec-2024</v>
      </c>
    </row>
    <row r="1594" customFormat="false" ht="87" hidden="false" customHeight="true" outlineLevel="0" collapsed="false">
      <c r="A1594" s="1" t="n">
        <v>1</v>
      </c>
      <c r="B1594" s="10" t="n">
        <v>45647</v>
      </c>
      <c r="C1594" s="11" t="s">
        <v>1612</v>
      </c>
      <c r="D1594" s="1" t="s">
        <v>9</v>
      </c>
      <c r="E1594" s="1" t="s">
        <v>20</v>
      </c>
      <c r="F1594" s="1" t="str">
        <f aca="false">TEXT(B1594,"mmm-yyyy")</f>
        <v>Dec-2024</v>
      </c>
    </row>
    <row r="1595" customFormat="false" ht="43.5" hidden="false" customHeight="true" outlineLevel="0" collapsed="false">
      <c r="A1595" s="1" t="n">
        <v>4</v>
      </c>
      <c r="B1595" s="10" t="n">
        <v>45649</v>
      </c>
      <c r="C1595" s="11" t="s">
        <v>1613</v>
      </c>
      <c r="D1595" s="1" t="s">
        <v>9</v>
      </c>
      <c r="E1595" s="1" t="s">
        <v>18</v>
      </c>
      <c r="F1595" s="1" t="str">
        <f aca="false">TEXT(B1595,"mmm-yyyy")</f>
        <v>Dec-2024</v>
      </c>
    </row>
    <row r="1596" customFormat="false" ht="43.5" hidden="false" customHeight="true" outlineLevel="0" collapsed="false">
      <c r="A1596" s="1" t="n">
        <v>1</v>
      </c>
      <c r="B1596" s="10" t="n">
        <v>45654</v>
      </c>
      <c r="C1596" s="11" t="s">
        <v>1614</v>
      </c>
      <c r="D1596" s="1" t="s">
        <v>9</v>
      </c>
      <c r="E1596" s="1" t="s">
        <v>20</v>
      </c>
      <c r="F1596" s="1" t="str">
        <f aca="false">TEXT(B1596,"mmm-yyyy")</f>
        <v>Dec-2024</v>
      </c>
    </row>
    <row r="1597" customFormat="false" ht="57.75" hidden="false" customHeight="true" outlineLevel="0" collapsed="false">
      <c r="A1597" s="1" t="n">
        <v>1</v>
      </c>
      <c r="B1597" s="10" t="n">
        <v>45655</v>
      </c>
      <c r="C1597" s="11" t="s">
        <v>1615</v>
      </c>
      <c r="D1597" s="1" t="s">
        <v>9</v>
      </c>
      <c r="E1597" s="1" t="s">
        <v>20</v>
      </c>
      <c r="F1597" s="1" t="str">
        <f aca="false">TEXT(B1597,"mmm-yyyy")</f>
        <v>Dec-2024</v>
      </c>
    </row>
    <row r="1598" customFormat="false" ht="130.5" hidden="false" customHeight="true" outlineLevel="0" collapsed="false">
      <c r="A1598" s="1" t="n">
        <v>1</v>
      </c>
      <c r="B1598" s="10" t="n">
        <v>45652</v>
      </c>
      <c r="C1598" s="11" t="s">
        <v>1616</v>
      </c>
      <c r="D1598" s="1" t="s">
        <v>9</v>
      </c>
      <c r="E1598" s="1" t="s">
        <v>20</v>
      </c>
      <c r="F1598" s="1" t="str">
        <f aca="false">TEXT(B1598,"mmm-yyyy")</f>
        <v>Dec-2024</v>
      </c>
    </row>
    <row r="1599" customFormat="false" ht="57.75" hidden="false" customHeight="true" outlineLevel="0" collapsed="false">
      <c r="A1599" s="1" t="n">
        <v>1</v>
      </c>
      <c r="B1599" s="10" t="n">
        <v>45638</v>
      </c>
      <c r="C1599" s="11" t="s">
        <v>1617</v>
      </c>
      <c r="D1599" s="1" t="s">
        <v>9</v>
      </c>
      <c r="E1599" s="1" t="s">
        <v>20</v>
      </c>
      <c r="F1599" s="1" t="str">
        <f aca="false">TEXT(B1599,"mmm-yyyy")</f>
        <v>Dec-2024</v>
      </c>
    </row>
    <row r="1600" customFormat="false" ht="57.75" hidden="false" customHeight="true" outlineLevel="0" collapsed="false">
      <c r="A1600" s="1" t="n">
        <v>1</v>
      </c>
      <c r="B1600" s="10" t="n">
        <v>45653</v>
      </c>
      <c r="C1600" s="11" t="s">
        <v>1618</v>
      </c>
      <c r="D1600" s="1" t="s">
        <v>9</v>
      </c>
      <c r="E1600" s="1" t="s">
        <v>20</v>
      </c>
      <c r="F1600" s="1" t="str">
        <f aca="false">TEXT(B1600,"mmm-yyyy")</f>
        <v>Dec-2024</v>
      </c>
    </row>
    <row r="1601" customFormat="false" ht="28.5" hidden="false" customHeight="true" outlineLevel="0" collapsed="false">
      <c r="A1601" s="1" t="n">
        <v>1</v>
      </c>
      <c r="B1601" s="10" t="n">
        <v>45653</v>
      </c>
      <c r="C1601" s="11" t="s">
        <v>1619</v>
      </c>
      <c r="D1601" s="1" t="s">
        <v>9</v>
      </c>
      <c r="E1601" s="1" t="s">
        <v>20</v>
      </c>
      <c r="F1601" s="1" t="str">
        <f aca="false">TEXT(B1601,"mmm-yyyy")</f>
        <v>Dec-2024</v>
      </c>
    </row>
    <row r="1602" customFormat="false" ht="144.75" hidden="false" customHeight="true" outlineLevel="0" collapsed="false">
      <c r="A1602" s="1" t="n">
        <v>3</v>
      </c>
      <c r="B1602" s="10" t="n">
        <v>45643</v>
      </c>
      <c r="C1602" s="11" t="s">
        <v>1620</v>
      </c>
      <c r="D1602" s="1" t="s">
        <v>9</v>
      </c>
      <c r="E1602" s="1" t="s">
        <v>18</v>
      </c>
      <c r="F1602" s="1" t="str">
        <f aca="false">TEXT(B1602,"mmm-yyyy")</f>
        <v>Dec-2024</v>
      </c>
    </row>
    <row r="1603" customFormat="false" ht="57.75" hidden="false" customHeight="true" outlineLevel="0" collapsed="false">
      <c r="A1603" s="1" t="n">
        <v>3</v>
      </c>
      <c r="B1603" s="10" t="n">
        <v>45649</v>
      </c>
      <c r="C1603" s="11" t="s">
        <v>1621</v>
      </c>
      <c r="D1603" s="1" t="s">
        <v>9</v>
      </c>
      <c r="E1603" s="1" t="s">
        <v>18</v>
      </c>
      <c r="F1603" s="1" t="str">
        <f aca="false">TEXT(B1603,"mmm-yyyy")</f>
        <v>Dec-2024</v>
      </c>
    </row>
    <row r="1604" customFormat="false" ht="87" hidden="false" customHeight="true" outlineLevel="0" collapsed="false">
      <c r="A1604" s="1" t="n">
        <v>1</v>
      </c>
      <c r="B1604" s="10" t="n">
        <v>45643</v>
      </c>
      <c r="C1604" s="11" t="s">
        <v>1622</v>
      </c>
      <c r="D1604" s="1" t="s">
        <v>9</v>
      </c>
      <c r="E1604" s="1" t="s">
        <v>18</v>
      </c>
      <c r="F1604" s="1" t="str">
        <f aca="false">TEXT(B1604,"mmm-yyyy")</f>
        <v>Dec-2024</v>
      </c>
    </row>
    <row r="1605" customFormat="false" ht="57.75" hidden="false" customHeight="true" outlineLevel="0" collapsed="false">
      <c r="A1605" s="1" t="n">
        <v>1</v>
      </c>
      <c r="B1605" s="10" t="n">
        <v>45641</v>
      </c>
      <c r="C1605" s="11" t="s">
        <v>1623</v>
      </c>
      <c r="D1605" s="1" t="s">
        <v>9</v>
      </c>
      <c r="E1605" s="1" t="s">
        <v>32</v>
      </c>
      <c r="F1605" s="1" t="str">
        <f aca="false">TEXT(B1605,"mmm-yyyy")</f>
        <v>Dec-2024</v>
      </c>
    </row>
    <row r="1606" customFormat="false" ht="57.75" hidden="false" customHeight="true" outlineLevel="0" collapsed="false">
      <c r="A1606" s="1" t="n">
        <v>1</v>
      </c>
      <c r="B1606" s="10" t="n">
        <v>45640</v>
      </c>
      <c r="C1606" s="11" t="s">
        <v>1624</v>
      </c>
      <c r="D1606" s="1" t="s">
        <v>9</v>
      </c>
      <c r="E1606" s="1" t="s">
        <v>18</v>
      </c>
      <c r="F1606" s="1" t="str">
        <f aca="false">TEXT(B1606,"mmm-yyyy")</f>
        <v>Dec-2024</v>
      </c>
    </row>
    <row r="1607" customFormat="false" ht="57.75" hidden="false" customHeight="true" outlineLevel="0" collapsed="false">
      <c r="A1607" s="1" t="n">
        <v>1</v>
      </c>
      <c r="B1607" s="10" t="n">
        <v>45649</v>
      </c>
      <c r="C1607" s="11" t="s">
        <v>1625</v>
      </c>
      <c r="D1607" s="1" t="s">
        <v>9</v>
      </c>
      <c r="E1607" s="1" t="s">
        <v>20</v>
      </c>
      <c r="F1607" s="1" t="str">
        <f aca="false">TEXT(B1607,"mmm-yyyy")</f>
        <v>Dec-2024</v>
      </c>
    </row>
    <row r="1608" customFormat="false" ht="43.5" hidden="false" customHeight="true" outlineLevel="0" collapsed="false">
      <c r="A1608" s="1" t="n">
        <v>1</v>
      </c>
      <c r="B1608" s="10" t="n">
        <v>45648</v>
      </c>
      <c r="C1608" s="11" t="s">
        <v>1626</v>
      </c>
      <c r="D1608" s="1" t="s">
        <v>9</v>
      </c>
      <c r="E1608" s="1" t="s">
        <v>32</v>
      </c>
      <c r="F1608" s="1" t="str">
        <f aca="false">TEXT(B1608,"mmm-yyyy")</f>
        <v>Dec-2024</v>
      </c>
    </row>
    <row r="1609" customFormat="false" ht="57.75" hidden="false" customHeight="true" outlineLevel="0" collapsed="false">
      <c r="A1609" s="1" t="n">
        <v>1</v>
      </c>
      <c r="B1609" s="10" t="n">
        <v>45601</v>
      </c>
      <c r="C1609" s="11" t="s">
        <v>1627</v>
      </c>
      <c r="D1609" s="1" t="s">
        <v>9</v>
      </c>
      <c r="E1609" s="1" t="s">
        <v>20</v>
      </c>
      <c r="F1609" s="1" t="str">
        <f aca="false">TEXT(B1609,"mmm-yyyy")</f>
        <v>Nov-2024</v>
      </c>
    </row>
    <row r="1610" customFormat="false" ht="43.5" hidden="false" customHeight="true" outlineLevel="0" collapsed="false">
      <c r="A1610" s="1" t="n">
        <v>1</v>
      </c>
      <c r="B1610" s="10" t="n">
        <v>45656</v>
      </c>
      <c r="C1610" s="11" t="s">
        <v>1628</v>
      </c>
      <c r="D1610" s="1" t="s">
        <v>9</v>
      </c>
      <c r="E1610" s="1" t="s">
        <v>20</v>
      </c>
      <c r="F1610" s="1" t="str">
        <f aca="false">TEXT(B1610,"mmm-yyyy")</f>
        <v>Dec-2024</v>
      </c>
    </row>
    <row r="1611" customFormat="false" ht="57.75" hidden="false" customHeight="true" outlineLevel="0" collapsed="false">
      <c r="A1611" s="1" t="n">
        <v>1</v>
      </c>
      <c r="B1611" s="10" t="n">
        <v>45642</v>
      </c>
      <c r="C1611" s="11" t="s">
        <v>1629</v>
      </c>
      <c r="D1611" s="1" t="s">
        <v>9</v>
      </c>
      <c r="E1611" s="1" t="s">
        <v>20</v>
      </c>
      <c r="F1611" s="1" t="str">
        <f aca="false">TEXT(B1611,"mmm-yyyy")</f>
        <v>Dec-2024</v>
      </c>
    </row>
    <row r="1612" customFormat="false" ht="57.75" hidden="false" customHeight="true" outlineLevel="0" collapsed="false">
      <c r="A1612" s="1" t="n">
        <v>1</v>
      </c>
      <c r="B1612" s="10" t="n">
        <v>45644</v>
      </c>
      <c r="C1612" s="11" t="s">
        <v>1630</v>
      </c>
      <c r="D1612" s="1" t="s">
        <v>9</v>
      </c>
      <c r="E1612" s="1" t="s">
        <v>20</v>
      </c>
      <c r="F1612" s="1" t="str">
        <f aca="false">TEXT(B1612,"mmm-yyyy")</f>
        <v>Dec-2024</v>
      </c>
    </row>
    <row r="1613" customFormat="false" ht="72" hidden="false" customHeight="true" outlineLevel="0" collapsed="false">
      <c r="A1613" s="1" t="n">
        <v>1</v>
      </c>
      <c r="B1613" s="10" t="n">
        <v>45643</v>
      </c>
      <c r="C1613" s="11" t="s">
        <v>1631</v>
      </c>
      <c r="D1613" s="1" t="s">
        <v>9</v>
      </c>
      <c r="E1613" s="1" t="s">
        <v>20</v>
      </c>
      <c r="F1613" s="1" t="str">
        <f aca="false">TEXT(B1613,"mmm-yyyy")</f>
        <v>Dec-2024</v>
      </c>
    </row>
    <row r="1614" customFormat="false" ht="43.5" hidden="false" customHeight="true" outlineLevel="0" collapsed="false">
      <c r="A1614" s="1" t="n">
        <v>2</v>
      </c>
      <c r="B1614" s="10" t="n">
        <v>45654</v>
      </c>
      <c r="C1614" s="11" t="s">
        <v>1632</v>
      </c>
      <c r="D1614" s="1" t="s">
        <v>9</v>
      </c>
      <c r="E1614" s="1" t="s">
        <v>20</v>
      </c>
      <c r="F1614" s="1" t="str">
        <f aca="false">TEXT(B1614,"mmm-yyyy")</f>
        <v>Dec-2024</v>
      </c>
    </row>
    <row r="1615" customFormat="false" ht="57.75" hidden="false" customHeight="true" outlineLevel="0" collapsed="false">
      <c r="A1615" s="1" t="n">
        <v>1</v>
      </c>
      <c r="B1615" s="10" t="n">
        <v>45642</v>
      </c>
      <c r="C1615" s="11" t="s">
        <v>1633</v>
      </c>
      <c r="D1615" s="1" t="s">
        <v>9</v>
      </c>
      <c r="E1615" s="1" t="s">
        <v>18</v>
      </c>
      <c r="F1615" s="1" t="str">
        <f aca="false">TEXT(B1615,"mmm-yyyy")</f>
        <v>Dec-2024</v>
      </c>
    </row>
    <row r="1616" customFormat="false" ht="43.5" hidden="false" customHeight="true" outlineLevel="0" collapsed="false">
      <c r="A1616" s="1" t="n">
        <v>1</v>
      </c>
      <c r="B1616" s="10" t="n">
        <v>45646</v>
      </c>
      <c r="C1616" s="11" t="s">
        <v>1634</v>
      </c>
      <c r="D1616" s="1" t="s">
        <v>9</v>
      </c>
      <c r="E1616" s="1" t="s">
        <v>20</v>
      </c>
      <c r="F1616" s="1" t="str">
        <f aca="false">TEXT(B1616,"mmm-yyyy")</f>
        <v>Dec-2024</v>
      </c>
    </row>
    <row r="1617" customFormat="false" ht="28.5" hidden="false" customHeight="true" outlineLevel="0" collapsed="false">
      <c r="A1617" s="1" t="n">
        <v>2</v>
      </c>
      <c r="B1617" s="10" t="n">
        <v>45643</v>
      </c>
      <c r="C1617" s="11" t="s">
        <v>1635</v>
      </c>
      <c r="D1617" s="1" t="s">
        <v>9</v>
      </c>
      <c r="E1617" s="1" t="s">
        <v>20</v>
      </c>
      <c r="F1617" s="1" t="str">
        <f aca="false">TEXT(B1617,"mmm-yyyy")</f>
        <v>Dec-2024</v>
      </c>
    </row>
    <row r="1618" customFormat="false" ht="43.5" hidden="false" customHeight="true" outlineLevel="0" collapsed="false">
      <c r="A1618" s="1" t="n">
        <v>1</v>
      </c>
      <c r="B1618" s="10" t="n">
        <v>45645</v>
      </c>
      <c r="C1618" s="11" t="s">
        <v>1636</v>
      </c>
      <c r="D1618" s="1" t="s">
        <v>9</v>
      </c>
      <c r="E1618" s="1" t="s">
        <v>20</v>
      </c>
      <c r="F1618" s="1" t="str">
        <f aca="false">TEXT(B1618,"mmm-yyyy")</f>
        <v>Dec-2024</v>
      </c>
    </row>
    <row r="1619" customFormat="false" ht="43.5" hidden="false" customHeight="true" outlineLevel="0" collapsed="false">
      <c r="A1619" s="1" t="n">
        <v>1</v>
      </c>
      <c r="B1619" s="10" t="n">
        <v>45653</v>
      </c>
      <c r="C1619" s="11" t="s">
        <v>1637</v>
      </c>
      <c r="D1619" s="1" t="s">
        <v>9</v>
      </c>
      <c r="E1619" s="1" t="s">
        <v>20</v>
      </c>
      <c r="F1619" s="1" t="str">
        <f aca="false">TEXT(B1619,"mmm-yyyy")</f>
        <v>Dec-2024</v>
      </c>
    </row>
    <row r="1620" customFormat="false" ht="43.5" hidden="false" customHeight="true" outlineLevel="0" collapsed="false">
      <c r="A1620" s="1" t="n">
        <v>1</v>
      </c>
      <c r="B1620" s="10" t="n">
        <v>45654</v>
      </c>
      <c r="C1620" s="11" t="s">
        <v>1638</v>
      </c>
      <c r="D1620" s="1" t="s">
        <v>9</v>
      </c>
      <c r="E1620" s="1" t="s">
        <v>18</v>
      </c>
      <c r="F1620" s="1" t="str">
        <f aca="false">TEXT(B1620,"mmm-yyyy")</f>
        <v>Dec-2024</v>
      </c>
    </row>
    <row r="1621" customFormat="false" ht="57.75" hidden="false" customHeight="true" outlineLevel="0" collapsed="false">
      <c r="A1621" s="1" t="n">
        <v>1</v>
      </c>
      <c r="B1621" s="10" t="n">
        <v>45597</v>
      </c>
      <c r="C1621" s="11" t="s">
        <v>1639</v>
      </c>
      <c r="D1621" s="1" t="s">
        <v>9</v>
      </c>
      <c r="E1621" s="1" t="s">
        <v>20</v>
      </c>
      <c r="F1621" s="1" t="str">
        <f aca="false">TEXT(B1621,"mmm-yyyy")</f>
        <v>Nov-2024</v>
      </c>
    </row>
    <row r="1622" customFormat="false" ht="43.5" hidden="false" customHeight="true" outlineLevel="0" collapsed="false">
      <c r="A1622" s="1" t="n">
        <v>1</v>
      </c>
      <c r="B1622" s="10" t="n">
        <v>45603</v>
      </c>
      <c r="C1622" s="11" t="s">
        <v>1640</v>
      </c>
      <c r="D1622" s="1" t="s">
        <v>9</v>
      </c>
      <c r="E1622" s="1" t="s">
        <v>20</v>
      </c>
      <c r="F1622" s="1" t="str">
        <f aca="false">TEXT(B1622,"mmm-yyyy")</f>
        <v>Nov-2024</v>
      </c>
    </row>
    <row r="1623" customFormat="false" ht="43.5" hidden="false" customHeight="true" outlineLevel="0" collapsed="false">
      <c r="A1623" s="1" t="n">
        <v>1</v>
      </c>
      <c r="B1623" s="10" t="n">
        <v>45641</v>
      </c>
      <c r="C1623" s="11" t="s">
        <v>1641</v>
      </c>
      <c r="D1623" s="1" t="s">
        <v>9</v>
      </c>
      <c r="E1623" s="1" t="s">
        <v>20</v>
      </c>
      <c r="F1623" s="1" t="str">
        <f aca="false">TEXT(B1623,"mmm-yyyy")</f>
        <v>Dec-2024</v>
      </c>
    </row>
    <row r="1624" customFormat="false" ht="87" hidden="false" customHeight="true" outlineLevel="0" collapsed="false">
      <c r="A1624" s="1" t="n">
        <v>5</v>
      </c>
      <c r="B1624" s="10" t="n">
        <v>45647</v>
      </c>
      <c r="C1624" s="11" t="s">
        <v>1642</v>
      </c>
      <c r="D1624" s="1" t="s">
        <v>9</v>
      </c>
      <c r="E1624" s="1" t="s">
        <v>20</v>
      </c>
      <c r="F1624" s="1" t="str">
        <f aca="false">TEXT(B1624,"mmm-yyyy")</f>
        <v>Dec-2024</v>
      </c>
    </row>
    <row r="1625" customFormat="false" ht="72" hidden="false" customHeight="true" outlineLevel="0" collapsed="false">
      <c r="A1625" s="1" t="n">
        <v>4</v>
      </c>
      <c r="B1625" s="10" t="n">
        <v>45610</v>
      </c>
      <c r="C1625" s="11" t="s">
        <v>1643</v>
      </c>
      <c r="D1625" s="1" t="s">
        <v>9</v>
      </c>
      <c r="E1625" s="1" t="s">
        <v>18</v>
      </c>
      <c r="F1625" s="1" t="str">
        <f aca="false">TEXT(B1625,"mmm-yyyy")</f>
        <v>Nov-2024</v>
      </c>
    </row>
    <row r="1626" customFormat="false" ht="101.25" hidden="false" customHeight="true" outlineLevel="0" collapsed="false">
      <c r="A1626" s="1" t="n">
        <v>1</v>
      </c>
      <c r="B1626" s="10" t="n">
        <v>45578</v>
      </c>
      <c r="C1626" s="11" t="s">
        <v>1644</v>
      </c>
      <c r="D1626" s="1" t="s">
        <v>9</v>
      </c>
      <c r="E1626" s="1" t="s">
        <v>20</v>
      </c>
      <c r="F1626" s="1" t="str">
        <f aca="false">TEXT(B1626,"mmm-yyyy")</f>
        <v>Oct-2024</v>
      </c>
    </row>
    <row r="1627" customFormat="false" ht="43.5" hidden="false" customHeight="true" outlineLevel="0" collapsed="false">
      <c r="A1627" s="1" t="n">
        <v>2</v>
      </c>
      <c r="B1627" s="10" t="n">
        <v>45601</v>
      </c>
      <c r="C1627" s="11" t="s">
        <v>1645</v>
      </c>
      <c r="D1627" s="1" t="s">
        <v>9</v>
      </c>
      <c r="E1627" s="1" t="s">
        <v>18</v>
      </c>
      <c r="F1627" s="1" t="str">
        <f aca="false">TEXT(B1627,"mmm-yyyy")</f>
        <v>Nov-2024</v>
      </c>
    </row>
    <row r="1628" customFormat="false" ht="87" hidden="false" customHeight="true" outlineLevel="0" collapsed="false">
      <c r="A1628" s="1" t="n">
        <v>1</v>
      </c>
      <c r="B1628" s="10" t="n">
        <v>45593</v>
      </c>
      <c r="C1628" s="11" t="s">
        <v>1646</v>
      </c>
      <c r="D1628" s="1" t="s">
        <v>9</v>
      </c>
      <c r="E1628" s="1" t="s">
        <v>20</v>
      </c>
      <c r="F1628" s="1" t="str">
        <f aca="false">TEXT(B1628,"mmm-yyyy")</f>
        <v>Oct-2024</v>
      </c>
    </row>
    <row r="1629" customFormat="false" ht="87" hidden="false" customHeight="true" outlineLevel="0" collapsed="false">
      <c r="A1629" s="1" t="n">
        <v>1</v>
      </c>
      <c r="B1629" s="10" t="n">
        <v>45636</v>
      </c>
      <c r="C1629" s="11" t="s">
        <v>1647</v>
      </c>
      <c r="D1629" s="1" t="s">
        <v>9</v>
      </c>
      <c r="E1629" s="1" t="s">
        <v>20</v>
      </c>
      <c r="F1629" s="1" t="str">
        <f aca="false">TEXT(B1629,"mmm-yyyy")</f>
        <v>Dec-2024</v>
      </c>
    </row>
    <row r="1630" customFormat="false" ht="43.5" hidden="false" customHeight="true" outlineLevel="0" collapsed="false">
      <c r="A1630" s="1" t="n">
        <v>2</v>
      </c>
      <c r="B1630" s="10" t="n">
        <v>45588</v>
      </c>
      <c r="C1630" s="11" t="s">
        <v>1648</v>
      </c>
      <c r="D1630" s="1" t="s">
        <v>9</v>
      </c>
      <c r="E1630" s="1" t="s">
        <v>20</v>
      </c>
      <c r="F1630" s="1" t="str">
        <f aca="false">TEXT(B1630,"mmm-yyyy")</f>
        <v>Oct-2024</v>
      </c>
    </row>
    <row r="1631" customFormat="false" ht="72" hidden="false" customHeight="true" outlineLevel="0" collapsed="false">
      <c r="A1631" s="1" t="n">
        <v>2</v>
      </c>
      <c r="B1631" s="10" t="n">
        <v>45631</v>
      </c>
      <c r="C1631" s="11" t="s">
        <v>1649</v>
      </c>
      <c r="D1631" s="1" t="s">
        <v>9</v>
      </c>
      <c r="E1631" s="1" t="s">
        <v>32</v>
      </c>
      <c r="F1631" s="1" t="str">
        <f aca="false">TEXT(B1631,"mmm-yyyy")</f>
        <v>Dec-2024</v>
      </c>
    </row>
    <row r="1632" customFormat="false" ht="130.5" hidden="false" customHeight="true" outlineLevel="0" collapsed="false">
      <c r="A1632" s="1" t="n">
        <v>1</v>
      </c>
      <c r="B1632" s="10" t="n">
        <v>45538</v>
      </c>
      <c r="C1632" s="11" t="s">
        <v>1650</v>
      </c>
      <c r="D1632" s="1" t="s">
        <v>9</v>
      </c>
      <c r="E1632" s="1" t="s">
        <v>20</v>
      </c>
      <c r="F1632" s="1" t="str">
        <f aca="false">TEXT(B1632,"mmm-yyyy")</f>
        <v>Sep-2024</v>
      </c>
    </row>
    <row r="1633" customFormat="false" ht="101.25" hidden="false" customHeight="true" outlineLevel="0" collapsed="false">
      <c r="A1633" s="1" t="n">
        <v>1</v>
      </c>
      <c r="B1633" s="10" t="n">
        <v>45560</v>
      </c>
      <c r="C1633" s="11" t="s">
        <v>1651</v>
      </c>
      <c r="D1633" s="1" t="s">
        <v>9</v>
      </c>
      <c r="E1633" s="1" t="s">
        <v>20</v>
      </c>
      <c r="F1633" s="1" t="str">
        <f aca="false">TEXT(B1633,"mmm-yyyy")</f>
        <v>Sep-2024</v>
      </c>
    </row>
    <row r="1634" customFormat="false" ht="72" hidden="false" customHeight="true" outlineLevel="0" collapsed="false">
      <c r="A1634" s="1" t="n">
        <v>1</v>
      </c>
      <c r="B1634" s="10" t="n">
        <v>45592</v>
      </c>
      <c r="C1634" s="11" t="s">
        <v>1652</v>
      </c>
      <c r="D1634" s="1" t="s">
        <v>9</v>
      </c>
      <c r="E1634" s="1" t="s">
        <v>20</v>
      </c>
      <c r="F1634" s="1" t="str">
        <f aca="false">TEXT(B1634,"mmm-yyyy")</f>
        <v>Oct-2024</v>
      </c>
    </row>
    <row r="1635" customFormat="false" ht="57.75" hidden="false" customHeight="true" outlineLevel="0" collapsed="false">
      <c r="A1635" s="1" t="n">
        <v>1</v>
      </c>
      <c r="B1635" s="10" t="n">
        <v>45607</v>
      </c>
      <c r="C1635" s="11" t="s">
        <v>1653</v>
      </c>
      <c r="D1635" s="1" t="s">
        <v>9</v>
      </c>
      <c r="E1635" s="1" t="s">
        <v>20</v>
      </c>
      <c r="F1635" s="1" t="str">
        <f aca="false">TEXT(B1635,"mmm-yyyy")</f>
        <v>Nov-2024</v>
      </c>
    </row>
    <row r="1636" customFormat="false" ht="57.75" hidden="false" customHeight="true" outlineLevel="0" collapsed="false">
      <c r="A1636" s="1" t="n">
        <v>1</v>
      </c>
      <c r="B1636" s="10" t="n">
        <v>45627</v>
      </c>
      <c r="C1636" s="11" t="s">
        <v>1654</v>
      </c>
      <c r="D1636" s="1" t="s">
        <v>9</v>
      </c>
      <c r="E1636" s="1" t="s">
        <v>18</v>
      </c>
      <c r="F1636" s="1" t="str">
        <f aca="false">TEXT(B1636,"mmm-yyyy")</f>
        <v>Dec-2024</v>
      </c>
    </row>
    <row r="1637" customFormat="false" ht="101.25" hidden="false" customHeight="true" outlineLevel="0" collapsed="false">
      <c r="A1637" s="1" t="n">
        <v>1</v>
      </c>
      <c r="B1637" s="10" t="n">
        <v>45544</v>
      </c>
      <c r="C1637" s="11" t="s">
        <v>1655</v>
      </c>
      <c r="D1637" s="1" t="s">
        <v>9</v>
      </c>
      <c r="E1637" s="1" t="s">
        <v>20</v>
      </c>
      <c r="F1637" s="1" t="str">
        <f aca="false">TEXT(B1637,"mmm-yyyy")</f>
        <v>Sep-2024</v>
      </c>
    </row>
    <row r="1638" customFormat="false" ht="87" hidden="false" customHeight="true" outlineLevel="0" collapsed="false">
      <c r="A1638" s="1" t="n">
        <v>1</v>
      </c>
      <c r="B1638" s="10" t="n">
        <v>45549</v>
      </c>
      <c r="C1638" s="11" t="s">
        <v>1656</v>
      </c>
      <c r="D1638" s="1" t="s">
        <v>9</v>
      </c>
      <c r="E1638" s="1" t="s">
        <v>20</v>
      </c>
      <c r="F1638" s="1" t="str">
        <f aca="false">TEXT(B1638,"mmm-yyyy")</f>
        <v>Sep-2024</v>
      </c>
    </row>
    <row r="1639" customFormat="false" ht="101.25" hidden="false" customHeight="true" outlineLevel="0" collapsed="false">
      <c r="A1639" s="1" t="n">
        <v>1</v>
      </c>
      <c r="B1639" s="10" t="n">
        <v>45599</v>
      </c>
      <c r="C1639" s="11" t="s">
        <v>1657</v>
      </c>
      <c r="D1639" s="1" t="s">
        <v>9</v>
      </c>
      <c r="E1639" s="1" t="s">
        <v>20</v>
      </c>
      <c r="F1639" s="1" t="str">
        <f aca="false">TEXT(B1639,"mmm-yyyy")</f>
        <v>Nov-2024</v>
      </c>
    </row>
    <row r="1640" customFormat="false" ht="87" hidden="false" customHeight="true" outlineLevel="0" collapsed="false">
      <c r="A1640" s="1" t="n">
        <v>1</v>
      </c>
      <c r="B1640" s="10" t="n">
        <v>45613</v>
      </c>
      <c r="C1640" s="11" t="s">
        <v>1658</v>
      </c>
      <c r="D1640" s="1" t="s">
        <v>9</v>
      </c>
      <c r="E1640" s="1" t="s">
        <v>18</v>
      </c>
      <c r="F1640" s="1" t="str">
        <f aca="false">TEXT(B1640,"mmm-yyyy")</f>
        <v>Nov-2024</v>
      </c>
    </row>
    <row r="1641" customFormat="false" ht="101.25" hidden="false" customHeight="true" outlineLevel="0" collapsed="false">
      <c r="A1641" s="1" t="n">
        <v>1</v>
      </c>
      <c r="B1641" s="10" t="n">
        <v>45569</v>
      </c>
      <c r="C1641" s="11" t="s">
        <v>1659</v>
      </c>
      <c r="D1641" s="1" t="s">
        <v>9</v>
      </c>
      <c r="E1641" s="1" t="s">
        <v>20</v>
      </c>
      <c r="F1641" s="1" t="str">
        <f aca="false">TEXT(B1641,"mmm-yyyy")</f>
        <v>Oct-2024</v>
      </c>
    </row>
    <row r="1642" customFormat="false" ht="57.75" hidden="false" customHeight="true" outlineLevel="0" collapsed="false">
      <c r="A1642" s="1" t="n">
        <v>2</v>
      </c>
      <c r="B1642" s="10" t="n">
        <v>45631</v>
      </c>
      <c r="C1642" s="11" t="s">
        <v>1660</v>
      </c>
      <c r="D1642" s="1" t="s">
        <v>9</v>
      </c>
      <c r="E1642" s="1" t="s">
        <v>18</v>
      </c>
      <c r="F1642" s="1" t="str">
        <f aca="false">TEXT(B1642,"mmm-yyyy")</f>
        <v>Dec-2024</v>
      </c>
    </row>
    <row r="1643" customFormat="false" ht="130.5" hidden="false" customHeight="true" outlineLevel="0" collapsed="false">
      <c r="A1643" s="1" t="n">
        <v>1</v>
      </c>
      <c r="B1643" s="10" t="n">
        <v>45570</v>
      </c>
      <c r="C1643" s="11" t="s">
        <v>1661</v>
      </c>
      <c r="D1643" s="1" t="s">
        <v>9</v>
      </c>
      <c r="E1643" s="1" t="s">
        <v>20</v>
      </c>
      <c r="F1643" s="1" t="str">
        <f aca="false">TEXT(B1643,"mmm-yyyy")</f>
        <v>Oct-2024</v>
      </c>
    </row>
    <row r="1644" customFormat="false" ht="43.5" hidden="false" customHeight="true" outlineLevel="0" collapsed="false">
      <c r="A1644" s="1" t="n">
        <v>2</v>
      </c>
      <c r="B1644" s="10" t="n">
        <v>45605</v>
      </c>
      <c r="C1644" s="11" t="s">
        <v>1662</v>
      </c>
      <c r="D1644" s="1" t="s">
        <v>9</v>
      </c>
      <c r="E1644" s="1" t="s">
        <v>18</v>
      </c>
      <c r="F1644" s="1" t="str">
        <f aca="false">TEXT(B1644,"mmm-yyyy")</f>
        <v>Nov-2024</v>
      </c>
    </row>
    <row r="1645" customFormat="false" ht="101.25" hidden="false" customHeight="true" outlineLevel="0" collapsed="false">
      <c r="A1645" s="1" t="n">
        <v>3</v>
      </c>
      <c r="B1645" s="10" t="n">
        <v>45625</v>
      </c>
      <c r="C1645" s="11" t="s">
        <v>1663</v>
      </c>
      <c r="D1645" s="1" t="s">
        <v>9</v>
      </c>
      <c r="E1645" s="1" t="s">
        <v>18</v>
      </c>
      <c r="F1645" s="1" t="str">
        <f aca="false">TEXT(B1645,"mmm-yyyy")</f>
        <v>Nov-2024</v>
      </c>
    </row>
    <row r="1646" customFormat="false" ht="57.75" hidden="false" customHeight="true" outlineLevel="0" collapsed="false">
      <c r="A1646" s="1" t="n">
        <v>1</v>
      </c>
      <c r="B1646" s="10" t="n">
        <v>45617</v>
      </c>
      <c r="C1646" s="11" t="s">
        <v>1664</v>
      </c>
      <c r="D1646" s="1" t="s">
        <v>9</v>
      </c>
      <c r="E1646" s="1" t="s">
        <v>20</v>
      </c>
      <c r="F1646" s="1" t="str">
        <f aca="false">TEXT(B1646,"mmm-yyyy")</f>
        <v>Nov-2024</v>
      </c>
    </row>
    <row r="1647" customFormat="false" ht="115.5" hidden="false" customHeight="true" outlineLevel="0" collapsed="false">
      <c r="A1647" s="1" t="n">
        <v>1</v>
      </c>
      <c r="B1647" s="10" t="n">
        <v>45526</v>
      </c>
      <c r="C1647" s="11" t="s">
        <v>1665</v>
      </c>
      <c r="D1647" s="1" t="s">
        <v>9</v>
      </c>
      <c r="E1647" s="1" t="s">
        <v>20</v>
      </c>
      <c r="F1647" s="1" t="str">
        <f aca="false">TEXT(B1647,"mmm-yyyy")</f>
        <v>Aug-2024</v>
      </c>
    </row>
    <row r="1648" customFormat="false" ht="115.5" hidden="false" customHeight="true" outlineLevel="0" collapsed="false">
      <c r="A1648" s="1" t="n">
        <v>1</v>
      </c>
      <c r="B1648" s="10" t="n">
        <v>45537</v>
      </c>
      <c r="C1648" s="11" t="s">
        <v>1666</v>
      </c>
      <c r="D1648" s="1" t="s">
        <v>9</v>
      </c>
      <c r="E1648" s="1" t="s">
        <v>20</v>
      </c>
      <c r="F1648" s="1" t="str">
        <f aca="false">TEXT(B1648,"mmm-yyyy")</f>
        <v>Sep-2024</v>
      </c>
    </row>
    <row r="1649" customFormat="false" ht="130.5" hidden="false" customHeight="true" outlineLevel="0" collapsed="false">
      <c r="A1649" s="1" t="n">
        <v>1</v>
      </c>
      <c r="B1649" s="10" t="n">
        <v>45530</v>
      </c>
      <c r="C1649" s="11" t="s">
        <v>1667</v>
      </c>
      <c r="D1649" s="1" t="s">
        <v>9</v>
      </c>
      <c r="E1649" s="1" t="s">
        <v>20</v>
      </c>
      <c r="F1649" s="1" t="str">
        <f aca="false">TEXT(B1649,"mmm-yyyy")</f>
        <v>Aug-2024</v>
      </c>
    </row>
    <row r="1650" customFormat="false" ht="115.5" hidden="false" customHeight="true" outlineLevel="0" collapsed="false">
      <c r="A1650" s="1" t="n">
        <v>1</v>
      </c>
      <c r="B1650" s="10" t="n">
        <v>45560</v>
      </c>
      <c r="C1650" s="11" t="s">
        <v>1668</v>
      </c>
      <c r="D1650" s="1" t="s">
        <v>9</v>
      </c>
      <c r="E1650" s="1" t="s">
        <v>20</v>
      </c>
      <c r="F1650" s="1" t="str">
        <f aca="false">TEXT(B1650,"mmm-yyyy")</f>
        <v>Sep-2024</v>
      </c>
    </row>
    <row r="1651" customFormat="false" ht="57.75" hidden="false" customHeight="true" outlineLevel="0" collapsed="false">
      <c r="A1651" s="1" t="n">
        <v>1</v>
      </c>
      <c r="B1651" s="10" t="n">
        <v>45625</v>
      </c>
      <c r="C1651" s="11" t="s">
        <v>1669</v>
      </c>
      <c r="D1651" s="1" t="s">
        <v>9</v>
      </c>
      <c r="E1651" s="1" t="s">
        <v>20</v>
      </c>
      <c r="F1651" s="1" t="str">
        <f aca="false">TEXT(B1651,"mmm-yyyy")</f>
        <v>Nov-2024</v>
      </c>
    </row>
    <row r="1652" customFormat="false" ht="101.25" hidden="false" customHeight="true" outlineLevel="0" collapsed="false">
      <c r="A1652" s="1" t="n">
        <v>1</v>
      </c>
      <c r="B1652" s="10" t="n">
        <v>45585</v>
      </c>
      <c r="C1652" s="11" t="s">
        <v>1670</v>
      </c>
      <c r="D1652" s="1" t="s">
        <v>9</v>
      </c>
      <c r="E1652" s="1" t="s">
        <v>20</v>
      </c>
      <c r="F1652" s="1" t="str">
        <f aca="false">TEXT(B1652,"mmm-yyyy")</f>
        <v>Oct-2024</v>
      </c>
    </row>
    <row r="1653" customFormat="false" ht="130.5" hidden="false" customHeight="true" outlineLevel="0" collapsed="false">
      <c r="A1653" s="1" t="n">
        <v>2</v>
      </c>
      <c r="B1653" s="10" t="n">
        <v>45615</v>
      </c>
      <c r="C1653" s="11" t="s">
        <v>1671</v>
      </c>
      <c r="D1653" s="1" t="s">
        <v>9</v>
      </c>
      <c r="E1653" s="1" t="s">
        <v>20</v>
      </c>
      <c r="F1653" s="1" t="str">
        <f aca="false">TEXT(B1653,"mmm-yyyy")</f>
        <v>Nov-2024</v>
      </c>
    </row>
    <row r="1654" customFormat="false" ht="101.25" hidden="false" customHeight="true" outlineLevel="0" collapsed="false">
      <c r="A1654" s="1" t="n">
        <v>1</v>
      </c>
      <c r="B1654" s="10" t="n">
        <v>45620</v>
      </c>
      <c r="C1654" s="11" t="s">
        <v>1672</v>
      </c>
      <c r="D1654" s="1" t="s">
        <v>9</v>
      </c>
      <c r="E1654" s="1" t="s">
        <v>18</v>
      </c>
      <c r="F1654" s="1" t="str">
        <f aca="false">TEXT(B1654,"mmm-yyyy")</f>
        <v>Nov-2024</v>
      </c>
    </row>
    <row r="1655" customFormat="false" ht="57.75" hidden="false" customHeight="true" outlineLevel="0" collapsed="false">
      <c r="A1655" s="1" t="n">
        <v>1</v>
      </c>
      <c r="B1655" s="10" t="n">
        <v>45656</v>
      </c>
      <c r="C1655" s="11" t="s">
        <v>1673</v>
      </c>
      <c r="D1655" s="1" t="s">
        <v>9</v>
      </c>
      <c r="E1655" s="1" t="s">
        <v>20</v>
      </c>
      <c r="F1655" s="1" t="str">
        <f aca="false">TEXT(B1655,"mmm-yyyy")</f>
        <v>Dec-2024</v>
      </c>
    </row>
    <row r="1656" customFormat="false" ht="87" hidden="false" customHeight="true" outlineLevel="0" collapsed="false">
      <c r="A1656" s="1" t="n">
        <v>1</v>
      </c>
      <c r="B1656" s="10" t="n">
        <v>45507</v>
      </c>
      <c r="C1656" s="11" t="s">
        <v>1674</v>
      </c>
      <c r="D1656" s="1" t="s">
        <v>9</v>
      </c>
      <c r="E1656" s="1" t="s">
        <v>20</v>
      </c>
      <c r="F1656" s="1" t="str">
        <f aca="false">TEXT(B1656,"mmm-yyyy")</f>
        <v>Aug-2024</v>
      </c>
    </row>
    <row r="1657" customFormat="false" ht="87" hidden="false" customHeight="true" outlineLevel="0" collapsed="false">
      <c r="A1657" s="1" t="n">
        <v>1</v>
      </c>
      <c r="B1657" s="10" t="n">
        <v>45590</v>
      </c>
      <c r="C1657" s="11" t="s">
        <v>1675</v>
      </c>
      <c r="D1657" s="1" t="s">
        <v>9</v>
      </c>
      <c r="E1657" s="1" t="s">
        <v>18</v>
      </c>
      <c r="F1657" s="1" t="str">
        <f aca="false">TEXT(B1657,"mmm-yyyy")</f>
        <v>Oct-2024</v>
      </c>
    </row>
    <row r="1658" customFormat="false" ht="115.5" hidden="false" customHeight="true" outlineLevel="0" collapsed="false">
      <c r="A1658" s="1" t="n">
        <v>1</v>
      </c>
      <c r="B1658" s="10" t="n">
        <v>45555</v>
      </c>
      <c r="C1658" s="11" t="s">
        <v>1676</v>
      </c>
      <c r="D1658" s="1" t="s">
        <v>9</v>
      </c>
      <c r="E1658" s="1" t="s">
        <v>20</v>
      </c>
      <c r="F1658" s="1" t="str">
        <f aca="false">TEXT(B1658,"mmm-yyyy")</f>
        <v>Sep-2024</v>
      </c>
    </row>
    <row r="1659" customFormat="false" ht="87" hidden="false" customHeight="true" outlineLevel="0" collapsed="false">
      <c r="A1659" s="1" t="n">
        <v>1</v>
      </c>
      <c r="B1659" s="10" t="n">
        <v>45616</v>
      </c>
      <c r="C1659" s="11" t="s">
        <v>1677</v>
      </c>
      <c r="D1659" s="1" t="s">
        <v>9</v>
      </c>
      <c r="E1659" s="1" t="s">
        <v>20</v>
      </c>
      <c r="F1659" s="1" t="str">
        <f aca="false">TEXT(B1659,"mmm-yyyy")</f>
        <v>Nov-2024</v>
      </c>
    </row>
    <row r="1660" customFormat="false" ht="87" hidden="false" customHeight="true" outlineLevel="0" collapsed="false">
      <c r="A1660" s="1" t="n">
        <v>1</v>
      </c>
      <c r="B1660" s="10" t="n">
        <v>45576</v>
      </c>
      <c r="C1660" s="11" t="s">
        <v>1678</v>
      </c>
      <c r="D1660" s="1" t="s">
        <v>9</v>
      </c>
      <c r="E1660" s="1" t="s">
        <v>20</v>
      </c>
      <c r="F1660" s="1" t="str">
        <f aca="false">TEXT(B1660,"mmm-yyyy")</f>
        <v>Oct-2024</v>
      </c>
    </row>
    <row r="1661" customFormat="false" ht="87" hidden="false" customHeight="true" outlineLevel="0" collapsed="false">
      <c r="A1661" s="1" t="n">
        <v>1</v>
      </c>
      <c r="B1661" s="10" t="n">
        <v>45623</v>
      </c>
      <c r="C1661" s="11" t="s">
        <v>1679</v>
      </c>
      <c r="D1661" s="1" t="s">
        <v>9</v>
      </c>
      <c r="E1661" s="1" t="s">
        <v>20</v>
      </c>
      <c r="F1661" s="1" t="str">
        <f aca="false">TEXT(B1661,"mmm-yyyy")</f>
        <v>Nov-2024</v>
      </c>
    </row>
    <row r="1662" customFormat="false" ht="87" hidden="false" customHeight="true" outlineLevel="0" collapsed="false">
      <c r="A1662" s="1" t="n">
        <v>1</v>
      </c>
      <c r="B1662" s="10" t="n">
        <v>45547</v>
      </c>
      <c r="C1662" s="11" t="s">
        <v>1680</v>
      </c>
      <c r="D1662" s="1" t="s">
        <v>9</v>
      </c>
      <c r="E1662" s="1" t="s">
        <v>18</v>
      </c>
      <c r="F1662" s="1" t="str">
        <f aca="false">TEXT(B1662,"mmm-yyyy")</f>
        <v>Sep-2024</v>
      </c>
    </row>
    <row r="1663" customFormat="false" ht="72" hidden="false" customHeight="true" outlineLevel="0" collapsed="false">
      <c r="A1663" s="1" t="n">
        <v>1</v>
      </c>
      <c r="B1663" s="10" t="n">
        <v>45592</v>
      </c>
      <c r="C1663" s="11" t="s">
        <v>1681</v>
      </c>
      <c r="D1663" s="1" t="s">
        <v>9</v>
      </c>
      <c r="E1663" s="1" t="s">
        <v>20</v>
      </c>
      <c r="F1663" s="1" t="str">
        <f aca="false">TEXT(B1663,"mmm-yyyy")</f>
        <v>Oct-2024</v>
      </c>
    </row>
    <row r="1664" customFormat="false" ht="87" hidden="false" customHeight="true" outlineLevel="0" collapsed="false">
      <c r="A1664" s="1" t="n">
        <v>1</v>
      </c>
      <c r="B1664" s="10" t="n">
        <v>45646</v>
      </c>
      <c r="C1664" s="11" t="s">
        <v>1682</v>
      </c>
      <c r="D1664" s="1" t="s">
        <v>9</v>
      </c>
      <c r="E1664" s="1" t="s">
        <v>20</v>
      </c>
      <c r="F1664" s="1" t="str">
        <f aca="false">TEXT(B1664,"mmm-yyyy")</f>
        <v>Dec-2024</v>
      </c>
    </row>
    <row r="1665" customFormat="false" ht="43.5" hidden="false" customHeight="true" outlineLevel="0" collapsed="false">
      <c r="A1665" s="1" t="n">
        <v>1</v>
      </c>
      <c r="B1665" s="10" t="n">
        <v>45644</v>
      </c>
      <c r="C1665" s="11" t="s">
        <v>1683</v>
      </c>
      <c r="D1665" s="1" t="s">
        <v>9</v>
      </c>
      <c r="E1665" s="1" t="s">
        <v>32</v>
      </c>
      <c r="F1665" s="1" t="str">
        <f aca="false">TEXT(B1665,"mmm-yyyy")</f>
        <v>Dec-2024</v>
      </c>
    </row>
    <row r="1666" customFormat="false" ht="72" hidden="false" customHeight="true" outlineLevel="0" collapsed="false">
      <c r="A1666" s="1" t="n">
        <v>1</v>
      </c>
      <c r="B1666" s="10" t="n">
        <v>45561</v>
      </c>
      <c r="C1666" s="11" t="s">
        <v>1684</v>
      </c>
      <c r="D1666" s="1" t="s">
        <v>9</v>
      </c>
      <c r="E1666" s="1" t="s">
        <v>20</v>
      </c>
      <c r="F1666" s="1" t="str">
        <f aca="false">TEXT(B1666,"mmm-yyyy")</f>
        <v>Sep-2024</v>
      </c>
    </row>
    <row r="1667" customFormat="false" ht="87" hidden="false" customHeight="true" outlineLevel="0" collapsed="false">
      <c r="A1667" s="1" t="n">
        <v>1</v>
      </c>
      <c r="B1667" s="10" t="n">
        <v>45574</v>
      </c>
      <c r="C1667" s="11" t="s">
        <v>1685</v>
      </c>
      <c r="D1667" s="1" t="s">
        <v>9</v>
      </c>
      <c r="E1667" s="1" t="s">
        <v>18</v>
      </c>
      <c r="F1667" s="1" t="str">
        <f aca="false">TEXT(B1667,"mmm-yyyy")</f>
        <v>Oct-2024</v>
      </c>
    </row>
    <row r="1668" customFormat="false" ht="115.5" hidden="false" customHeight="true" outlineLevel="0" collapsed="false">
      <c r="A1668" s="1" t="n">
        <v>1</v>
      </c>
      <c r="B1668" s="10" t="n">
        <v>45596</v>
      </c>
      <c r="C1668" s="11" t="s">
        <v>1686</v>
      </c>
      <c r="D1668" s="1" t="s">
        <v>9</v>
      </c>
      <c r="E1668" s="1" t="s">
        <v>20</v>
      </c>
      <c r="F1668" s="1" t="str">
        <f aca="false">TEXT(B1668,"mmm-yyyy")</f>
        <v>Oct-2024</v>
      </c>
    </row>
    <row r="1669" customFormat="false" ht="130.5" hidden="false" customHeight="true" outlineLevel="0" collapsed="false">
      <c r="A1669" s="1" t="n">
        <v>3</v>
      </c>
      <c r="B1669" s="10" t="n">
        <v>45621</v>
      </c>
      <c r="C1669" s="11" t="s">
        <v>1687</v>
      </c>
      <c r="D1669" s="1" t="s">
        <v>9</v>
      </c>
      <c r="E1669" s="1" t="s">
        <v>20</v>
      </c>
      <c r="F1669" s="1" t="str">
        <f aca="false">TEXT(B1669,"mmm-yyyy")</f>
        <v>Nov-2024</v>
      </c>
    </row>
    <row r="1670" customFormat="false" ht="115.5" hidden="false" customHeight="true" outlineLevel="0" collapsed="false">
      <c r="A1670" s="1" t="n">
        <v>1</v>
      </c>
      <c r="B1670" s="10" t="n">
        <v>45579</v>
      </c>
      <c r="C1670" s="11" t="s">
        <v>1688</v>
      </c>
      <c r="D1670" s="1" t="s">
        <v>9</v>
      </c>
      <c r="E1670" s="1" t="s">
        <v>20</v>
      </c>
      <c r="F1670" s="1" t="str">
        <f aca="false">TEXT(B1670,"mmm-yyyy")</f>
        <v>Oct-2024</v>
      </c>
    </row>
    <row r="1671" customFormat="false" ht="115.5" hidden="false" customHeight="true" outlineLevel="0" collapsed="false">
      <c r="A1671" s="1" t="n">
        <v>1</v>
      </c>
      <c r="B1671" s="10" t="n">
        <v>45579</v>
      </c>
      <c r="C1671" s="11" t="s">
        <v>1689</v>
      </c>
      <c r="D1671" s="1" t="s">
        <v>9</v>
      </c>
      <c r="E1671" s="1" t="s">
        <v>18</v>
      </c>
      <c r="F1671" s="1" t="str">
        <f aca="false">TEXT(B1671,"mmm-yyyy")</f>
        <v>Oct-2024</v>
      </c>
    </row>
    <row r="1672" customFormat="false" ht="130.5" hidden="false" customHeight="true" outlineLevel="0" collapsed="false">
      <c r="A1672" s="1" t="n">
        <v>1</v>
      </c>
      <c r="B1672" s="10" t="n">
        <v>45626</v>
      </c>
      <c r="C1672" s="11" t="s">
        <v>1690</v>
      </c>
      <c r="D1672" s="1" t="s">
        <v>9</v>
      </c>
      <c r="E1672" s="1" t="s">
        <v>20</v>
      </c>
      <c r="F1672" s="1" t="str">
        <f aca="false">TEXT(B1672,"mmm-yyyy")</f>
        <v>Nov-2024</v>
      </c>
    </row>
    <row r="1673" customFormat="false" ht="72" hidden="false" customHeight="true" outlineLevel="0" collapsed="false">
      <c r="A1673" s="1" t="n">
        <v>1</v>
      </c>
      <c r="B1673" s="10" t="n">
        <v>45584</v>
      </c>
      <c r="C1673" s="11" t="s">
        <v>1691</v>
      </c>
      <c r="D1673" s="1" t="s">
        <v>9</v>
      </c>
      <c r="E1673" s="1" t="s">
        <v>20</v>
      </c>
      <c r="F1673" s="1" t="str">
        <f aca="false">TEXT(B1673,"mmm-yyyy")</f>
        <v>Oct-2024</v>
      </c>
    </row>
    <row r="1674" customFormat="false" ht="87" hidden="false" customHeight="true" outlineLevel="0" collapsed="false">
      <c r="A1674" s="1" t="n">
        <v>1</v>
      </c>
      <c r="B1674" s="10" t="n">
        <v>45591</v>
      </c>
      <c r="C1674" s="11" t="s">
        <v>1692</v>
      </c>
      <c r="D1674" s="1" t="s">
        <v>9</v>
      </c>
      <c r="E1674" s="1" t="s">
        <v>20</v>
      </c>
      <c r="F1674" s="1" t="str">
        <f aca="false">TEXT(B1674,"mmm-yyyy")</f>
        <v>Oct-2024</v>
      </c>
    </row>
    <row r="1675" customFormat="false" ht="115.5" hidden="false" customHeight="true" outlineLevel="0" collapsed="false">
      <c r="A1675" s="1" t="n">
        <v>1</v>
      </c>
      <c r="B1675" s="10" t="n">
        <v>45586</v>
      </c>
      <c r="C1675" s="11" t="s">
        <v>1693</v>
      </c>
      <c r="D1675" s="1" t="s">
        <v>9</v>
      </c>
      <c r="E1675" s="1" t="s">
        <v>20</v>
      </c>
      <c r="F1675" s="1" t="str">
        <f aca="false">TEXT(B1675,"mmm-yyyy")</f>
        <v>Oct-2024</v>
      </c>
    </row>
    <row r="1676" customFormat="false" ht="101.25" hidden="false" customHeight="true" outlineLevel="0" collapsed="false">
      <c r="A1676" s="1" t="n">
        <v>1</v>
      </c>
      <c r="B1676" s="10" t="n">
        <v>45576</v>
      </c>
      <c r="C1676" s="11" t="s">
        <v>1694</v>
      </c>
      <c r="D1676" s="1" t="s">
        <v>9</v>
      </c>
      <c r="E1676" s="1" t="s">
        <v>20</v>
      </c>
      <c r="F1676" s="1" t="str">
        <f aca="false">TEXT(B1676,"mmm-yyyy")</f>
        <v>Oct-2024</v>
      </c>
    </row>
    <row r="1677" customFormat="false" ht="57.75" hidden="false" customHeight="true" outlineLevel="0" collapsed="false">
      <c r="A1677" s="1" t="n">
        <v>3</v>
      </c>
      <c r="B1677" s="10" t="n">
        <v>45577</v>
      </c>
      <c r="C1677" s="11" t="s">
        <v>1695</v>
      </c>
      <c r="D1677" s="1" t="s">
        <v>9</v>
      </c>
      <c r="E1677" s="1" t="s">
        <v>18</v>
      </c>
      <c r="F1677" s="1" t="str">
        <f aca="false">TEXT(B1677,"mmm-yyyy")</f>
        <v>Oct-2024</v>
      </c>
    </row>
    <row r="1678" customFormat="false" ht="130.5" hidden="false" customHeight="true" outlineLevel="0" collapsed="false">
      <c r="A1678" s="1" t="n">
        <v>1</v>
      </c>
      <c r="B1678" s="10" t="n">
        <v>45573</v>
      </c>
      <c r="C1678" s="11" t="s">
        <v>1696</v>
      </c>
      <c r="D1678" s="1" t="s">
        <v>9</v>
      </c>
      <c r="E1678" s="1" t="s">
        <v>18</v>
      </c>
      <c r="F1678" s="1" t="str">
        <f aca="false">TEXT(B1678,"mmm-yyyy")</f>
        <v>Oct-2024</v>
      </c>
    </row>
    <row r="1679" customFormat="false" ht="72" hidden="false" customHeight="true" outlineLevel="0" collapsed="false">
      <c r="A1679" s="1" t="n">
        <v>2</v>
      </c>
      <c r="B1679" s="10" t="n">
        <v>45581</v>
      </c>
      <c r="C1679" s="11" t="s">
        <v>1697</v>
      </c>
      <c r="D1679" s="1" t="s">
        <v>9</v>
      </c>
      <c r="E1679" s="1" t="s">
        <v>18</v>
      </c>
      <c r="F1679" s="1" t="str">
        <f aca="false">TEXT(B1679,"mmm-yyyy")</f>
        <v>Oct-2024</v>
      </c>
    </row>
    <row r="1680" customFormat="false" ht="87" hidden="false" customHeight="true" outlineLevel="0" collapsed="false">
      <c r="A1680" s="1" t="n">
        <v>1</v>
      </c>
      <c r="B1680" s="10" t="n">
        <v>45573</v>
      </c>
      <c r="C1680" s="11" t="s">
        <v>1698</v>
      </c>
      <c r="D1680" s="1" t="s">
        <v>9</v>
      </c>
      <c r="E1680" s="1" t="s">
        <v>20</v>
      </c>
      <c r="F1680" s="1" t="str">
        <f aca="false">TEXT(B1680,"mmm-yyyy")</f>
        <v>Oct-2024</v>
      </c>
    </row>
    <row r="1681" customFormat="false" ht="87" hidden="false" customHeight="true" outlineLevel="0" collapsed="false">
      <c r="A1681" s="1" t="n">
        <v>1</v>
      </c>
      <c r="B1681" s="10" t="n">
        <v>45588</v>
      </c>
      <c r="C1681" s="11" t="s">
        <v>1699</v>
      </c>
      <c r="D1681" s="1" t="s">
        <v>9</v>
      </c>
      <c r="E1681" s="1" t="s">
        <v>20</v>
      </c>
      <c r="F1681" s="1" t="str">
        <f aca="false">TEXT(B1681,"mmm-yyyy")</f>
        <v>Oct-2024</v>
      </c>
    </row>
    <row r="1682" customFormat="false" ht="87" hidden="false" customHeight="true" outlineLevel="0" collapsed="false">
      <c r="A1682" s="1" t="n">
        <v>1</v>
      </c>
      <c r="B1682" s="10" t="n">
        <v>45576</v>
      </c>
      <c r="C1682" s="11" t="s">
        <v>1700</v>
      </c>
      <c r="D1682" s="1" t="s">
        <v>9</v>
      </c>
      <c r="E1682" s="1" t="s">
        <v>20</v>
      </c>
      <c r="F1682" s="1" t="str">
        <f aca="false">TEXT(B1682,"mmm-yyyy")</f>
        <v>Oct-2024</v>
      </c>
    </row>
    <row r="1683" customFormat="false" ht="87" hidden="false" customHeight="true" outlineLevel="0" collapsed="false">
      <c r="A1683" s="1" t="n">
        <v>1</v>
      </c>
      <c r="B1683" s="10" t="n">
        <v>45581</v>
      </c>
      <c r="C1683" s="11" t="s">
        <v>1701</v>
      </c>
      <c r="D1683" s="1" t="s">
        <v>9</v>
      </c>
      <c r="E1683" s="1" t="s">
        <v>18</v>
      </c>
      <c r="F1683" s="1" t="str">
        <f aca="false">TEXT(B1683,"mmm-yyyy")</f>
        <v>Oct-2024</v>
      </c>
    </row>
    <row r="1684" customFormat="false" ht="57.75" hidden="false" customHeight="true" outlineLevel="0" collapsed="false">
      <c r="A1684" s="1" t="n">
        <v>1</v>
      </c>
      <c r="B1684" s="10" t="n">
        <v>45612</v>
      </c>
      <c r="C1684" s="11" t="s">
        <v>1702</v>
      </c>
      <c r="D1684" s="1" t="s">
        <v>9</v>
      </c>
      <c r="E1684" s="1" t="s">
        <v>20</v>
      </c>
      <c r="F1684" s="1" t="str">
        <f aca="false">TEXT(B1684,"mmm-yyyy")</f>
        <v>Nov-2024</v>
      </c>
    </row>
    <row r="1685" customFormat="false" ht="115.5" hidden="false" customHeight="true" outlineLevel="0" collapsed="false">
      <c r="A1685" s="1" t="n">
        <v>1</v>
      </c>
      <c r="B1685" s="10" t="n">
        <v>45580</v>
      </c>
      <c r="C1685" s="11" t="s">
        <v>1703</v>
      </c>
      <c r="D1685" s="1" t="s">
        <v>9</v>
      </c>
      <c r="E1685" s="1" t="s">
        <v>20</v>
      </c>
      <c r="F1685" s="1" t="str">
        <f aca="false">TEXT(B1685,"mmm-yyyy")</f>
        <v>Oct-2024</v>
      </c>
    </row>
    <row r="1686" customFormat="false" ht="87" hidden="false" customHeight="true" outlineLevel="0" collapsed="false">
      <c r="A1686" s="1" t="n">
        <v>1</v>
      </c>
      <c r="B1686" s="10" t="n">
        <v>45576</v>
      </c>
      <c r="C1686" s="11" t="s">
        <v>1704</v>
      </c>
      <c r="D1686" s="1" t="s">
        <v>9</v>
      </c>
      <c r="E1686" s="1" t="s">
        <v>18</v>
      </c>
      <c r="F1686" s="1" t="str">
        <f aca="false">TEXT(B1686,"mmm-yyyy")</f>
        <v>Oct-2024</v>
      </c>
    </row>
    <row r="1687" customFormat="false" ht="115.5" hidden="false" customHeight="true" outlineLevel="0" collapsed="false">
      <c r="A1687" s="1" t="n">
        <v>1</v>
      </c>
      <c r="B1687" s="10" t="n">
        <v>45570</v>
      </c>
      <c r="C1687" s="11" t="s">
        <v>1705</v>
      </c>
      <c r="D1687" s="1" t="s">
        <v>9</v>
      </c>
      <c r="E1687" s="1" t="s">
        <v>20</v>
      </c>
      <c r="F1687" s="1" t="str">
        <f aca="false">TEXT(B1687,"mmm-yyyy")</f>
        <v>Oct-2024</v>
      </c>
    </row>
    <row r="1688" customFormat="false" ht="87" hidden="false" customHeight="true" outlineLevel="0" collapsed="false">
      <c r="A1688" s="1" t="n">
        <v>1</v>
      </c>
      <c r="B1688" s="10" t="n">
        <v>45594</v>
      </c>
      <c r="C1688" s="11" t="s">
        <v>1706</v>
      </c>
      <c r="D1688" s="1" t="s">
        <v>9</v>
      </c>
      <c r="E1688" s="1" t="s">
        <v>20</v>
      </c>
      <c r="F1688" s="1" t="str">
        <f aca="false">TEXT(B1688,"mmm-yyyy")</f>
        <v>Oct-2024</v>
      </c>
    </row>
    <row r="1689" customFormat="false" ht="115.5" hidden="false" customHeight="true" outlineLevel="0" collapsed="false">
      <c r="A1689" s="1" t="n">
        <v>1</v>
      </c>
      <c r="B1689" s="10" t="n">
        <v>45548</v>
      </c>
      <c r="C1689" s="11" t="s">
        <v>1707</v>
      </c>
      <c r="D1689" s="1" t="s">
        <v>9</v>
      </c>
      <c r="E1689" s="1" t="s">
        <v>20</v>
      </c>
      <c r="F1689" s="1" t="str">
        <f aca="false">TEXT(B1689,"mmm-yyyy")</f>
        <v>Sep-2024</v>
      </c>
    </row>
    <row r="1690" customFormat="false" ht="72" hidden="false" customHeight="true" outlineLevel="0" collapsed="false">
      <c r="A1690" s="1" t="n">
        <v>2</v>
      </c>
      <c r="B1690" s="10" t="n">
        <v>45527</v>
      </c>
      <c r="C1690" s="11" t="s">
        <v>1708</v>
      </c>
      <c r="D1690" s="1" t="s">
        <v>9</v>
      </c>
      <c r="E1690" s="1" t="s">
        <v>18</v>
      </c>
      <c r="F1690" s="1" t="str">
        <f aca="false">TEXT(B1690,"mmm-yyyy")</f>
        <v>Aug-2024</v>
      </c>
    </row>
    <row r="1691" customFormat="false" ht="101.25" hidden="false" customHeight="true" outlineLevel="0" collapsed="false">
      <c r="A1691" s="1" t="n">
        <v>1</v>
      </c>
      <c r="B1691" s="10" t="n">
        <v>45560</v>
      </c>
      <c r="C1691" s="11" t="s">
        <v>1709</v>
      </c>
      <c r="D1691" s="1" t="s">
        <v>9</v>
      </c>
      <c r="E1691" s="1" t="s">
        <v>18</v>
      </c>
      <c r="F1691" s="1" t="str">
        <f aca="false">TEXT(B1691,"mmm-yyyy")</f>
        <v>Sep-2024</v>
      </c>
    </row>
    <row r="1692" customFormat="false" ht="57.75" hidden="false" customHeight="true" outlineLevel="0" collapsed="false">
      <c r="A1692" s="1" t="n">
        <v>1</v>
      </c>
      <c r="B1692" s="10" t="n">
        <v>45630</v>
      </c>
      <c r="C1692" s="11" t="s">
        <v>1710</v>
      </c>
      <c r="D1692" s="1" t="s">
        <v>9</v>
      </c>
      <c r="E1692" s="1" t="s">
        <v>20</v>
      </c>
      <c r="F1692" s="1" t="str">
        <f aca="false">TEXT(B1692,"mmm-yyyy")</f>
        <v>Dec-2024</v>
      </c>
    </row>
    <row r="1693" customFormat="false" ht="57.75" hidden="false" customHeight="true" outlineLevel="0" collapsed="false">
      <c r="A1693" s="1" t="n">
        <v>1</v>
      </c>
      <c r="B1693" s="10" t="n">
        <v>45647</v>
      </c>
      <c r="C1693" s="11" t="s">
        <v>1711</v>
      </c>
      <c r="D1693" s="1" t="s">
        <v>9</v>
      </c>
      <c r="E1693" s="1" t="s">
        <v>20</v>
      </c>
      <c r="F1693" s="1" t="str">
        <f aca="false">TEXT(B1693,"mmm-yyyy")</f>
        <v>Dec-2024</v>
      </c>
    </row>
    <row r="1694" customFormat="false" ht="87" hidden="false" customHeight="true" outlineLevel="0" collapsed="false">
      <c r="A1694" s="1" t="n">
        <v>1</v>
      </c>
      <c r="B1694" s="10" t="n">
        <v>45515</v>
      </c>
      <c r="C1694" s="11" t="s">
        <v>1712</v>
      </c>
      <c r="D1694" s="1" t="s">
        <v>9</v>
      </c>
      <c r="E1694" s="1" t="s">
        <v>20</v>
      </c>
      <c r="F1694" s="1" t="str">
        <f aca="false">TEXT(B1694,"mmm-yyyy")</f>
        <v>Aug-2024</v>
      </c>
    </row>
    <row r="1695" customFormat="false" ht="72" hidden="false" customHeight="true" outlineLevel="0" collapsed="false">
      <c r="A1695" s="1" t="n">
        <v>1</v>
      </c>
      <c r="B1695" s="10" t="n">
        <v>45580</v>
      </c>
      <c r="C1695" s="11" t="s">
        <v>1713</v>
      </c>
      <c r="D1695" s="1" t="s">
        <v>9</v>
      </c>
      <c r="E1695" s="1" t="s">
        <v>20</v>
      </c>
      <c r="F1695" s="1" t="str">
        <f aca="false">TEXT(B1695,"mmm-yyyy")</f>
        <v>Oct-2024</v>
      </c>
    </row>
    <row r="1696" customFormat="false" ht="115.5" hidden="false" customHeight="true" outlineLevel="0" collapsed="false">
      <c r="A1696" s="1" t="n">
        <v>1</v>
      </c>
      <c r="B1696" s="10" t="n">
        <v>45511</v>
      </c>
      <c r="C1696" s="11" t="s">
        <v>1714</v>
      </c>
      <c r="D1696" s="1" t="s">
        <v>9</v>
      </c>
      <c r="E1696" s="1" t="s">
        <v>20</v>
      </c>
      <c r="F1696" s="1" t="str">
        <f aca="false">TEXT(B1696,"mmm-yyyy")</f>
        <v>Aug-2024</v>
      </c>
    </row>
    <row r="1697" customFormat="false" ht="130.5" hidden="false" customHeight="true" outlineLevel="0" collapsed="false">
      <c r="A1697" s="1" t="n">
        <v>1</v>
      </c>
      <c r="B1697" s="10" t="n">
        <v>45633</v>
      </c>
      <c r="C1697" s="11" t="s">
        <v>1715</v>
      </c>
      <c r="D1697" s="1" t="s">
        <v>9</v>
      </c>
      <c r="E1697" s="1" t="s">
        <v>20</v>
      </c>
      <c r="F1697" s="1" t="str">
        <f aca="false">TEXT(B1697,"mmm-yyyy")</f>
        <v>Dec-2024</v>
      </c>
    </row>
    <row r="1698" customFormat="false" ht="43.5" hidden="false" customHeight="true" outlineLevel="0" collapsed="false">
      <c r="A1698" s="1" t="n">
        <v>5</v>
      </c>
      <c r="B1698" s="10" t="n">
        <v>45633</v>
      </c>
      <c r="C1698" s="11" t="s">
        <v>1716</v>
      </c>
      <c r="D1698" s="1" t="s">
        <v>9</v>
      </c>
      <c r="E1698" s="1" t="s">
        <v>18</v>
      </c>
      <c r="F1698" s="1" t="str">
        <f aca="false">TEXT(B1698,"mmm-yyyy")</f>
        <v>Dec-2024</v>
      </c>
    </row>
    <row r="1699" customFormat="false" ht="57.75" hidden="false" customHeight="true" outlineLevel="0" collapsed="false">
      <c r="A1699" s="1" t="n">
        <v>1</v>
      </c>
      <c r="B1699" s="10" t="n">
        <v>45629</v>
      </c>
      <c r="C1699" s="11" t="s">
        <v>1717</v>
      </c>
      <c r="D1699" s="1" t="s">
        <v>9</v>
      </c>
      <c r="E1699" s="1" t="s">
        <v>20</v>
      </c>
      <c r="F1699" s="1" t="str">
        <f aca="false">TEXT(B1699,"mmm-yyyy")</f>
        <v>Dec-2024</v>
      </c>
    </row>
    <row r="1700" customFormat="false" ht="57.75" hidden="false" customHeight="true" outlineLevel="0" collapsed="false">
      <c r="A1700" s="1" t="n">
        <v>1</v>
      </c>
      <c r="B1700" s="10" t="n">
        <v>45632</v>
      </c>
      <c r="C1700" s="11" t="s">
        <v>1718</v>
      </c>
      <c r="D1700" s="1" t="s">
        <v>9</v>
      </c>
      <c r="E1700" s="1" t="s">
        <v>20</v>
      </c>
      <c r="F1700" s="1" t="str">
        <f aca="false">TEXT(B1700,"mmm-yyyy")</f>
        <v>Dec-2024</v>
      </c>
    </row>
    <row r="1701" customFormat="false" ht="43.5" hidden="false" customHeight="true" outlineLevel="0" collapsed="false">
      <c r="A1701" s="1" t="n">
        <v>3</v>
      </c>
      <c r="B1701" s="10" t="n">
        <v>45635</v>
      </c>
      <c r="C1701" s="11" t="s">
        <v>1719</v>
      </c>
      <c r="D1701" s="1" t="s">
        <v>9</v>
      </c>
      <c r="E1701" s="1" t="s">
        <v>18</v>
      </c>
      <c r="F1701" s="1" t="str">
        <f aca="false">TEXT(B1701,"mmm-yyyy")</f>
        <v>Dec-2024</v>
      </c>
    </row>
    <row r="1702" customFormat="false" ht="57.75" hidden="false" customHeight="true" outlineLevel="0" collapsed="false">
      <c r="A1702" s="1" t="n">
        <v>1</v>
      </c>
      <c r="B1702" s="10" t="n">
        <v>45640</v>
      </c>
      <c r="C1702" s="11" t="s">
        <v>1720</v>
      </c>
      <c r="D1702" s="1" t="s">
        <v>9</v>
      </c>
      <c r="E1702" s="1" t="s">
        <v>20</v>
      </c>
      <c r="F1702" s="1" t="str">
        <f aca="false">TEXT(B1702,"mmm-yyyy")</f>
        <v>Dec-2024</v>
      </c>
    </row>
    <row r="1703" customFormat="false" ht="43.5" hidden="false" customHeight="true" outlineLevel="0" collapsed="false">
      <c r="A1703" s="1" t="n">
        <v>1</v>
      </c>
      <c r="B1703" s="10" t="n">
        <v>45636</v>
      </c>
      <c r="C1703" s="11" t="s">
        <v>1721</v>
      </c>
      <c r="D1703" s="1" t="s">
        <v>9</v>
      </c>
      <c r="E1703" s="1" t="s">
        <v>20</v>
      </c>
      <c r="F1703" s="1" t="str">
        <f aca="false">TEXT(B1703,"mmm-yyyy")</f>
        <v>Dec-2024</v>
      </c>
    </row>
    <row r="1704" customFormat="false" ht="43.5" hidden="false" customHeight="true" outlineLevel="0" collapsed="false">
      <c r="A1704" s="1" t="n">
        <v>1</v>
      </c>
      <c r="B1704" s="10" t="n">
        <v>45636</v>
      </c>
      <c r="C1704" s="11" t="s">
        <v>1722</v>
      </c>
      <c r="D1704" s="1" t="s">
        <v>9</v>
      </c>
      <c r="E1704" s="1" t="s">
        <v>20</v>
      </c>
      <c r="F1704" s="1" t="str">
        <f aca="false">TEXT(B1704,"mmm-yyyy")</f>
        <v>Dec-2024</v>
      </c>
    </row>
    <row r="1705" customFormat="false" ht="115.5" hidden="false" customHeight="true" outlineLevel="0" collapsed="false">
      <c r="A1705" s="1" t="n">
        <v>1</v>
      </c>
      <c r="B1705" s="10" t="n">
        <v>45632</v>
      </c>
      <c r="C1705" s="11" t="s">
        <v>1723</v>
      </c>
      <c r="D1705" s="1" t="s">
        <v>9</v>
      </c>
      <c r="E1705" s="1" t="s">
        <v>20</v>
      </c>
      <c r="F1705" s="1" t="str">
        <f aca="false">TEXT(B1705,"mmm-yyyy")</f>
        <v>Dec-2024</v>
      </c>
    </row>
    <row r="1706" customFormat="false" ht="57.75" hidden="false" customHeight="true" outlineLevel="0" collapsed="false">
      <c r="A1706" s="1" t="n">
        <v>1</v>
      </c>
      <c r="B1706" s="10" t="n">
        <v>45635</v>
      </c>
      <c r="C1706" s="11" t="s">
        <v>1724</v>
      </c>
      <c r="D1706" s="1" t="s">
        <v>9</v>
      </c>
      <c r="E1706" s="1" t="s">
        <v>20</v>
      </c>
      <c r="F1706" s="1" t="str">
        <f aca="false">TEXT(B1706,"mmm-yyyy")</f>
        <v>Dec-2024</v>
      </c>
    </row>
    <row r="1707" customFormat="false" ht="57.75" hidden="false" customHeight="true" outlineLevel="0" collapsed="false">
      <c r="A1707" s="1" t="n">
        <v>1</v>
      </c>
      <c r="B1707" s="10" t="n">
        <v>45631</v>
      </c>
      <c r="C1707" s="11" t="s">
        <v>1725</v>
      </c>
      <c r="D1707" s="1" t="s">
        <v>9</v>
      </c>
      <c r="E1707" s="1" t="s">
        <v>20</v>
      </c>
      <c r="F1707" s="1" t="str">
        <f aca="false">TEXT(B1707,"mmm-yyyy")</f>
        <v>Dec-2024</v>
      </c>
    </row>
    <row r="1708" customFormat="false" ht="43.5" hidden="false" customHeight="true" outlineLevel="0" collapsed="false">
      <c r="A1708" s="1" t="n">
        <v>1</v>
      </c>
      <c r="B1708" s="10" t="n">
        <v>45637</v>
      </c>
      <c r="C1708" s="11" t="s">
        <v>1726</v>
      </c>
      <c r="D1708" s="1" t="s">
        <v>9</v>
      </c>
      <c r="E1708" s="1" t="s">
        <v>20</v>
      </c>
      <c r="F1708" s="1" t="str">
        <f aca="false">TEXT(B1708,"mmm-yyyy")</f>
        <v>Dec-2024</v>
      </c>
    </row>
    <row r="1709" customFormat="false" ht="43.5" hidden="false" customHeight="true" outlineLevel="0" collapsed="false">
      <c r="A1709" s="1" t="n">
        <v>1</v>
      </c>
      <c r="B1709" s="10" t="n">
        <v>45635</v>
      </c>
      <c r="C1709" s="11" t="s">
        <v>1727</v>
      </c>
      <c r="D1709" s="1" t="s">
        <v>9</v>
      </c>
      <c r="E1709" s="1" t="s">
        <v>20</v>
      </c>
      <c r="F1709" s="1" t="str">
        <f aca="false">TEXT(B1709,"mmm-yyyy")</f>
        <v>Dec-2024</v>
      </c>
    </row>
    <row r="1710" customFormat="false" ht="57.75" hidden="false" customHeight="true" outlineLevel="0" collapsed="false">
      <c r="A1710" s="1" t="n">
        <v>1</v>
      </c>
      <c r="B1710" s="10" t="n">
        <v>45633</v>
      </c>
      <c r="C1710" s="11" t="s">
        <v>1728</v>
      </c>
      <c r="D1710" s="1" t="s">
        <v>9</v>
      </c>
      <c r="E1710" s="1" t="s">
        <v>20</v>
      </c>
      <c r="F1710" s="1" t="str">
        <f aca="false">TEXT(B1710,"mmm-yyyy")</f>
        <v>Dec-2024</v>
      </c>
    </row>
    <row r="1711" customFormat="false" ht="57.75" hidden="false" customHeight="true" outlineLevel="0" collapsed="false">
      <c r="A1711" s="1" t="n">
        <v>1</v>
      </c>
      <c r="B1711" s="10" t="n">
        <v>45635</v>
      </c>
      <c r="C1711" s="11" t="s">
        <v>1729</v>
      </c>
      <c r="D1711" s="1" t="s">
        <v>9</v>
      </c>
      <c r="E1711" s="1" t="s">
        <v>18</v>
      </c>
      <c r="F1711" s="1" t="str">
        <f aca="false">TEXT(B1711,"mmm-yyyy")</f>
        <v>Dec-2024</v>
      </c>
    </row>
    <row r="1712" customFormat="false" ht="43.5" hidden="false" customHeight="true" outlineLevel="0" collapsed="false">
      <c r="A1712" s="1" t="n">
        <v>1</v>
      </c>
      <c r="B1712" s="10" t="n">
        <v>45629</v>
      </c>
      <c r="C1712" s="11" t="s">
        <v>1730</v>
      </c>
      <c r="D1712" s="1" t="s">
        <v>9</v>
      </c>
      <c r="E1712" s="1" t="s">
        <v>20</v>
      </c>
      <c r="F1712" s="1" t="str">
        <f aca="false">TEXT(B1712,"mmm-yyyy")</f>
        <v>Dec-2024</v>
      </c>
    </row>
    <row r="1713" customFormat="false" ht="130.5" hidden="false" customHeight="true" outlineLevel="0" collapsed="false">
      <c r="A1713" s="1" t="n">
        <v>1</v>
      </c>
      <c r="B1713" s="10" t="n">
        <v>45575</v>
      </c>
      <c r="C1713" s="11" t="s">
        <v>1731</v>
      </c>
      <c r="D1713" s="1" t="s">
        <v>9</v>
      </c>
      <c r="E1713" s="1" t="s">
        <v>20</v>
      </c>
      <c r="F1713" s="1" t="str">
        <f aca="false">TEXT(B1713,"mmm-yyyy")</f>
        <v>Oct-2024</v>
      </c>
    </row>
    <row r="1714" customFormat="false" ht="43.5" hidden="false" customHeight="true" outlineLevel="0" collapsed="false">
      <c r="A1714" s="1" t="n">
        <v>1</v>
      </c>
      <c r="B1714" s="10" t="n">
        <v>45641</v>
      </c>
      <c r="C1714" s="11" t="s">
        <v>1732</v>
      </c>
      <c r="D1714" s="1" t="s">
        <v>9</v>
      </c>
      <c r="E1714" s="1" t="s">
        <v>20</v>
      </c>
      <c r="F1714" s="1" t="str">
        <f aca="false">TEXT(B1714,"mmm-yyyy")</f>
        <v>Dec-2024</v>
      </c>
    </row>
    <row r="1715" customFormat="false" ht="101.25" hidden="false" customHeight="true" outlineLevel="0" collapsed="false">
      <c r="A1715" s="1" t="n">
        <v>1</v>
      </c>
      <c r="B1715" s="10" t="n">
        <v>45541</v>
      </c>
      <c r="C1715" s="11" t="s">
        <v>1733</v>
      </c>
      <c r="D1715" s="1" t="s">
        <v>9</v>
      </c>
      <c r="E1715" s="1" t="s">
        <v>20</v>
      </c>
      <c r="F1715" s="1" t="str">
        <f aca="false">TEXT(B1715,"mmm-yyyy")</f>
        <v>Sep-2024</v>
      </c>
    </row>
    <row r="1716" customFormat="false" ht="57.75" hidden="false" customHeight="true" outlineLevel="0" collapsed="false">
      <c r="A1716" s="1" t="n">
        <v>1</v>
      </c>
      <c r="B1716" s="10" t="n">
        <v>45653</v>
      </c>
      <c r="C1716" s="11" t="s">
        <v>1734</v>
      </c>
      <c r="D1716" s="1" t="s">
        <v>9</v>
      </c>
      <c r="E1716" s="1" t="s">
        <v>20</v>
      </c>
      <c r="F1716" s="1" t="str">
        <f aca="false">TEXT(B1716,"mmm-yyyy")</f>
        <v>Dec-2024</v>
      </c>
    </row>
    <row r="1717" customFormat="false" ht="87" hidden="false" customHeight="true" outlineLevel="0" collapsed="false">
      <c r="A1717" s="1" t="n">
        <v>4</v>
      </c>
      <c r="B1717" s="10" t="n">
        <v>45522</v>
      </c>
      <c r="C1717" s="11" t="s">
        <v>1735</v>
      </c>
      <c r="D1717" s="1" t="s">
        <v>9</v>
      </c>
      <c r="E1717" s="1" t="s">
        <v>18</v>
      </c>
      <c r="F1717" s="1" t="str">
        <f aca="false">TEXT(B1717,"mmm-yyyy")</f>
        <v>Aug-2024</v>
      </c>
    </row>
    <row r="1718" customFormat="false" ht="87" hidden="false" customHeight="true" outlineLevel="0" collapsed="false">
      <c r="A1718" s="1" t="n">
        <v>1</v>
      </c>
      <c r="B1718" s="10" t="n">
        <v>45596</v>
      </c>
      <c r="C1718" s="11" t="s">
        <v>1736</v>
      </c>
      <c r="D1718" s="1" t="s">
        <v>9</v>
      </c>
      <c r="E1718" s="1" t="s">
        <v>20</v>
      </c>
      <c r="F1718" s="1" t="str">
        <f aca="false">TEXT(B1718,"mmm-yyyy")</f>
        <v>Oct-2024</v>
      </c>
    </row>
    <row r="1719" customFormat="false" ht="115.5" hidden="false" customHeight="true" outlineLevel="0" collapsed="false">
      <c r="A1719" s="1" t="n">
        <v>1</v>
      </c>
      <c r="B1719" s="10" t="n">
        <v>45538</v>
      </c>
      <c r="C1719" s="11" t="s">
        <v>1737</v>
      </c>
      <c r="D1719" s="1" t="s">
        <v>9</v>
      </c>
      <c r="E1719" s="1" t="s">
        <v>32</v>
      </c>
      <c r="F1719" s="1" t="str">
        <f aca="false">TEXT(B1719,"mmm-yyyy")</f>
        <v>Sep-2024</v>
      </c>
    </row>
    <row r="1720" customFormat="false" ht="101.25" hidden="false" customHeight="true" outlineLevel="0" collapsed="false">
      <c r="A1720" s="1" t="n">
        <v>1</v>
      </c>
      <c r="B1720" s="10" t="n">
        <v>45543</v>
      </c>
      <c r="C1720" s="11" t="s">
        <v>1738</v>
      </c>
      <c r="D1720" s="1" t="s">
        <v>9</v>
      </c>
      <c r="E1720" s="1" t="s">
        <v>20</v>
      </c>
      <c r="F1720" s="1" t="str">
        <f aca="false">TEXT(B1720,"mmm-yyyy")</f>
        <v>Sep-2024</v>
      </c>
    </row>
    <row r="1721" customFormat="false" ht="144.75" hidden="false" customHeight="true" outlineLevel="0" collapsed="false">
      <c r="A1721" s="1" t="n">
        <v>1</v>
      </c>
      <c r="B1721" s="10" t="n">
        <v>45574</v>
      </c>
      <c r="C1721" s="11" t="s">
        <v>1739</v>
      </c>
      <c r="D1721" s="1" t="s">
        <v>9</v>
      </c>
      <c r="E1721" s="1" t="s">
        <v>20</v>
      </c>
      <c r="F1721" s="1" t="str">
        <f aca="false">TEXT(B1721,"mmm-yyyy")</f>
        <v>Oct-2024</v>
      </c>
    </row>
    <row r="1722" customFormat="false" ht="115.5" hidden="false" customHeight="true" outlineLevel="0" collapsed="false">
      <c r="A1722" s="1" t="n">
        <v>1</v>
      </c>
      <c r="B1722" s="10" t="n">
        <v>45545</v>
      </c>
      <c r="C1722" s="11" t="s">
        <v>1740</v>
      </c>
      <c r="D1722" s="1" t="s">
        <v>9</v>
      </c>
      <c r="E1722" s="1" t="s">
        <v>20</v>
      </c>
      <c r="F1722" s="1" t="str">
        <f aca="false">TEXT(B1722,"mmm-yyyy")</f>
        <v>Sep-2024</v>
      </c>
    </row>
    <row r="1723" customFormat="false" ht="43.5" hidden="false" customHeight="true" outlineLevel="0" collapsed="false">
      <c r="A1723" s="1" t="n">
        <v>1</v>
      </c>
      <c r="B1723" s="10" t="n">
        <v>45604</v>
      </c>
      <c r="C1723" s="11" t="s">
        <v>1741</v>
      </c>
      <c r="D1723" s="1" t="s">
        <v>9</v>
      </c>
      <c r="E1723" s="1" t="s">
        <v>20</v>
      </c>
      <c r="F1723" s="1" t="str">
        <f aca="false">TEXT(B1723,"mmm-yyyy")</f>
        <v>Nov-2024</v>
      </c>
    </row>
    <row r="1724" customFormat="false" ht="57.75" hidden="false" customHeight="true" outlineLevel="0" collapsed="false">
      <c r="A1724" s="1" t="n">
        <v>1</v>
      </c>
      <c r="B1724" s="10" t="n">
        <v>45594</v>
      </c>
      <c r="C1724" s="11" t="s">
        <v>1742</v>
      </c>
      <c r="D1724" s="1" t="s">
        <v>9</v>
      </c>
      <c r="E1724" s="1" t="s">
        <v>20</v>
      </c>
      <c r="F1724" s="1" t="str">
        <f aca="false">TEXT(B1724,"mmm-yyyy")</f>
        <v>Oct-2024</v>
      </c>
    </row>
    <row r="1725" customFormat="false" ht="87" hidden="false" customHeight="true" outlineLevel="0" collapsed="false">
      <c r="A1725" s="1" t="n">
        <v>1</v>
      </c>
      <c r="B1725" s="10" t="n">
        <v>45595</v>
      </c>
      <c r="C1725" s="11" t="s">
        <v>1743</v>
      </c>
      <c r="D1725" s="1" t="s">
        <v>9</v>
      </c>
      <c r="E1725" s="1" t="s">
        <v>20</v>
      </c>
      <c r="F1725" s="1" t="str">
        <f aca="false">TEXT(B1725,"mmm-yyyy")</f>
        <v>Oct-2024</v>
      </c>
    </row>
    <row r="1726" customFormat="false" ht="43.5" hidden="false" customHeight="true" outlineLevel="0" collapsed="false">
      <c r="A1726" s="1" t="n">
        <v>1</v>
      </c>
      <c r="B1726" s="10" t="n">
        <v>45590</v>
      </c>
      <c r="C1726" s="11" t="s">
        <v>1744</v>
      </c>
      <c r="D1726" s="1" t="s">
        <v>9</v>
      </c>
      <c r="E1726" s="1" t="s">
        <v>20</v>
      </c>
      <c r="F1726" s="1" t="str">
        <f aca="false">TEXT(B1726,"mmm-yyyy")</f>
        <v>Oct-2024</v>
      </c>
    </row>
    <row r="1727" customFormat="false" ht="57.75" hidden="false" customHeight="true" outlineLevel="0" collapsed="false">
      <c r="A1727" s="1" t="n">
        <v>1</v>
      </c>
      <c r="B1727" s="10" t="n">
        <v>45616</v>
      </c>
      <c r="C1727" s="11" t="s">
        <v>1745</v>
      </c>
      <c r="D1727" s="1" t="s">
        <v>9</v>
      </c>
      <c r="E1727" s="1" t="s">
        <v>20</v>
      </c>
      <c r="F1727" s="1" t="str">
        <f aca="false">TEXT(B1727,"mmm-yyyy")</f>
        <v>Nov-2024</v>
      </c>
    </row>
    <row r="1728" customFormat="false" ht="57.75" hidden="false" customHeight="true" outlineLevel="0" collapsed="false">
      <c r="A1728" s="1" t="n">
        <v>1</v>
      </c>
      <c r="B1728" s="10" t="n">
        <v>45626</v>
      </c>
      <c r="C1728" s="11" t="s">
        <v>1746</v>
      </c>
      <c r="D1728" s="1" t="s">
        <v>9</v>
      </c>
      <c r="E1728" s="1" t="s">
        <v>20</v>
      </c>
      <c r="F1728" s="1" t="str">
        <f aca="false">TEXT(B1728,"mmm-yyyy")</f>
        <v>Nov-2024</v>
      </c>
    </row>
    <row r="1729" customFormat="false" ht="87" hidden="false" customHeight="true" outlineLevel="0" collapsed="false">
      <c r="A1729" s="1" t="n">
        <v>5</v>
      </c>
      <c r="B1729" s="10" t="n">
        <v>45594</v>
      </c>
      <c r="C1729" s="11" t="s">
        <v>1747</v>
      </c>
      <c r="D1729" s="1" t="s">
        <v>9</v>
      </c>
      <c r="E1729" s="1" t="s">
        <v>18</v>
      </c>
      <c r="F1729" s="1" t="str">
        <f aca="false">TEXT(B1729,"mmm-yyyy")</f>
        <v>Oct-2024</v>
      </c>
    </row>
    <row r="1730" customFormat="false" ht="72" hidden="false" customHeight="true" outlineLevel="0" collapsed="false">
      <c r="A1730" s="1" t="n">
        <v>1</v>
      </c>
      <c r="B1730" s="10" t="n">
        <v>45593</v>
      </c>
      <c r="C1730" s="11" t="s">
        <v>1748</v>
      </c>
      <c r="D1730" s="1" t="s">
        <v>9</v>
      </c>
      <c r="E1730" s="1" t="s">
        <v>20</v>
      </c>
      <c r="F1730" s="1" t="str">
        <f aca="false">TEXT(B1730,"mmm-yyyy")</f>
        <v>Oct-2024</v>
      </c>
    </row>
    <row r="1731" customFormat="false" ht="57.75" hidden="false" customHeight="true" outlineLevel="0" collapsed="false">
      <c r="A1731" s="1" t="n">
        <v>1</v>
      </c>
      <c r="B1731" s="10" t="n">
        <v>45589</v>
      </c>
      <c r="C1731" s="11" t="s">
        <v>1749</v>
      </c>
      <c r="D1731" s="1" t="s">
        <v>9</v>
      </c>
      <c r="E1731" s="1" t="s">
        <v>20</v>
      </c>
      <c r="F1731" s="1" t="str">
        <f aca="false">TEXT(B1731,"mmm-yyyy")</f>
        <v>Oct-2024</v>
      </c>
    </row>
    <row r="1732" customFormat="false" ht="72" hidden="false" customHeight="true" outlineLevel="0" collapsed="false">
      <c r="A1732" s="1" t="n">
        <v>1</v>
      </c>
      <c r="B1732" s="10" t="n">
        <v>45605</v>
      </c>
      <c r="C1732" s="11" t="s">
        <v>1750</v>
      </c>
      <c r="D1732" s="1" t="s">
        <v>9</v>
      </c>
      <c r="E1732" s="1" t="s">
        <v>20</v>
      </c>
      <c r="F1732" s="1" t="str">
        <f aca="false">TEXT(B1732,"mmm-yyyy")</f>
        <v>Nov-2024</v>
      </c>
    </row>
    <row r="1733" customFormat="false" ht="115.5" hidden="false" customHeight="true" outlineLevel="0" collapsed="false">
      <c r="A1733" s="1" t="n">
        <v>1</v>
      </c>
      <c r="B1733" s="10" t="n">
        <v>45605</v>
      </c>
      <c r="C1733" s="11" t="s">
        <v>1751</v>
      </c>
      <c r="D1733" s="1" t="s">
        <v>9</v>
      </c>
      <c r="E1733" s="1" t="s">
        <v>20</v>
      </c>
      <c r="F1733" s="1" t="str">
        <f aca="false">TEXT(B1733,"mmm-yyyy")</f>
        <v>Nov-2024</v>
      </c>
    </row>
    <row r="1734" customFormat="false" ht="57.75" hidden="false" customHeight="true" outlineLevel="0" collapsed="false">
      <c r="A1734" s="1" t="n">
        <v>1</v>
      </c>
      <c r="B1734" s="10" t="n">
        <v>45603</v>
      </c>
      <c r="C1734" s="11" t="s">
        <v>1752</v>
      </c>
      <c r="D1734" s="1" t="s">
        <v>9</v>
      </c>
      <c r="E1734" s="1" t="s">
        <v>20</v>
      </c>
      <c r="F1734" s="1" t="str">
        <f aca="false">TEXT(B1734,"mmm-yyyy")</f>
        <v>Nov-2024</v>
      </c>
    </row>
    <row r="1735" customFormat="false" ht="43.5" hidden="false" customHeight="true" outlineLevel="0" collapsed="false">
      <c r="A1735" s="1" t="n">
        <v>5</v>
      </c>
      <c r="B1735" s="10" t="n">
        <v>45610</v>
      </c>
      <c r="C1735" s="11" t="s">
        <v>1753</v>
      </c>
      <c r="D1735" s="1" t="s">
        <v>9</v>
      </c>
      <c r="E1735" s="1" t="s">
        <v>18</v>
      </c>
      <c r="F1735" s="1" t="str">
        <f aca="false">TEXT(B1735,"mmm-yyyy")</f>
        <v>Nov-2024</v>
      </c>
    </row>
    <row r="1736" customFormat="false" ht="43.5" hidden="false" customHeight="true" outlineLevel="0" collapsed="false">
      <c r="A1736" s="1" t="n">
        <v>1</v>
      </c>
      <c r="B1736" s="10" t="n">
        <v>45617</v>
      </c>
      <c r="C1736" s="11" t="s">
        <v>1754</v>
      </c>
      <c r="D1736" s="1" t="s">
        <v>9</v>
      </c>
      <c r="E1736" s="1" t="s">
        <v>20</v>
      </c>
      <c r="F1736" s="1" t="str">
        <f aca="false">TEXT(B1736,"mmm-yyyy")</f>
        <v>Nov-2024</v>
      </c>
    </row>
    <row r="1737" customFormat="false" ht="57.75" hidden="false" customHeight="true" outlineLevel="0" collapsed="false">
      <c r="A1737" s="1" t="n">
        <v>1</v>
      </c>
      <c r="B1737" s="10" t="n">
        <v>45609</v>
      </c>
      <c r="C1737" s="11" t="s">
        <v>1755</v>
      </c>
      <c r="D1737" s="1" t="s">
        <v>9</v>
      </c>
      <c r="E1737" s="1" t="s">
        <v>18</v>
      </c>
      <c r="F1737" s="1" t="str">
        <f aca="false">TEXT(B1737,"mmm-yyyy")</f>
        <v>Nov-2024</v>
      </c>
    </row>
    <row r="1738" customFormat="false" ht="57.75" hidden="false" customHeight="true" outlineLevel="0" collapsed="false">
      <c r="A1738" s="1" t="n">
        <v>1</v>
      </c>
      <c r="B1738" s="10" t="n">
        <v>45628</v>
      </c>
      <c r="C1738" s="11" t="s">
        <v>1756</v>
      </c>
      <c r="D1738" s="1" t="s">
        <v>9</v>
      </c>
      <c r="E1738" s="1" t="s">
        <v>18</v>
      </c>
      <c r="F1738" s="1" t="str">
        <f aca="false">TEXT(B1738,"mmm-yyyy")</f>
        <v>Dec-2024</v>
      </c>
    </row>
    <row r="1739" customFormat="false" ht="87" hidden="false" customHeight="true" outlineLevel="0" collapsed="false">
      <c r="A1739" s="1" t="n">
        <v>1</v>
      </c>
      <c r="B1739" s="10" t="n">
        <v>45606</v>
      </c>
      <c r="C1739" s="11" t="s">
        <v>1757</v>
      </c>
      <c r="D1739" s="1" t="s">
        <v>9</v>
      </c>
      <c r="E1739" s="1" t="s">
        <v>20</v>
      </c>
      <c r="F1739" s="1" t="str">
        <f aca="false">TEXT(B1739,"mmm-yyyy")</f>
        <v>Nov-2024</v>
      </c>
    </row>
    <row r="1740" customFormat="false" ht="72" hidden="false" customHeight="true" outlineLevel="0" collapsed="false">
      <c r="A1740" s="1" t="n">
        <v>5</v>
      </c>
      <c r="B1740" s="10" t="n">
        <v>45589</v>
      </c>
      <c r="C1740" s="11" t="s">
        <v>1758</v>
      </c>
      <c r="D1740" s="1" t="s">
        <v>9</v>
      </c>
      <c r="E1740" s="1" t="s">
        <v>18</v>
      </c>
      <c r="F1740" s="1" t="str">
        <f aca="false">TEXT(B1740,"mmm-yyyy")</f>
        <v>Oct-2024</v>
      </c>
    </row>
    <row r="1741" customFormat="false" ht="57.75" hidden="false" customHeight="true" outlineLevel="0" collapsed="false">
      <c r="A1741" s="1" t="n">
        <v>1</v>
      </c>
      <c r="B1741" s="10" t="n">
        <v>45602</v>
      </c>
      <c r="C1741" s="11" t="s">
        <v>1759</v>
      </c>
      <c r="D1741" s="1" t="s">
        <v>9</v>
      </c>
      <c r="E1741" s="1" t="s">
        <v>18</v>
      </c>
      <c r="F1741" s="1" t="str">
        <f aca="false">TEXT(B1741,"mmm-yyyy")</f>
        <v>Nov-2024</v>
      </c>
    </row>
    <row r="1742" customFormat="false" ht="43.5" hidden="false" customHeight="true" outlineLevel="0" collapsed="false">
      <c r="A1742" s="1" t="n">
        <v>1</v>
      </c>
      <c r="B1742" s="10" t="n">
        <v>45621</v>
      </c>
      <c r="C1742" s="11" t="s">
        <v>1760</v>
      </c>
      <c r="D1742" s="1" t="s">
        <v>9</v>
      </c>
      <c r="E1742" s="1" t="s">
        <v>20</v>
      </c>
      <c r="F1742" s="1" t="str">
        <f aca="false">TEXT(B1742,"mmm-yyyy")</f>
        <v>Nov-2024</v>
      </c>
    </row>
    <row r="1743" customFormat="false" ht="43.5" hidden="false" customHeight="true" outlineLevel="0" collapsed="false">
      <c r="A1743" s="1" t="n">
        <v>4</v>
      </c>
      <c r="B1743" s="10" t="n">
        <v>45607</v>
      </c>
      <c r="C1743" s="11" t="s">
        <v>1761</v>
      </c>
      <c r="D1743" s="1" t="s">
        <v>9</v>
      </c>
      <c r="E1743" s="1" t="s">
        <v>20</v>
      </c>
      <c r="F1743" s="1" t="str">
        <f aca="false">TEXT(B1743,"mmm-yyyy")</f>
        <v>Nov-2024</v>
      </c>
    </row>
    <row r="1744" customFormat="false" ht="43.5" hidden="false" customHeight="true" outlineLevel="0" collapsed="false">
      <c r="A1744" s="1" t="n">
        <v>1</v>
      </c>
      <c r="B1744" s="10" t="n">
        <v>45598</v>
      </c>
      <c r="C1744" s="11" t="s">
        <v>1762</v>
      </c>
      <c r="D1744" s="1" t="s">
        <v>9</v>
      </c>
      <c r="E1744" s="1" t="s">
        <v>20</v>
      </c>
      <c r="F1744" s="1" t="str">
        <f aca="false">TEXT(B1744,"mmm-yyyy")</f>
        <v>Nov-2024</v>
      </c>
    </row>
    <row r="1745" customFormat="false" ht="130.5" hidden="false" customHeight="true" outlineLevel="0" collapsed="false">
      <c r="A1745" s="1" t="n">
        <v>1</v>
      </c>
      <c r="B1745" s="10" t="n">
        <v>45592</v>
      </c>
      <c r="C1745" s="11" t="s">
        <v>1763</v>
      </c>
      <c r="D1745" s="1" t="s">
        <v>9</v>
      </c>
      <c r="E1745" s="1" t="s">
        <v>20</v>
      </c>
      <c r="F1745" s="1" t="str">
        <f aca="false">TEXT(B1745,"mmm-yyyy")</f>
        <v>Oct-2024</v>
      </c>
    </row>
    <row r="1746" customFormat="false" ht="57.75" hidden="false" customHeight="true" outlineLevel="0" collapsed="false">
      <c r="A1746" s="1" t="n">
        <v>1</v>
      </c>
      <c r="B1746" s="10" t="n">
        <v>45627</v>
      </c>
      <c r="C1746" s="11" t="s">
        <v>1764</v>
      </c>
      <c r="D1746" s="1" t="s">
        <v>9</v>
      </c>
      <c r="E1746" s="1" t="s">
        <v>20</v>
      </c>
      <c r="F1746" s="1" t="str">
        <f aca="false">TEXT(B1746,"mmm-yyyy")</f>
        <v>Dec-2024</v>
      </c>
    </row>
    <row r="1747" customFormat="false" ht="72" hidden="false" customHeight="true" outlineLevel="0" collapsed="false">
      <c r="A1747" s="1" t="n">
        <v>1</v>
      </c>
      <c r="B1747" s="10" t="n">
        <v>45611</v>
      </c>
      <c r="C1747" s="11" t="s">
        <v>1765</v>
      </c>
      <c r="D1747" s="1" t="s">
        <v>9</v>
      </c>
      <c r="E1747" s="1" t="s">
        <v>18</v>
      </c>
      <c r="F1747" s="1" t="str">
        <f aca="false">TEXT(B1747,"mmm-yyyy")</f>
        <v>Nov-2024</v>
      </c>
    </row>
    <row r="1748" customFormat="false" ht="43.5" hidden="false" customHeight="true" outlineLevel="0" collapsed="false">
      <c r="A1748" s="1" t="n">
        <v>1</v>
      </c>
      <c r="B1748" s="10" t="n">
        <v>45620</v>
      </c>
      <c r="C1748" s="11" t="s">
        <v>1766</v>
      </c>
      <c r="D1748" s="1" t="s">
        <v>9</v>
      </c>
      <c r="E1748" s="1" t="s">
        <v>20</v>
      </c>
      <c r="F1748" s="1" t="str">
        <f aca="false">TEXT(B1748,"mmm-yyyy")</f>
        <v>Nov-2024</v>
      </c>
    </row>
    <row r="1749" customFormat="false" ht="57.75" hidden="false" customHeight="true" outlineLevel="0" collapsed="false">
      <c r="A1749" s="1" t="n">
        <v>1</v>
      </c>
      <c r="B1749" s="10" t="n">
        <v>45604</v>
      </c>
      <c r="C1749" s="11" t="s">
        <v>1767</v>
      </c>
      <c r="D1749" s="1" t="s">
        <v>9</v>
      </c>
      <c r="E1749" s="1" t="s">
        <v>18</v>
      </c>
      <c r="F1749" s="1" t="str">
        <f aca="false">TEXT(B1749,"mmm-yyyy")</f>
        <v>Nov-2024</v>
      </c>
    </row>
    <row r="1750" customFormat="false" ht="57.75" hidden="false" customHeight="true" outlineLevel="0" collapsed="false">
      <c r="A1750" s="1" t="n">
        <v>1</v>
      </c>
      <c r="B1750" s="10" t="n">
        <v>45592</v>
      </c>
      <c r="C1750" s="11" t="s">
        <v>1768</v>
      </c>
      <c r="D1750" s="1" t="s">
        <v>9</v>
      </c>
      <c r="E1750" s="1" t="s">
        <v>20</v>
      </c>
      <c r="F1750" s="1" t="str">
        <f aca="false">TEXT(B1750,"mmm-yyyy")</f>
        <v>Oct-2024</v>
      </c>
    </row>
    <row r="1751" customFormat="false" ht="72" hidden="false" customHeight="true" outlineLevel="0" collapsed="false">
      <c r="A1751" s="1" t="n">
        <v>1</v>
      </c>
      <c r="B1751" s="10" t="n">
        <v>45591</v>
      </c>
      <c r="C1751" s="11" t="s">
        <v>1769</v>
      </c>
      <c r="D1751" s="1" t="s">
        <v>9</v>
      </c>
      <c r="E1751" s="1" t="s">
        <v>20</v>
      </c>
      <c r="F1751" s="1" t="str">
        <f aca="false">TEXT(B1751,"mmm-yyyy")</f>
        <v>Oct-2024</v>
      </c>
    </row>
    <row r="1752" customFormat="false" ht="43.5" hidden="false" customHeight="true" outlineLevel="0" collapsed="false">
      <c r="A1752" s="1" t="n">
        <v>1</v>
      </c>
      <c r="B1752" s="10" t="n">
        <v>45627</v>
      </c>
      <c r="C1752" s="11" t="s">
        <v>1770</v>
      </c>
      <c r="D1752" s="1" t="s">
        <v>9</v>
      </c>
      <c r="E1752" s="1" t="s">
        <v>18</v>
      </c>
      <c r="F1752" s="1" t="str">
        <f aca="false">TEXT(B1752,"mmm-yyyy")</f>
        <v>Dec-2024</v>
      </c>
    </row>
    <row r="1753" customFormat="false" ht="72" hidden="false" customHeight="true" outlineLevel="0" collapsed="false">
      <c r="A1753" s="1" t="n">
        <v>3</v>
      </c>
      <c r="B1753" s="10" t="n">
        <v>45615</v>
      </c>
      <c r="C1753" s="11" t="s">
        <v>1771</v>
      </c>
      <c r="D1753" s="1" t="s">
        <v>9</v>
      </c>
      <c r="E1753" s="1" t="s">
        <v>18</v>
      </c>
      <c r="F1753" s="1" t="str">
        <f aca="false">TEXT(B1753,"mmm-yyyy")</f>
        <v>Nov-2024</v>
      </c>
    </row>
    <row r="1754" customFormat="false" ht="57.75" hidden="false" customHeight="true" outlineLevel="0" collapsed="false">
      <c r="A1754" s="1" t="n">
        <v>1</v>
      </c>
      <c r="B1754" s="10" t="n">
        <v>45589</v>
      </c>
      <c r="C1754" s="11" t="s">
        <v>1772</v>
      </c>
      <c r="D1754" s="1" t="s">
        <v>9</v>
      </c>
      <c r="E1754" s="1" t="s">
        <v>20</v>
      </c>
      <c r="F1754" s="1" t="str">
        <f aca="false">TEXT(B1754,"mmm-yyyy")</f>
        <v>Oct-2024</v>
      </c>
    </row>
    <row r="1755" customFormat="false" ht="57.75" hidden="false" customHeight="true" outlineLevel="0" collapsed="false">
      <c r="A1755" s="1" t="n">
        <v>1</v>
      </c>
      <c r="B1755" s="10" t="n">
        <v>45628</v>
      </c>
      <c r="C1755" s="11" t="s">
        <v>1773</v>
      </c>
      <c r="D1755" s="1" t="s">
        <v>9</v>
      </c>
      <c r="E1755" s="1" t="s">
        <v>20</v>
      </c>
      <c r="F1755" s="1" t="str">
        <f aca="false">TEXT(B1755,"mmm-yyyy")</f>
        <v>Dec-2024</v>
      </c>
    </row>
    <row r="1756" customFormat="false" ht="43.5" hidden="false" customHeight="true" outlineLevel="0" collapsed="false">
      <c r="A1756" s="1" t="n">
        <v>1</v>
      </c>
      <c r="B1756" s="10" t="n">
        <v>45588</v>
      </c>
      <c r="C1756" s="11" t="s">
        <v>1774</v>
      </c>
      <c r="D1756" s="1" t="s">
        <v>9</v>
      </c>
      <c r="E1756" s="1" t="s">
        <v>32</v>
      </c>
      <c r="F1756" s="1" t="str">
        <f aca="false">TEXT(B1756,"mmm-yyyy")</f>
        <v>Oct-2024</v>
      </c>
    </row>
    <row r="1757" customFormat="false" ht="72" hidden="false" customHeight="true" outlineLevel="0" collapsed="false">
      <c r="A1757" s="1" t="n">
        <v>1</v>
      </c>
      <c r="B1757" s="10" t="n">
        <v>45599</v>
      </c>
      <c r="C1757" s="11" t="s">
        <v>1775</v>
      </c>
      <c r="D1757" s="1" t="s">
        <v>9</v>
      </c>
      <c r="E1757" s="1" t="s">
        <v>20</v>
      </c>
      <c r="F1757" s="1" t="str">
        <f aca="false">TEXT(B1757,"mmm-yyyy")</f>
        <v>Nov-2024</v>
      </c>
    </row>
    <row r="1758" customFormat="false" ht="57.75" hidden="false" customHeight="true" outlineLevel="0" collapsed="false">
      <c r="A1758" s="1" t="n">
        <v>1</v>
      </c>
      <c r="B1758" s="10" t="n">
        <v>45626</v>
      </c>
      <c r="C1758" s="11" t="s">
        <v>1776</v>
      </c>
      <c r="D1758" s="1" t="s">
        <v>9</v>
      </c>
      <c r="E1758" s="1" t="s">
        <v>20</v>
      </c>
      <c r="F1758" s="1" t="str">
        <f aca="false">TEXT(B1758,"mmm-yyyy")</f>
        <v>Nov-2024</v>
      </c>
    </row>
    <row r="1759" customFormat="false" ht="57.75" hidden="false" customHeight="true" outlineLevel="0" collapsed="false">
      <c r="A1759" s="1" t="n">
        <v>1</v>
      </c>
      <c r="B1759" s="10" t="n">
        <v>45613</v>
      </c>
      <c r="C1759" s="11" t="s">
        <v>1777</v>
      </c>
      <c r="D1759" s="1" t="s">
        <v>9</v>
      </c>
      <c r="E1759" s="1" t="s">
        <v>20</v>
      </c>
      <c r="F1759" s="1" t="str">
        <f aca="false">TEXT(B1759,"mmm-yyyy")</f>
        <v>Nov-2024</v>
      </c>
    </row>
    <row r="1760" customFormat="false" ht="43.5" hidden="false" customHeight="true" outlineLevel="0" collapsed="false">
      <c r="A1760" s="1" t="n">
        <v>1</v>
      </c>
      <c r="B1760" s="10" t="n">
        <v>45604</v>
      </c>
      <c r="C1760" s="11" t="s">
        <v>1778</v>
      </c>
      <c r="D1760" s="1" t="s">
        <v>9</v>
      </c>
      <c r="E1760" s="1" t="s">
        <v>20</v>
      </c>
      <c r="F1760" s="1" t="str">
        <f aca="false">TEXT(B1760,"mmm-yyyy")</f>
        <v>Nov-2024</v>
      </c>
    </row>
    <row r="1761" customFormat="false" ht="43.5" hidden="false" customHeight="true" outlineLevel="0" collapsed="false">
      <c r="A1761" s="1" t="n">
        <v>1</v>
      </c>
      <c r="B1761" s="10" t="n">
        <v>45625</v>
      </c>
      <c r="C1761" s="11" t="s">
        <v>1779</v>
      </c>
      <c r="D1761" s="1" t="s">
        <v>9</v>
      </c>
      <c r="E1761" s="1" t="s">
        <v>32</v>
      </c>
      <c r="F1761" s="1" t="str">
        <f aca="false">TEXT(B1761,"mmm-yyyy")</f>
        <v>Nov-2024</v>
      </c>
    </row>
    <row r="1762" customFormat="false" ht="72" hidden="false" customHeight="true" outlineLevel="0" collapsed="false">
      <c r="A1762" s="1" t="n">
        <v>1</v>
      </c>
      <c r="B1762" s="10" t="n">
        <v>45615</v>
      </c>
      <c r="C1762" s="11" t="s">
        <v>1780</v>
      </c>
      <c r="D1762" s="1" t="s">
        <v>9</v>
      </c>
      <c r="E1762" s="1" t="s">
        <v>20</v>
      </c>
      <c r="F1762" s="1" t="str">
        <f aca="false">TEXT(B1762,"mmm-yyyy")</f>
        <v>Nov-2024</v>
      </c>
    </row>
    <row r="1763" customFormat="false" ht="43.5" hidden="false" customHeight="true" outlineLevel="0" collapsed="false">
      <c r="A1763" s="1" t="n">
        <v>1</v>
      </c>
      <c r="B1763" s="10" t="n">
        <v>45602</v>
      </c>
      <c r="C1763" s="11" t="s">
        <v>1781</v>
      </c>
      <c r="D1763" s="1" t="s">
        <v>9</v>
      </c>
      <c r="E1763" s="1" t="s">
        <v>20</v>
      </c>
      <c r="F1763" s="1" t="str">
        <f aca="false">TEXT(B1763,"mmm-yyyy")</f>
        <v>Nov-2024</v>
      </c>
    </row>
    <row r="1764" customFormat="false" ht="43.5" hidden="false" customHeight="true" outlineLevel="0" collapsed="false">
      <c r="A1764" s="1" t="n">
        <v>4</v>
      </c>
      <c r="B1764" s="10" t="n">
        <v>45620</v>
      </c>
      <c r="C1764" s="11" t="s">
        <v>1782</v>
      </c>
      <c r="D1764" s="1" t="s">
        <v>9</v>
      </c>
      <c r="E1764" s="1" t="s">
        <v>18</v>
      </c>
      <c r="F1764" s="1" t="str">
        <f aca="false">TEXT(B1764,"mmm-yyyy")</f>
        <v>Nov-2024</v>
      </c>
    </row>
    <row r="1765" customFormat="false" ht="87" hidden="false" customHeight="true" outlineLevel="0" collapsed="false">
      <c r="A1765" s="1" t="n">
        <v>1</v>
      </c>
      <c r="B1765" s="10" t="n">
        <v>45598</v>
      </c>
      <c r="C1765" s="11" t="s">
        <v>1783</v>
      </c>
      <c r="D1765" s="1" t="s">
        <v>9</v>
      </c>
      <c r="E1765" s="1" t="s">
        <v>20</v>
      </c>
      <c r="F1765" s="1" t="str">
        <f aca="false">TEXT(B1765,"mmm-yyyy")</f>
        <v>Nov-2024</v>
      </c>
    </row>
    <row r="1766" customFormat="false" ht="43.5" hidden="false" customHeight="true" outlineLevel="0" collapsed="false">
      <c r="A1766" s="1" t="n">
        <v>1</v>
      </c>
      <c r="B1766" s="10" t="n">
        <v>45617</v>
      </c>
      <c r="C1766" s="11" t="s">
        <v>1784</v>
      </c>
      <c r="D1766" s="1" t="s">
        <v>9</v>
      </c>
      <c r="E1766" s="1" t="s">
        <v>20</v>
      </c>
      <c r="F1766" s="1" t="str">
        <f aca="false">TEXT(B1766,"mmm-yyyy")</f>
        <v>Nov-2024</v>
      </c>
    </row>
    <row r="1767" customFormat="false" ht="72" hidden="false" customHeight="true" outlineLevel="0" collapsed="false">
      <c r="A1767" s="1" t="n">
        <v>1</v>
      </c>
      <c r="B1767" s="10" t="n">
        <v>45602</v>
      </c>
      <c r="C1767" s="11" t="s">
        <v>1785</v>
      </c>
      <c r="D1767" s="1" t="s">
        <v>9</v>
      </c>
      <c r="E1767" s="1" t="s">
        <v>20</v>
      </c>
      <c r="F1767" s="1" t="str">
        <f aca="false">TEXT(B1767,"mmm-yyyy")</f>
        <v>Nov-2024</v>
      </c>
    </row>
    <row r="1768" customFormat="false" ht="115.5" hidden="false" customHeight="true" outlineLevel="0" collapsed="false">
      <c r="A1768" s="1" t="n">
        <v>1</v>
      </c>
      <c r="B1768" s="10" t="n">
        <v>45594</v>
      </c>
      <c r="C1768" s="11" t="s">
        <v>1786</v>
      </c>
      <c r="D1768" s="1" t="s">
        <v>9</v>
      </c>
      <c r="E1768" s="1" t="s">
        <v>20</v>
      </c>
      <c r="F1768" s="1" t="str">
        <f aca="false">TEXT(B1768,"mmm-yyyy")</f>
        <v>Oct-2024</v>
      </c>
    </row>
    <row r="1769" customFormat="false" ht="57.75" hidden="false" customHeight="true" outlineLevel="0" collapsed="false">
      <c r="A1769" s="1" t="n">
        <v>1</v>
      </c>
      <c r="B1769" s="10" t="n">
        <v>45595</v>
      </c>
      <c r="C1769" s="11" t="s">
        <v>1787</v>
      </c>
      <c r="D1769" s="1" t="s">
        <v>9</v>
      </c>
      <c r="E1769" s="1" t="s">
        <v>20</v>
      </c>
      <c r="F1769" s="1" t="str">
        <f aca="false">TEXT(B1769,"mmm-yyyy")</f>
        <v>Oct-2024</v>
      </c>
    </row>
    <row r="1770" customFormat="false" ht="43.5" hidden="false" customHeight="true" outlineLevel="0" collapsed="false">
      <c r="A1770" s="1" t="n">
        <v>1</v>
      </c>
      <c r="B1770" s="10" t="n">
        <v>45596</v>
      </c>
      <c r="C1770" s="11" t="s">
        <v>1788</v>
      </c>
      <c r="D1770" s="1" t="s">
        <v>9</v>
      </c>
      <c r="E1770" s="1" t="s">
        <v>32</v>
      </c>
      <c r="F1770" s="1" t="str">
        <f aca="false">TEXT(B1770,"mmm-yyyy")</f>
        <v>Oct-2024</v>
      </c>
    </row>
    <row r="1771" customFormat="false" ht="101.25" hidden="false" customHeight="true" outlineLevel="0" collapsed="false">
      <c r="A1771" s="1" t="n">
        <v>1</v>
      </c>
      <c r="B1771" s="10" t="n">
        <v>45607</v>
      </c>
      <c r="C1771" s="11" t="s">
        <v>1789</v>
      </c>
      <c r="D1771" s="1" t="s">
        <v>9</v>
      </c>
      <c r="E1771" s="1" t="s">
        <v>20</v>
      </c>
      <c r="F1771" s="1" t="str">
        <f aca="false">TEXT(B1771,"mmm-yyyy")</f>
        <v>Nov-2024</v>
      </c>
    </row>
    <row r="1772" customFormat="false" ht="43.5" hidden="false" customHeight="true" outlineLevel="0" collapsed="false">
      <c r="A1772" s="1" t="n">
        <v>1</v>
      </c>
      <c r="B1772" s="10" t="n">
        <v>45624</v>
      </c>
      <c r="C1772" s="11" t="s">
        <v>1790</v>
      </c>
      <c r="D1772" s="1" t="s">
        <v>9</v>
      </c>
      <c r="E1772" s="1" t="s">
        <v>18</v>
      </c>
      <c r="F1772" s="1" t="str">
        <f aca="false">TEXT(B1772,"mmm-yyyy")</f>
        <v>Nov-2024</v>
      </c>
    </row>
    <row r="1773" customFormat="false" ht="28.5" hidden="false" customHeight="true" outlineLevel="0" collapsed="false">
      <c r="A1773" s="1" t="n">
        <v>4</v>
      </c>
      <c r="B1773" s="10" t="n">
        <v>45628</v>
      </c>
      <c r="C1773" s="11" t="s">
        <v>1791</v>
      </c>
      <c r="D1773" s="1" t="s">
        <v>9</v>
      </c>
      <c r="E1773" s="1" t="s">
        <v>18</v>
      </c>
      <c r="F1773" s="1" t="str">
        <f aca="false">TEXT(B1773,"mmm-yyyy")</f>
        <v>Dec-2024</v>
      </c>
    </row>
    <row r="1774" customFormat="false" ht="43.5" hidden="false" customHeight="true" outlineLevel="0" collapsed="false">
      <c r="A1774" s="1" t="n">
        <v>1</v>
      </c>
      <c r="B1774" s="10" t="n">
        <v>45604</v>
      </c>
      <c r="C1774" s="11" t="s">
        <v>1792</v>
      </c>
      <c r="D1774" s="1" t="s">
        <v>9</v>
      </c>
      <c r="E1774" s="1" t="s">
        <v>18</v>
      </c>
      <c r="F1774" s="1" t="str">
        <f aca="false">TEXT(B1774,"mmm-yyyy")</f>
        <v>Nov-2024</v>
      </c>
    </row>
    <row r="1775" customFormat="false" ht="28.5" hidden="false" customHeight="true" outlineLevel="0" collapsed="false">
      <c r="A1775" s="1" t="n">
        <v>3</v>
      </c>
      <c r="B1775" s="10" t="n">
        <v>45618</v>
      </c>
      <c r="C1775" s="11" t="s">
        <v>1793</v>
      </c>
      <c r="D1775" s="1" t="s">
        <v>9</v>
      </c>
      <c r="E1775" s="1" t="s">
        <v>20</v>
      </c>
      <c r="F1775" s="1" t="str">
        <f aca="false">TEXT(B1775,"mmm-yyyy")</f>
        <v>Nov-2024</v>
      </c>
    </row>
    <row r="1776" customFormat="false" ht="43.5" hidden="false" customHeight="true" outlineLevel="0" collapsed="false">
      <c r="A1776" s="1" t="n">
        <v>1</v>
      </c>
      <c r="B1776" s="10" t="n">
        <v>45595</v>
      </c>
      <c r="C1776" s="11" t="s">
        <v>1794</v>
      </c>
      <c r="D1776" s="1" t="s">
        <v>9</v>
      </c>
      <c r="E1776" s="1" t="s">
        <v>18</v>
      </c>
      <c r="F1776" s="1" t="str">
        <f aca="false">TEXT(B1776,"mmm-yyyy")</f>
        <v>Oct-2024</v>
      </c>
    </row>
    <row r="1777" customFormat="false" ht="43.5" hidden="false" customHeight="true" outlineLevel="0" collapsed="false">
      <c r="A1777" s="1" t="n">
        <v>2</v>
      </c>
      <c r="B1777" s="10" t="n">
        <v>45610</v>
      </c>
      <c r="C1777" s="11" t="s">
        <v>1795</v>
      </c>
      <c r="D1777" s="1" t="s">
        <v>9</v>
      </c>
      <c r="E1777" s="1" t="s">
        <v>20</v>
      </c>
      <c r="F1777" s="1" t="str">
        <f aca="false">TEXT(B1777,"mmm-yyyy")</f>
        <v>Nov-2024</v>
      </c>
    </row>
    <row r="1778" customFormat="false" ht="57.75" hidden="false" customHeight="true" outlineLevel="0" collapsed="false">
      <c r="A1778" s="1" t="n">
        <v>5</v>
      </c>
      <c r="B1778" s="10" t="n">
        <v>45609</v>
      </c>
      <c r="C1778" s="11" t="s">
        <v>1796</v>
      </c>
      <c r="D1778" s="1" t="s">
        <v>9</v>
      </c>
      <c r="E1778" s="1" t="s">
        <v>18</v>
      </c>
      <c r="F1778" s="1" t="str">
        <f aca="false">TEXT(B1778,"mmm-yyyy")</f>
        <v>Nov-2024</v>
      </c>
    </row>
    <row r="1779" customFormat="false" ht="130.5" hidden="false" customHeight="true" outlineLevel="0" collapsed="false">
      <c r="A1779" s="1" t="n">
        <v>1</v>
      </c>
      <c r="B1779" s="10" t="n">
        <v>45620</v>
      </c>
      <c r="C1779" s="11" t="s">
        <v>1797</v>
      </c>
      <c r="D1779" s="1" t="s">
        <v>9</v>
      </c>
      <c r="E1779" s="1" t="s">
        <v>18</v>
      </c>
      <c r="F1779" s="1" t="str">
        <f aca="false">TEXT(B1779,"mmm-yyyy")</f>
        <v>Nov-2024</v>
      </c>
    </row>
    <row r="1780" customFormat="false" ht="57.75" hidden="false" customHeight="true" outlineLevel="0" collapsed="false">
      <c r="A1780" s="1" t="n">
        <v>1</v>
      </c>
      <c r="B1780" s="10" t="n">
        <v>45624</v>
      </c>
      <c r="C1780" s="11" t="s">
        <v>1798</v>
      </c>
      <c r="D1780" s="1" t="s">
        <v>9</v>
      </c>
      <c r="E1780" s="1" t="s">
        <v>20</v>
      </c>
      <c r="F1780" s="1" t="str">
        <f aca="false">TEXT(B1780,"mmm-yyyy")</f>
        <v>Nov-2024</v>
      </c>
    </row>
    <row r="1781" customFormat="false" ht="101.25" hidden="false" customHeight="true" outlineLevel="0" collapsed="false">
      <c r="A1781" s="1" t="n">
        <v>4</v>
      </c>
      <c r="B1781" s="10" t="n">
        <v>45627</v>
      </c>
      <c r="C1781" s="11" t="s">
        <v>1799</v>
      </c>
      <c r="D1781" s="1" t="s">
        <v>9</v>
      </c>
      <c r="E1781" s="1" t="s">
        <v>18</v>
      </c>
      <c r="F1781" s="1" t="str">
        <f aca="false">TEXT(B1781,"mmm-yyyy")</f>
        <v>Dec-2024</v>
      </c>
    </row>
    <row r="1782" customFormat="false" ht="43.5" hidden="false" customHeight="true" outlineLevel="0" collapsed="false">
      <c r="A1782" s="1" t="n">
        <v>1</v>
      </c>
      <c r="B1782" s="10" t="n">
        <v>45620</v>
      </c>
      <c r="C1782" s="11" t="s">
        <v>1800</v>
      </c>
      <c r="D1782" s="1" t="s">
        <v>9</v>
      </c>
      <c r="E1782" s="1" t="s">
        <v>20</v>
      </c>
      <c r="F1782" s="1" t="str">
        <f aca="false">TEXT(B1782,"mmm-yyyy")</f>
        <v>Nov-2024</v>
      </c>
    </row>
    <row r="1783" customFormat="false" ht="43.5" hidden="false" customHeight="true" outlineLevel="0" collapsed="false">
      <c r="A1783" s="1" t="n">
        <v>1</v>
      </c>
      <c r="B1783" s="10" t="n">
        <v>45619</v>
      </c>
      <c r="C1783" s="11" t="s">
        <v>1801</v>
      </c>
      <c r="D1783" s="1" t="s">
        <v>9</v>
      </c>
      <c r="E1783" s="1" t="s">
        <v>20</v>
      </c>
      <c r="F1783" s="1" t="str">
        <f aca="false">TEXT(B1783,"mmm-yyyy")</f>
        <v>Nov-2024</v>
      </c>
    </row>
    <row r="1784" customFormat="false" ht="57.75" hidden="false" customHeight="true" outlineLevel="0" collapsed="false">
      <c r="A1784" s="1" t="n">
        <v>1</v>
      </c>
      <c r="B1784" s="10" t="n">
        <v>45607</v>
      </c>
      <c r="C1784" s="11" t="s">
        <v>1802</v>
      </c>
      <c r="D1784" s="1" t="s">
        <v>9</v>
      </c>
      <c r="E1784" s="1" t="s">
        <v>20</v>
      </c>
      <c r="F1784" s="1" t="str">
        <f aca="false">TEXT(B1784,"mmm-yyyy")</f>
        <v>Nov-2024</v>
      </c>
    </row>
    <row r="1785" customFormat="false" ht="57.75" hidden="false" customHeight="true" outlineLevel="0" collapsed="false">
      <c r="A1785" s="1" t="n">
        <v>1</v>
      </c>
      <c r="B1785" s="10" t="n">
        <v>45601</v>
      </c>
      <c r="C1785" s="11" t="s">
        <v>1803</v>
      </c>
      <c r="D1785" s="1" t="s">
        <v>9</v>
      </c>
      <c r="E1785" s="1" t="s">
        <v>18</v>
      </c>
      <c r="F1785" s="1" t="str">
        <f aca="false">TEXT(B1785,"mmm-yyyy")</f>
        <v>Nov-2024</v>
      </c>
    </row>
    <row r="1786" customFormat="false" ht="43.5" hidden="false" customHeight="true" outlineLevel="0" collapsed="false">
      <c r="A1786" s="1" t="n">
        <v>1</v>
      </c>
      <c r="B1786" s="10" t="n">
        <v>45598</v>
      </c>
      <c r="C1786" s="11" t="s">
        <v>1804</v>
      </c>
      <c r="D1786" s="1" t="s">
        <v>9</v>
      </c>
      <c r="E1786" s="1" t="s">
        <v>20</v>
      </c>
      <c r="F1786" s="1" t="str">
        <f aca="false">TEXT(B1786,"mmm-yyyy")</f>
        <v>Nov-2024</v>
      </c>
    </row>
    <row r="1787" customFormat="false" ht="43.5" hidden="false" customHeight="true" outlineLevel="0" collapsed="false">
      <c r="A1787" s="1" t="n">
        <v>1</v>
      </c>
      <c r="B1787" s="10" t="n">
        <v>45593</v>
      </c>
      <c r="C1787" s="11" t="s">
        <v>1805</v>
      </c>
      <c r="D1787" s="1" t="s">
        <v>9</v>
      </c>
      <c r="E1787" s="1" t="s">
        <v>20</v>
      </c>
      <c r="F1787" s="1" t="str">
        <f aca="false">TEXT(B1787,"mmm-yyyy")</f>
        <v>Oct-2024</v>
      </c>
    </row>
    <row r="1788" customFormat="false" ht="57.75" hidden="false" customHeight="true" outlineLevel="0" collapsed="false">
      <c r="A1788" s="1" t="n">
        <v>1</v>
      </c>
      <c r="B1788" s="10" t="n">
        <v>45589</v>
      </c>
      <c r="C1788" s="11" t="s">
        <v>1806</v>
      </c>
      <c r="D1788" s="1" t="s">
        <v>9</v>
      </c>
      <c r="E1788" s="1" t="s">
        <v>20</v>
      </c>
      <c r="F1788" s="1" t="str">
        <f aca="false">TEXT(B1788,"mmm-yyyy")</f>
        <v>Oct-2024</v>
      </c>
    </row>
    <row r="1789" customFormat="false" ht="57.75" hidden="false" customHeight="true" outlineLevel="0" collapsed="false">
      <c r="A1789" s="1" t="n">
        <v>1</v>
      </c>
      <c r="B1789" s="10" t="n">
        <v>45608</v>
      </c>
      <c r="C1789" s="11" t="s">
        <v>1807</v>
      </c>
      <c r="D1789" s="1" t="s">
        <v>9</v>
      </c>
      <c r="E1789" s="1" t="s">
        <v>20</v>
      </c>
      <c r="F1789" s="1" t="str">
        <f aca="false">TEXT(B1789,"mmm-yyyy")</f>
        <v>Nov-2024</v>
      </c>
    </row>
    <row r="1790" customFormat="false" ht="72" hidden="false" customHeight="true" outlineLevel="0" collapsed="false">
      <c r="A1790" s="1" t="n">
        <v>1</v>
      </c>
      <c r="B1790" s="10" t="n">
        <v>45599</v>
      </c>
      <c r="C1790" s="11" t="s">
        <v>1808</v>
      </c>
      <c r="D1790" s="1" t="s">
        <v>9</v>
      </c>
      <c r="E1790" s="1" t="s">
        <v>20</v>
      </c>
      <c r="F1790" s="1" t="str">
        <f aca="false">TEXT(B1790,"mmm-yyyy")</f>
        <v>Nov-2024</v>
      </c>
    </row>
    <row r="1791" customFormat="false" ht="72" hidden="false" customHeight="true" outlineLevel="0" collapsed="false">
      <c r="A1791" s="1" t="n">
        <v>1</v>
      </c>
      <c r="B1791" s="10" t="n">
        <v>45614</v>
      </c>
      <c r="C1791" s="11" t="s">
        <v>1809</v>
      </c>
      <c r="D1791" s="1" t="s">
        <v>9</v>
      </c>
      <c r="E1791" s="1" t="s">
        <v>20</v>
      </c>
      <c r="F1791" s="1" t="str">
        <f aca="false">TEXT(B1791,"mmm-yyyy")</f>
        <v>Nov-2024</v>
      </c>
    </row>
    <row r="1792" customFormat="false" ht="28.5" hidden="false" customHeight="true" outlineLevel="0" collapsed="false">
      <c r="A1792" s="1" t="n">
        <v>1</v>
      </c>
      <c r="B1792" s="10" t="n">
        <v>45597</v>
      </c>
      <c r="C1792" s="11" t="s">
        <v>1810</v>
      </c>
      <c r="D1792" s="1" t="s">
        <v>9</v>
      </c>
      <c r="E1792" s="1" t="s">
        <v>20</v>
      </c>
      <c r="F1792" s="1" t="str">
        <f aca="false">TEXT(B1792,"mmm-yyyy")</f>
        <v>Nov-2024</v>
      </c>
    </row>
    <row r="1793" customFormat="false" ht="28.5" hidden="false" customHeight="true" outlineLevel="0" collapsed="false">
      <c r="A1793" s="1" t="n">
        <v>1</v>
      </c>
      <c r="B1793" s="10" t="n">
        <v>45605</v>
      </c>
      <c r="C1793" s="11" t="s">
        <v>1811</v>
      </c>
      <c r="D1793" s="1" t="s">
        <v>9</v>
      </c>
      <c r="E1793" s="1" t="s">
        <v>20</v>
      </c>
      <c r="F1793" s="1" t="str">
        <f aca="false">TEXT(B1793,"mmm-yyyy")</f>
        <v>Nov-2024</v>
      </c>
    </row>
    <row r="1794" customFormat="false" ht="57.75" hidden="false" customHeight="true" outlineLevel="0" collapsed="false">
      <c r="A1794" s="1" t="n">
        <v>1</v>
      </c>
      <c r="B1794" s="10" t="n">
        <v>45610</v>
      </c>
      <c r="C1794" s="11" t="s">
        <v>1812</v>
      </c>
      <c r="D1794" s="1" t="s">
        <v>9</v>
      </c>
      <c r="E1794" s="1" t="s">
        <v>20</v>
      </c>
      <c r="F1794" s="1" t="str">
        <f aca="false">TEXT(B1794,"mmm-yyyy")</f>
        <v>Nov-2024</v>
      </c>
    </row>
    <row r="1795" customFormat="false" ht="72" hidden="false" customHeight="true" outlineLevel="0" collapsed="false">
      <c r="A1795" s="1" t="n">
        <v>4</v>
      </c>
      <c r="B1795" s="10" t="n">
        <v>45594</v>
      </c>
      <c r="C1795" s="11" t="s">
        <v>1813</v>
      </c>
      <c r="D1795" s="1" t="s">
        <v>9</v>
      </c>
      <c r="E1795" s="1" t="s">
        <v>18</v>
      </c>
      <c r="F1795" s="1" t="str">
        <f aca="false">TEXT(B1795,"mmm-yyyy")</f>
        <v>Oct-2024</v>
      </c>
    </row>
    <row r="1796" customFormat="false" ht="57.75" hidden="false" customHeight="true" outlineLevel="0" collapsed="false">
      <c r="A1796" s="1" t="n">
        <v>3</v>
      </c>
      <c r="B1796" s="10" t="n">
        <v>45622</v>
      </c>
      <c r="C1796" s="11" t="s">
        <v>1814</v>
      </c>
      <c r="D1796" s="1" t="s">
        <v>9</v>
      </c>
      <c r="E1796" s="1" t="s">
        <v>20</v>
      </c>
      <c r="F1796" s="1" t="str">
        <f aca="false">TEXT(B1796,"mmm-yyyy")</f>
        <v>Nov-2024</v>
      </c>
    </row>
    <row r="1797" customFormat="false" ht="43.5" hidden="false" customHeight="true" outlineLevel="0" collapsed="false">
      <c r="A1797" s="1" t="n">
        <v>5</v>
      </c>
      <c r="B1797" s="10" t="n">
        <v>45610</v>
      </c>
      <c r="C1797" s="11" t="s">
        <v>1815</v>
      </c>
      <c r="D1797" s="1" t="s">
        <v>9</v>
      </c>
      <c r="E1797" s="1" t="s">
        <v>18</v>
      </c>
      <c r="F1797" s="1" t="str">
        <f aca="false">TEXT(B1797,"mmm-yyyy")</f>
        <v>Nov-2024</v>
      </c>
    </row>
    <row r="1798" customFormat="false" ht="43.5" hidden="false" customHeight="true" outlineLevel="0" collapsed="false">
      <c r="A1798" s="1" t="n">
        <v>1</v>
      </c>
      <c r="B1798" s="10" t="n">
        <v>45601</v>
      </c>
      <c r="C1798" s="11" t="s">
        <v>1816</v>
      </c>
      <c r="D1798" s="1" t="s">
        <v>9</v>
      </c>
      <c r="E1798" s="1" t="s">
        <v>20</v>
      </c>
      <c r="F1798" s="1" t="str">
        <f aca="false">TEXT(B1798,"mmm-yyyy")</f>
        <v>Nov-2024</v>
      </c>
    </row>
    <row r="1799" customFormat="false" ht="57.75" hidden="false" customHeight="true" outlineLevel="0" collapsed="false">
      <c r="A1799" s="1" t="n">
        <v>1</v>
      </c>
      <c r="B1799" s="10" t="n">
        <v>45623</v>
      </c>
      <c r="C1799" s="11" t="s">
        <v>1817</v>
      </c>
      <c r="D1799" s="1" t="s">
        <v>9</v>
      </c>
      <c r="E1799" s="1" t="s">
        <v>20</v>
      </c>
      <c r="F1799" s="1" t="str">
        <f aca="false">TEXT(B1799,"mmm-yyyy")</f>
        <v>Nov-2024</v>
      </c>
    </row>
    <row r="1800" customFormat="false" ht="130.5" hidden="false" customHeight="true" outlineLevel="0" collapsed="false">
      <c r="A1800" s="1" t="n">
        <v>1</v>
      </c>
      <c r="B1800" s="10" t="n">
        <v>45510</v>
      </c>
      <c r="C1800" s="11" t="s">
        <v>1818</v>
      </c>
      <c r="D1800" s="1" t="s">
        <v>9</v>
      </c>
      <c r="E1800" s="1" t="s">
        <v>18</v>
      </c>
      <c r="F1800" s="1" t="str">
        <f aca="false">TEXT(B1800,"mmm-yyyy")</f>
        <v>Aug-2024</v>
      </c>
    </row>
    <row r="1801" customFormat="false" ht="87" hidden="false" customHeight="true" outlineLevel="0" collapsed="false">
      <c r="A1801" s="1" t="n">
        <v>1</v>
      </c>
      <c r="B1801" s="10" t="n">
        <v>45582</v>
      </c>
      <c r="C1801" s="11" t="s">
        <v>1819</v>
      </c>
      <c r="D1801" s="1" t="s">
        <v>9</v>
      </c>
      <c r="E1801" s="1" t="s">
        <v>20</v>
      </c>
      <c r="F1801" s="1" t="str">
        <f aca="false">TEXT(B1801,"mmm-yyyy")</f>
        <v>Oct-2024</v>
      </c>
    </row>
    <row r="1802" customFormat="false" ht="72" hidden="false" customHeight="true" outlineLevel="0" collapsed="false">
      <c r="A1802" s="1" t="n">
        <v>1</v>
      </c>
      <c r="B1802" s="10" t="n">
        <v>45587</v>
      </c>
      <c r="C1802" s="11" t="s">
        <v>1820</v>
      </c>
      <c r="D1802" s="1" t="s">
        <v>9</v>
      </c>
      <c r="E1802" s="1" t="s">
        <v>18</v>
      </c>
      <c r="F1802" s="1" t="str">
        <f aca="false">TEXT(B1802,"mmm-yyyy")</f>
        <v>Oct-2024</v>
      </c>
    </row>
    <row r="1803" customFormat="false" ht="101.25" hidden="false" customHeight="true" outlineLevel="0" collapsed="false">
      <c r="A1803" s="1" t="n">
        <v>1</v>
      </c>
      <c r="B1803" s="10" t="n">
        <v>45548</v>
      </c>
      <c r="C1803" s="11" t="s">
        <v>1821</v>
      </c>
      <c r="D1803" s="1" t="s">
        <v>9</v>
      </c>
      <c r="E1803" s="1" t="s">
        <v>18</v>
      </c>
      <c r="F1803" s="1" t="str">
        <f aca="false">TEXT(B1803,"mmm-yyyy")</f>
        <v>Sep-2024</v>
      </c>
    </row>
    <row r="1804" customFormat="false" ht="28.5" hidden="false" customHeight="true" outlineLevel="0" collapsed="false">
      <c r="A1804" s="1" t="n">
        <v>1</v>
      </c>
      <c r="B1804" s="10" t="n">
        <v>45598</v>
      </c>
      <c r="C1804" s="11" t="s">
        <v>1822</v>
      </c>
      <c r="D1804" s="1" t="s">
        <v>9</v>
      </c>
      <c r="E1804" s="1" t="s">
        <v>20</v>
      </c>
      <c r="F1804" s="1" t="str">
        <f aca="false">TEXT(B1804,"mmm-yyyy")</f>
        <v>Nov-2024</v>
      </c>
    </row>
    <row r="1805" customFormat="false" ht="72" hidden="false" customHeight="true" outlineLevel="0" collapsed="false">
      <c r="A1805" s="1" t="n">
        <v>1</v>
      </c>
      <c r="B1805" s="10" t="n">
        <v>45580</v>
      </c>
      <c r="C1805" s="11" t="s">
        <v>1823</v>
      </c>
      <c r="D1805" s="1" t="s">
        <v>9</v>
      </c>
      <c r="E1805" s="1" t="s">
        <v>20</v>
      </c>
      <c r="F1805" s="1" t="str">
        <f aca="false">TEXT(B1805,"mmm-yyyy")</f>
        <v>Oct-2024</v>
      </c>
    </row>
    <row r="1806" customFormat="false" ht="101.25" hidden="false" customHeight="true" outlineLevel="0" collapsed="false">
      <c r="A1806" s="1" t="n">
        <v>3</v>
      </c>
      <c r="B1806" s="10" t="n">
        <v>45550</v>
      </c>
      <c r="C1806" s="11" t="s">
        <v>1824</v>
      </c>
      <c r="D1806" s="1" t="s">
        <v>9</v>
      </c>
      <c r="E1806" s="1" t="s">
        <v>18</v>
      </c>
      <c r="F1806" s="1" t="str">
        <f aca="false">TEXT(B1806,"mmm-yyyy")</f>
        <v>Sep-2024</v>
      </c>
    </row>
    <row r="1807" customFormat="false" ht="43.5" hidden="false" customHeight="true" outlineLevel="0" collapsed="false">
      <c r="A1807" s="1" t="n">
        <v>1</v>
      </c>
      <c r="B1807" s="10" t="n">
        <v>45613</v>
      </c>
      <c r="C1807" s="11" t="s">
        <v>1825</v>
      </c>
      <c r="D1807" s="1" t="s">
        <v>9</v>
      </c>
      <c r="E1807" s="1" t="s">
        <v>20</v>
      </c>
      <c r="F1807" s="1" t="str">
        <f aca="false">TEXT(B1807,"mmm-yyyy")</f>
        <v>Nov-2024</v>
      </c>
    </row>
    <row r="1808" customFormat="false" ht="115.5" hidden="false" customHeight="true" outlineLevel="0" collapsed="false">
      <c r="A1808" s="1" t="n">
        <v>2</v>
      </c>
      <c r="B1808" s="10" t="n">
        <v>45651</v>
      </c>
      <c r="C1808" s="11" t="s">
        <v>1826</v>
      </c>
      <c r="D1808" s="1" t="s">
        <v>9</v>
      </c>
      <c r="E1808" s="1" t="s">
        <v>20</v>
      </c>
      <c r="F1808" s="1" t="str">
        <f aca="false">TEXT(B1808,"mmm-yyyy")</f>
        <v>Dec-2024</v>
      </c>
    </row>
    <row r="1809" customFormat="false" ht="43.5" hidden="false" customHeight="true" outlineLevel="0" collapsed="false">
      <c r="A1809" s="1" t="n">
        <v>1</v>
      </c>
      <c r="B1809" s="10" t="n">
        <v>45655</v>
      </c>
      <c r="C1809" s="11" t="s">
        <v>1827</v>
      </c>
      <c r="D1809" s="1" t="s">
        <v>9</v>
      </c>
      <c r="E1809" s="1" t="s">
        <v>18</v>
      </c>
      <c r="F1809" s="1" t="str">
        <f aca="false">TEXT(B1809,"mmm-yyyy")</f>
        <v>Dec-2024</v>
      </c>
    </row>
    <row r="1810" customFormat="false" ht="87" hidden="false" customHeight="true" outlineLevel="0" collapsed="false">
      <c r="A1810" s="1" t="n">
        <v>1</v>
      </c>
      <c r="B1810" s="10" t="n">
        <v>45510</v>
      </c>
      <c r="C1810" s="11" t="s">
        <v>1828</v>
      </c>
      <c r="D1810" s="1" t="s">
        <v>9</v>
      </c>
      <c r="E1810" s="1" t="s">
        <v>20</v>
      </c>
      <c r="F1810" s="1" t="str">
        <f aca="false">TEXT(B1810,"mmm-yyyy")</f>
        <v>Aug-2024</v>
      </c>
    </row>
    <row r="1811" customFormat="false" ht="101.25" hidden="false" customHeight="true" outlineLevel="0" collapsed="false">
      <c r="A1811" s="1" t="n">
        <v>1</v>
      </c>
      <c r="B1811" s="10" t="n">
        <v>45532</v>
      </c>
      <c r="C1811" s="11" t="s">
        <v>1829</v>
      </c>
      <c r="D1811" s="1" t="s">
        <v>9</v>
      </c>
      <c r="E1811" s="1" t="s">
        <v>32</v>
      </c>
      <c r="F1811" s="1" t="str">
        <f aca="false">TEXT(B1811,"mmm-yyyy")</f>
        <v>Aug-2024</v>
      </c>
    </row>
    <row r="1812" customFormat="false" ht="115.5" hidden="false" customHeight="true" outlineLevel="0" collapsed="false">
      <c r="A1812" s="1" t="n">
        <v>4</v>
      </c>
      <c r="B1812" s="10" t="n">
        <v>45507</v>
      </c>
      <c r="C1812" s="11" t="s">
        <v>1830</v>
      </c>
      <c r="D1812" s="1" t="s">
        <v>9</v>
      </c>
      <c r="E1812" s="1" t="s">
        <v>18</v>
      </c>
      <c r="F1812" s="1" t="str">
        <f aca="false">TEXT(B1812,"mmm-yyyy")</f>
        <v>Aug-2024</v>
      </c>
    </row>
    <row r="1813" customFormat="false" ht="101.25" hidden="false" customHeight="true" outlineLevel="0" collapsed="false">
      <c r="A1813" s="1" t="n">
        <v>1</v>
      </c>
      <c r="B1813" s="10" t="n">
        <v>45503</v>
      </c>
      <c r="C1813" s="11" t="s">
        <v>1831</v>
      </c>
      <c r="D1813" s="1" t="s">
        <v>9</v>
      </c>
      <c r="E1813" s="1" t="s">
        <v>20</v>
      </c>
      <c r="F1813" s="1" t="str">
        <f aca="false">TEXT(B1813,"mmm-yyyy")</f>
        <v>Jul-2024</v>
      </c>
    </row>
    <row r="1814" customFormat="false" ht="101.25" hidden="false" customHeight="true" outlineLevel="0" collapsed="false">
      <c r="A1814" s="1" t="n">
        <v>2</v>
      </c>
      <c r="B1814" s="10" t="n">
        <v>45495</v>
      </c>
      <c r="C1814" s="11" t="s">
        <v>1832</v>
      </c>
      <c r="D1814" s="1" t="s">
        <v>9</v>
      </c>
      <c r="E1814" s="1" t="s">
        <v>18</v>
      </c>
      <c r="F1814" s="1" t="str">
        <f aca="false">TEXT(B1814,"mmm-yyyy")</f>
        <v>Jul-2024</v>
      </c>
    </row>
    <row r="1815" customFormat="false" ht="87" hidden="false" customHeight="true" outlineLevel="0" collapsed="false">
      <c r="A1815" s="1" t="n">
        <v>1</v>
      </c>
      <c r="B1815" s="10" t="n">
        <v>45543</v>
      </c>
      <c r="C1815" s="11" t="s">
        <v>1833</v>
      </c>
      <c r="D1815" s="1" t="s">
        <v>9</v>
      </c>
      <c r="E1815" s="1" t="s">
        <v>20</v>
      </c>
      <c r="F1815" s="1" t="str">
        <f aca="false">TEXT(B1815,"mmm-yyyy")</f>
        <v>Sep-2024</v>
      </c>
    </row>
    <row r="1816" customFormat="false" ht="72" hidden="false" customHeight="true" outlineLevel="0" collapsed="false">
      <c r="A1816" s="1" t="n">
        <v>1</v>
      </c>
      <c r="B1816" s="10" t="n">
        <v>45518</v>
      </c>
      <c r="C1816" s="11" t="s">
        <v>1834</v>
      </c>
      <c r="D1816" s="1" t="s">
        <v>9</v>
      </c>
      <c r="E1816" s="1" t="s">
        <v>20</v>
      </c>
      <c r="F1816" s="1" t="str">
        <f aca="false">TEXT(B1816,"mmm-yyyy")</f>
        <v>Aug-2024</v>
      </c>
    </row>
    <row r="1817" customFormat="false" ht="87" hidden="false" customHeight="true" outlineLevel="0" collapsed="false">
      <c r="A1817" s="1" t="n">
        <v>1</v>
      </c>
      <c r="B1817" s="10" t="n">
        <v>45543</v>
      </c>
      <c r="C1817" s="11" t="s">
        <v>1835</v>
      </c>
      <c r="D1817" s="1" t="s">
        <v>9</v>
      </c>
      <c r="E1817" s="1" t="s">
        <v>20</v>
      </c>
      <c r="F1817" s="1" t="str">
        <f aca="false">TEXT(B1817,"mmm-yyyy")</f>
        <v>Sep-2024</v>
      </c>
    </row>
    <row r="1818" customFormat="false" ht="72" hidden="false" customHeight="true" outlineLevel="0" collapsed="false">
      <c r="A1818" s="1" t="n">
        <v>1</v>
      </c>
      <c r="B1818" s="10" t="n">
        <v>45547</v>
      </c>
      <c r="C1818" s="11" t="s">
        <v>1836</v>
      </c>
      <c r="D1818" s="1" t="s">
        <v>9</v>
      </c>
      <c r="E1818" s="1" t="s">
        <v>20</v>
      </c>
      <c r="F1818" s="1" t="str">
        <f aca="false">TEXT(B1818,"mmm-yyyy")</f>
        <v>Sep-2024</v>
      </c>
    </row>
    <row r="1819" customFormat="false" ht="130.5" hidden="false" customHeight="true" outlineLevel="0" collapsed="false">
      <c r="A1819" s="1" t="n">
        <v>1</v>
      </c>
      <c r="B1819" s="10" t="n">
        <v>45537</v>
      </c>
      <c r="C1819" s="11" t="s">
        <v>1837</v>
      </c>
      <c r="D1819" s="1" t="s">
        <v>9</v>
      </c>
      <c r="E1819" s="1" t="s">
        <v>20</v>
      </c>
      <c r="F1819" s="1" t="str">
        <f aca="false">TEXT(B1819,"mmm-yyyy")</f>
        <v>Sep-2024</v>
      </c>
    </row>
    <row r="1820" customFormat="false" ht="87" hidden="false" customHeight="true" outlineLevel="0" collapsed="false">
      <c r="A1820" s="1" t="n">
        <v>2</v>
      </c>
      <c r="B1820" s="10" t="n">
        <v>45515</v>
      </c>
      <c r="C1820" s="11" t="s">
        <v>1838</v>
      </c>
      <c r="D1820" s="1" t="s">
        <v>9</v>
      </c>
      <c r="E1820" s="1" t="s">
        <v>32</v>
      </c>
      <c r="F1820" s="1" t="str">
        <f aca="false">TEXT(B1820,"mmm-yyyy")</f>
        <v>Aug-2024</v>
      </c>
    </row>
    <row r="1821" customFormat="false" ht="130.5" hidden="false" customHeight="true" outlineLevel="0" collapsed="false">
      <c r="A1821" s="1" t="n">
        <v>1</v>
      </c>
      <c r="B1821" s="10" t="n">
        <v>45550</v>
      </c>
      <c r="C1821" s="11" t="s">
        <v>1839</v>
      </c>
      <c r="D1821" s="1" t="s">
        <v>9</v>
      </c>
      <c r="E1821" s="1" t="s">
        <v>20</v>
      </c>
      <c r="F1821" s="1" t="str">
        <f aca="false">TEXT(B1821,"mmm-yyyy")</f>
        <v>Sep-2024</v>
      </c>
    </row>
    <row r="1822" customFormat="false" ht="144.75" hidden="false" customHeight="true" outlineLevel="0" collapsed="false">
      <c r="A1822" s="1" t="n">
        <v>1</v>
      </c>
      <c r="B1822" s="10" t="n">
        <v>45539</v>
      </c>
      <c r="C1822" s="11" t="s">
        <v>1840</v>
      </c>
      <c r="D1822" s="1" t="s">
        <v>9</v>
      </c>
      <c r="E1822" s="1" t="s">
        <v>18</v>
      </c>
      <c r="F1822" s="1" t="str">
        <f aca="false">TEXT(B1822,"mmm-yyyy")</f>
        <v>Sep-2024</v>
      </c>
    </row>
    <row r="1823" customFormat="false" ht="115.5" hidden="false" customHeight="true" outlineLevel="0" collapsed="false">
      <c r="A1823" s="1" t="n">
        <v>1</v>
      </c>
      <c r="B1823" s="10" t="n">
        <v>45523</v>
      </c>
      <c r="C1823" s="11" t="s">
        <v>1841</v>
      </c>
      <c r="D1823" s="1" t="s">
        <v>9</v>
      </c>
      <c r="E1823" s="1" t="s">
        <v>20</v>
      </c>
      <c r="F1823" s="1" t="str">
        <f aca="false">TEXT(B1823,"mmm-yyyy")</f>
        <v>Aug-2024</v>
      </c>
    </row>
    <row r="1824" customFormat="false" ht="130.5" hidden="false" customHeight="true" outlineLevel="0" collapsed="false">
      <c r="A1824" s="1" t="n">
        <v>1</v>
      </c>
      <c r="B1824" s="10" t="n">
        <v>45502</v>
      </c>
      <c r="C1824" s="11" t="s">
        <v>1842</v>
      </c>
      <c r="D1824" s="1" t="s">
        <v>9</v>
      </c>
      <c r="E1824" s="1" t="s">
        <v>20</v>
      </c>
      <c r="F1824" s="1" t="str">
        <f aca="false">TEXT(B1824,"mmm-yyyy")</f>
        <v>Jul-2024</v>
      </c>
    </row>
    <row r="1825" customFormat="false" ht="87" hidden="false" customHeight="true" outlineLevel="0" collapsed="false">
      <c r="A1825" s="1" t="n">
        <v>1</v>
      </c>
      <c r="B1825" s="10" t="n">
        <v>45563</v>
      </c>
      <c r="C1825" s="11" t="s">
        <v>1843</v>
      </c>
      <c r="D1825" s="1" t="s">
        <v>9</v>
      </c>
      <c r="E1825" s="1" t="s">
        <v>20</v>
      </c>
      <c r="F1825" s="1" t="str">
        <f aca="false">TEXT(B1825,"mmm-yyyy")</f>
        <v>Sep-2024</v>
      </c>
    </row>
    <row r="1826" customFormat="false" ht="72" hidden="false" customHeight="true" outlineLevel="0" collapsed="false">
      <c r="A1826" s="1" t="n">
        <v>1</v>
      </c>
      <c r="B1826" s="10" t="n">
        <v>45507</v>
      </c>
      <c r="C1826" s="11" t="s">
        <v>1844</v>
      </c>
      <c r="D1826" s="1" t="s">
        <v>9</v>
      </c>
      <c r="E1826" s="1" t="s">
        <v>18</v>
      </c>
      <c r="F1826" s="1" t="str">
        <f aca="false">TEXT(B1826,"mmm-yyyy")</f>
        <v>Aug-2024</v>
      </c>
    </row>
    <row r="1827" customFormat="false" ht="115.5" hidden="false" customHeight="true" outlineLevel="0" collapsed="false">
      <c r="A1827" s="1" t="n">
        <v>4</v>
      </c>
      <c r="B1827" s="10" t="n">
        <v>45517</v>
      </c>
      <c r="C1827" s="11" t="s">
        <v>1845</v>
      </c>
      <c r="D1827" s="1" t="s">
        <v>9</v>
      </c>
      <c r="E1827" s="1" t="s">
        <v>20</v>
      </c>
      <c r="F1827" s="1" t="str">
        <f aca="false">TEXT(B1827,"mmm-yyyy")</f>
        <v>Aug-2024</v>
      </c>
    </row>
    <row r="1828" customFormat="false" ht="115.5" hidden="false" customHeight="true" outlineLevel="0" collapsed="false">
      <c r="A1828" s="1" t="n">
        <v>1</v>
      </c>
      <c r="B1828" s="10" t="n">
        <v>45513</v>
      </c>
      <c r="C1828" s="11" t="s">
        <v>1846</v>
      </c>
      <c r="D1828" s="1" t="s">
        <v>9</v>
      </c>
      <c r="E1828" s="1" t="s">
        <v>20</v>
      </c>
      <c r="F1828" s="1" t="str">
        <f aca="false">TEXT(B1828,"mmm-yyyy")</f>
        <v>Aug-2024</v>
      </c>
    </row>
    <row r="1829" customFormat="false" ht="87" hidden="false" customHeight="true" outlineLevel="0" collapsed="false">
      <c r="A1829" s="1" t="n">
        <v>1</v>
      </c>
      <c r="B1829" s="10" t="n">
        <v>45520</v>
      </c>
      <c r="C1829" s="11" t="s">
        <v>1847</v>
      </c>
      <c r="D1829" s="1" t="s">
        <v>9</v>
      </c>
      <c r="E1829" s="1" t="s">
        <v>20</v>
      </c>
      <c r="F1829" s="1" t="str">
        <f aca="false">TEXT(B1829,"mmm-yyyy")</f>
        <v>Aug-2024</v>
      </c>
    </row>
    <row r="1830" customFormat="false" ht="115.5" hidden="false" customHeight="true" outlineLevel="0" collapsed="false">
      <c r="A1830" s="1" t="n">
        <v>1</v>
      </c>
      <c r="B1830" s="10" t="n">
        <v>45529</v>
      </c>
      <c r="C1830" s="11" t="s">
        <v>1848</v>
      </c>
      <c r="D1830" s="1" t="s">
        <v>9</v>
      </c>
      <c r="E1830" s="1" t="s">
        <v>20</v>
      </c>
      <c r="F1830" s="1" t="str">
        <f aca="false">TEXT(B1830,"mmm-yyyy")</f>
        <v>Aug-2024</v>
      </c>
    </row>
    <row r="1831" customFormat="false" ht="101.25" hidden="false" customHeight="true" outlineLevel="0" collapsed="false">
      <c r="A1831" s="1" t="n">
        <v>2</v>
      </c>
      <c r="B1831" s="10" t="n">
        <v>45538</v>
      </c>
      <c r="C1831" s="11" t="s">
        <v>1849</v>
      </c>
      <c r="D1831" s="1" t="s">
        <v>9</v>
      </c>
      <c r="E1831" s="1" t="s">
        <v>18</v>
      </c>
      <c r="F1831" s="1" t="str">
        <f aca="false">TEXT(B1831,"mmm-yyyy")</f>
        <v>Sep-2024</v>
      </c>
    </row>
    <row r="1832" customFormat="false" ht="72" hidden="false" customHeight="true" outlineLevel="0" collapsed="false">
      <c r="A1832" s="1" t="n">
        <v>1</v>
      </c>
      <c r="B1832" s="10" t="n">
        <v>45545</v>
      </c>
      <c r="C1832" s="11" t="s">
        <v>1850</v>
      </c>
      <c r="D1832" s="1" t="s">
        <v>9</v>
      </c>
      <c r="E1832" s="1" t="s">
        <v>20</v>
      </c>
      <c r="F1832" s="1" t="str">
        <f aca="false">TEXT(B1832,"mmm-yyyy")</f>
        <v>Sep-2024</v>
      </c>
    </row>
    <row r="1833" customFormat="false" ht="72" hidden="false" customHeight="true" outlineLevel="0" collapsed="false">
      <c r="A1833" s="1" t="n">
        <v>1</v>
      </c>
      <c r="B1833" s="10" t="n">
        <v>45560</v>
      </c>
      <c r="C1833" s="11" t="s">
        <v>1851</v>
      </c>
      <c r="D1833" s="1" t="s">
        <v>9</v>
      </c>
      <c r="E1833" s="1" t="s">
        <v>20</v>
      </c>
      <c r="F1833" s="1" t="str">
        <f aca="false">TEXT(B1833,"mmm-yyyy")</f>
        <v>Sep-2024</v>
      </c>
    </row>
    <row r="1834" customFormat="false" ht="115.5" hidden="false" customHeight="true" outlineLevel="0" collapsed="false">
      <c r="A1834" s="1" t="n">
        <v>1</v>
      </c>
      <c r="B1834" s="10" t="n">
        <v>45541</v>
      </c>
      <c r="C1834" s="11" t="s">
        <v>1852</v>
      </c>
      <c r="D1834" s="1" t="s">
        <v>9</v>
      </c>
      <c r="E1834" s="1" t="s">
        <v>20</v>
      </c>
      <c r="F1834" s="1" t="str">
        <f aca="false">TEXT(B1834,"mmm-yyyy")</f>
        <v>Sep-2024</v>
      </c>
    </row>
    <row r="1835" customFormat="false" ht="130.5" hidden="false" customHeight="true" outlineLevel="0" collapsed="false">
      <c r="A1835" s="1" t="n">
        <v>1</v>
      </c>
      <c r="B1835" s="10" t="n">
        <v>45522</v>
      </c>
      <c r="C1835" s="11" t="s">
        <v>1853</v>
      </c>
      <c r="D1835" s="1" t="s">
        <v>9</v>
      </c>
      <c r="E1835" s="1" t="s">
        <v>18</v>
      </c>
      <c r="F1835" s="1" t="str">
        <f aca="false">TEXT(B1835,"mmm-yyyy")</f>
        <v>Aug-2024</v>
      </c>
    </row>
    <row r="1836" customFormat="false" ht="115.5" hidden="false" customHeight="true" outlineLevel="0" collapsed="false">
      <c r="A1836" s="1" t="n">
        <v>1</v>
      </c>
      <c r="B1836" s="10" t="n">
        <v>45527</v>
      </c>
      <c r="C1836" s="11" t="s">
        <v>1854</v>
      </c>
      <c r="D1836" s="1" t="s">
        <v>9</v>
      </c>
      <c r="E1836" s="1" t="s">
        <v>20</v>
      </c>
      <c r="F1836" s="1" t="str">
        <f aca="false">TEXT(B1836,"mmm-yyyy")</f>
        <v>Aug-2024</v>
      </c>
    </row>
    <row r="1837" customFormat="false" ht="87" hidden="false" customHeight="true" outlineLevel="0" collapsed="false">
      <c r="A1837" s="1" t="n">
        <v>1</v>
      </c>
      <c r="B1837" s="10" t="n">
        <v>45507</v>
      </c>
      <c r="C1837" s="11" t="s">
        <v>1855</v>
      </c>
      <c r="D1837" s="1" t="s">
        <v>9</v>
      </c>
      <c r="E1837" s="1" t="s">
        <v>32</v>
      </c>
      <c r="F1837" s="1" t="str">
        <f aca="false">TEXT(B1837,"mmm-yyyy")</f>
        <v>Aug-2024</v>
      </c>
    </row>
    <row r="1838" customFormat="false" ht="72" hidden="false" customHeight="true" outlineLevel="0" collapsed="false">
      <c r="A1838" s="1" t="n">
        <v>2</v>
      </c>
      <c r="B1838" s="10" t="n">
        <v>45528</v>
      </c>
      <c r="C1838" s="11" t="s">
        <v>1856</v>
      </c>
      <c r="D1838" s="1" t="s">
        <v>9</v>
      </c>
      <c r="E1838" s="1" t="s">
        <v>20</v>
      </c>
      <c r="F1838" s="1" t="str">
        <f aca="false">TEXT(B1838,"mmm-yyyy")</f>
        <v>Aug-2024</v>
      </c>
    </row>
    <row r="1839" customFormat="false" ht="130.5" hidden="false" customHeight="true" outlineLevel="0" collapsed="false">
      <c r="A1839" s="1" t="n">
        <v>1</v>
      </c>
      <c r="B1839" s="10" t="n">
        <v>45502</v>
      </c>
      <c r="C1839" s="11" t="s">
        <v>1857</v>
      </c>
      <c r="D1839" s="1" t="s">
        <v>9</v>
      </c>
      <c r="E1839" s="1" t="s">
        <v>20</v>
      </c>
      <c r="F1839" s="1" t="str">
        <f aca="false">TEXT(B1839,"mmm-yyyy")</f>
        <v>Jul-2024</v>
      </c>
    </row>
    <row r="1840" customFormat="false" ht="72" hidden="false" customHeight="true" outlineLevel="0" collapsed="false">
      <c r="A1840" s="1" t="n">
        <v>1</v>
      </c>
      <c r="B1840" s="10" t="n">
        <v>45545</v>
      </c>
      <c r="C1840" s="11" t="s">
        <v>1858</v>
      </c>
      <c r="D1840" s="1" t="s">
        <v>9</v>
      </c>
      <c r="E1840" s="1" t="s">
        <v>20</v>
      </c>
      <c r="F1840" s="1" t="str">
        <f aca="false">TEXT(B1840,"mmm-yyyy")</f>
        <v>Sep-2024</v>
      </c>
    </row>
    <row r="1841" customFormat="false" ht="87" hidden="false" customHeight="true" outlineLevel="0" collapsed="false">
      <c r="A1841" s="1" t="n">
        <v>1</v>
      </c>
      <c r="B1841" s="10" t="n">
        <v>45504</v>
      </c>
      <c r="C1841" s="11" t="s">
        <v>1859</v>
      </c>
      <c r="D1841" s="1" t="s">
        <v>9</v>
      </c>
      <c r="E1841" s="1" t="s">
        <v>20</v>
      </c>
      <c r="F1841" s="1" t="str">
        <f aca="false">TEXT(B1841,"mmm-yyyy")</f>
        <v>Jul-2024</v>
      </c>
    </row>
    <row r="1842" customFormat="false" ht="130.5" hidden="false" customHeight="true" outlineLevel="0" collapsed="false">
      <c r="A1842" s="1" t="n">
        <v>1</v>
      </c>
      <c r="B1842" s="10" t="n">
        <v>45506</v>
      </c>
      <c r="C1842" s="11" t="s">
        <v>1860</v>
      </c>
      <c r="D1842" s="1" t="s">
        <v>9</v>
      </c>
      <c r="E1842" s="1" t="s">
        <v>20</v>
      </c>
      <c r="F1842" s="1" t="str">
        <f aca="false">TEXT(B1842,"mmm-yyyy")</f>
        <v>Aug-2024</v>
      </c>
    </row>
    <row r="1843" customFormat="false" ht="72" hidden="false" customHeight="true" outlineLevel="0" collapsed="false">
      <c r="A1843" s="1" t="n">
        <v>1</v>
      </c>
      <c r="B1843" s="10" t="n">
        <v>45510</v>
      </c>
      <c r="C1843" s="11" t="s">
        <v>1861</v>
      </c>
      <c r="D1843" s="1" t="s">
        <v>9</v>
      </c>
      <c r="E1843" s="1" t="s">
        <v>20</v>
      </c>
      <c r="F1843" s="1" t="str">
        <f aca="false">TEXT(B1843,"mmm-yyyy")</f>
        <v>Aug-2024</v>
      </c>
    </row>
    <row r="1844" customFormat="false" ht="130.5" hidden="false" customHeight="true" outlineLevel="0" collapsed="false">
      <c r="A1844" s="1" t="n">
        <v>1</v>
      </c>
      <c r="B1844" s="10" t="n">
        <v>45528</v>
      </c>
      <c r="C1844" s="11" t="s">
        <v>1862</v>
      </c>
      <c r="D1844" s="1" t="s">
        <v>9</v>
      </c>
      <c r="E1844" s="1" t="s">
        <v>18</v>
      </c>
      <c r="F1844" s="1" t="str">
        <f aca="false">TEXT(B1844,"mmm-yyyy")</f>
        <v>Aug-2024</v>
      </c>
    </row>
    <row r="1845" customFormat="false" ht="57.75" hidden="false" customHeight="true" outlineLevel="0" collapsed="false">
      <c r="A1845" s="1" t="n">
        <v>1</v>
      </c>
      <c r="B1845" s="10" t="n">
        <v>45644</v>
      </c>
      <c r="C1845" s="11" t="s">
        <v>1863</v>
      </c>
      <c r="D1845" s="1" t="s">
        <v>9</v>
      </c>
      <c r="E1845" s="1" t="s">
        <v>20</v>
      </c>
      <c r="F1845" s="1" t="str">
        <f aca="false">TEXT(B1845,"mmm-yyyy")</f>
        <v>Dec-2024</v>
      </c>
    </row>
    <row r="1846" customFormat="false" ht="72" hidden="false" customHeight="true" outlineLevel="0" collapsed="false">
      <c r="A1846" s="1" t="n">
        <v>1</v>
      </c>
      <c r="B1846" s="10" t="n">
        <v>45537</v>
      </c>
      <c r="C1846" s="11" t="s">
        <v>1864</v>
      </c>
      <c r="D1846" s="1" t="s">
        <v>9</v>
      </c>
      <c r="E1846" s="1" t="s">
        <v>20</v>
      </c>
      <c r="F1846" s="1" t="str">
        <f aca="false">TEXT(B1846,"mmm-yyyy")</f>
        <v>Sep-2024</v>
      </c>
    </row>
    <row r="1847" customFormat="false" ht="57.75" hidden="false" customHeight="true" outlineLevel="0" collapsed="false">
      <c r="A1847" s="1" t="n">
        <v>1</v>
      </c>
      <c r="B1847" s="10" t="n">
        <v>45532</v>
      </c>
      <c r="C1847" s="11" t="s">
        <v>1865</v>
      </c>
      <c r="D1847" s="1" t="s">
        <v>9</v>
      </c>
      <c r="E1847" s="1" t="s">
        <v>20</v>
      </c>
      <c r="F1847" s="1" t="str">
        <f aca="false">TEXT(B1847,"mmm-yyyy")</f>
        <v>Aug-2024</v>
      </c>
    </row>
    <row r="1848" customFormat="false" ht="130.5" hidden="false" customHeight="true" outlineLevel="0" collapsed="false">
      <c r="A1848" s="1" t="n">
        <v>1</v>
      </c>
      <c r="B1848" s="10" t="n">
        <v>45513</v>
      </c>
      <c r="C1848" s="11" t="s">
        <v>1866</v>
      </c>
      <c r="D1848" s="1" t="s">
        <v>9</v>
      </c>
      <c r="E1848" s="1" t="s">
        <v>20</v>
      </c>
      <c r="F1848" s="1" t="str">
        <f aca="false">TEXT(B1848,"mmm-yyyy")</f>
        <v>Aug-2024</v>
      </c>
    </row>
    <row r="1849" customFormat="false" ht="57.75" hidden="false" customHeight="true" outlineLevel="0" collapsed="false">
      <c r="A1849" s="1" t="n">
        <v>1</v>
      </c>
      <c r="B1849" s="10" t="n">
        <v>45515</v>
      </c>
      <c r="C1849" s="11" t="s">
        <v>1867</v>
      </c>
      <c r="D1849" s="1" t="s">
        <v>9</v>
      </c>
      <c r="E1849" s="1" t="s">
        <v>20</v>
      </c>
      <c r="F1849" s="1" t="str">
        <f aca="false">TEXT(B1849,"mmm-yyyy")</f>
        <v>Aug-2024</v>
      </c>
    </row>
    <row r="1850" customFormat="false" ht="72" hidden="false" customHeight="true" outlineLevel="0" collapsed="false">
      <c r="A1850" s="1" t="n">
        <v>2</v>
      </c>
      <c r="B1850" s="10" t="n">
        <v>45542</v>
      </c>
      <c r="C1850" s="11" t="s">
        <v>1868</v>
      </c>
      <c r="D1850" s="1" t="s">
        <v>9</v>
      </c>
      <c r="E1850" s="1" t="s">
        <v>18</v>
      </c>
      <c r="F1850" s="1" t="str">
        <f aca="false">TEXT(B1850,"mmm-yyyy")</f>
        <v>Sep-2024</v>
      </c>
    </row>
    <row r="1851" customFormat="false" ht="72" hidden="false" customHeight="true" outlineLevel="0" collapsed="false">
      <c r="A1851" s="1" t="n">
        <v>1</v>
      </c>
      <c r="B1851" s="10" t="n">
        <v>45515</v>
      </c>
      <c r="C1851" s="11" t="s">
        <v>1869</v>
      </c>
      <c r="D1851" s="1" t="s">
        <v>9</v>
      </c>
      <c r="E1851" s="1" t="s">
        <v>20</v>
      </c>
      <c r="F1851" s="1" t="str">
        <f aca="false">TEXT(B1851,"mmm-yyyy")</f>
        <v>Aug-2024</v>
      </c>
    </row>
    <row r="1852" customFormat="false" ht="72" hidden="false" customHeight="true" outlineLevel="0" collapsed="false">
      <c r="A1852" s="1" t="n">
        <v>1</v>
      </c>
      <c r="B1852" s="10" t="n">
        <v>45515</v>
      </c>
      <c r="C1852" s="11" t="s">
        <v>1870</v>
      </c>
      <c r="D1852" s="1" t="s">
        <v>9</v>
      </c>
      <c r="E1852" s="1" t="s">
        <v>20</v>
      </c>
      <c r="F1852" s="1" t="str">
        <f aca="false">TEXT(B1852,"mmm-yyyy")</f>
        <v>Aug-2024</v>
      </c>
    </row>
    <row r="1853" customFormat="false" ht="101.25" hidden="false" customHeight="true" outlineLevel="0" collapsed="false">
      <c r="A1853" s="1" t="n">
        <v>1</v>
      </c>
      <c r="B1853" s="10" t="n">
        <v>45539</v>
      </c>
      <c r="C1853" s="11" t="s">
        <v>1871</v>
      </c>
      <c r="D1853" s="1" t="s">
        <v>9</v>
      </c>
      <c r="E1853" s="1" t="s">
        <v>20</v>
      </c>
      <c r="F1853" s="1" t="str">
        <f aca="false">TEXT(B1853,"mmm-yyyy")</f>
        <v>Sep-2024</v>
      </c>
    </row>
    <row r="1854" customFormat="false" ht="144.75" hidden="false" customHeight="true" outlineLevel="0" collapsed="false">
      <c r="A1854" s="1" t="n">
        <v>1</v>
      </c>
      <c r="B1854" s="10" t="n">
        <v>45567</v>
      </c>
      <c r="C1854" s="11" t="s">
        <v>1872</v>
      </c>
      <c r="D1854" s="1" t="s">
        <v>9</v>
      </c>
      <c r="E1854" s="1" t="s">
        <v>20</v>
      </c>
      <c r="F1854" s="1" t="str">
        <f aca="false">TEXT(B1854,"mmm-yyyy")</f>
        <v>Oct-2024</v>
      </c>
    </row>
    <row r="1855" customFormat="false" ht="72" hidden="false" customHeight="true" outlineLevel="0" collapsed="false">
      <c r="A1855" s="1" t="n">
        <v>1</v>
      </c>
      <c r="B1855" s="10" t="n">
        <v>45557</v>
      </c>
      <c r="C1855" s="11" t="s">
        <v>1873</v>
      </c>
      <c r="D1855" s="1" t="s">
        <v>9</v>
      </c>
      <c r="E1855" s="1" t="s">
        <v>20</v>
      </c>
      <c r="F1855" s="1" t="str">
        <f aca="false">TEXT(B1855,"mmm-yyyy")</f>
        <v>Sep-2024</v>
      </c>
    </row>
    <row r="1856" customFormat="false" ht="144.75" hidden="false" customHeight="true" outlineLevel="0" collapsed="false">
      <c r="A1856" s="1" t="n">
        <v>1</v>
      </c>
      <c r="B1856" s="10" t="n">
        <v>45532</v>
      </c>
      <c r="C1856" s="11" t="s">
        <v>1874</v>
      </c>
      <c r="D1856" s="1" t="s">
        <v>9</v>
      </c>
      <c r="E1856" s="1" t="s">
        <v>20</v>
      </c>
      <c r="F1856" s="1" t="str">
        <f aca="false">TEXT(B1856,"mmm-yyyy")</f>
        <v>Aug-2024</v>
      </c>
    </row>
    <row r="1857" customFormat="false" ht="101.25" hidden="false" customHeight="true" outlineLevel="0" collapsed="false">
      <c r="A1857" s="1" t="n">
        <v>1</v>
      </c>
      <c r="B1857" s="10" t="n">
        <v>45517</v>
      </c>
      <c r="C1857" s="11" t="s">
        <v>1875</v>
      </c>
      <c r="D1857" s="1" t="s">
        <v>9</v>
      </c>
      <c r="E1857" s="1" t="s">
        <v>20</v>
      </c>
      <c r="F1857" s="1" t="str">
        <f aca="false">TEXT(B1857,"mmm-yyyy")</f>
        <v>Aug-2024</v>
      </c>
    </row>
    <row r="1858" customFormat="false" ht="87" hidden="false" customHeight="true" outlineLevel="0" collapsed="false">
      <c r="A1858" s="1" t="n">
        <v>1</v>
      </c>
      <c r="B1858" s="10" t="n">
        <v>45564</v>
      </c>
      <c r="C1858" s="11" t="s">
        <v>1876</v>
      </c>
      <c r="D1858" s="1" t="s">
        <v>9</v>
      </c>
      <c r="E1858" s="1" t="s">
        <v>20</v>
      </c>
      <c r="F1858" s="1" t="str">
        <f aca="false">TEXT(B1858,"mmm-yyyy")</f>
        <v>Sep-2024</v>
      </c>
    </row>
    <row r="1859" customFormat="false" ht="57.75" hidden="false" customHeight="true" outlineLevel="0" collapsed="false">
      <c r="A1859" s="1" t="n">
        <v>2</v>
      </c>
      <c r="B1859" s="10" t="n">
        <v>45563</v>
      </c>
      <c r="C1859" s="11" t="s">
        <v>1877</v>
      </c>
      <c r="D1859" s="1" t="s">
        <v>9</v>
      </c>
      <c r="E1859" s="1" t="s">
        <v>20</v>
      </c>
      <c r="F1859" s="1" t="str">
        <f aca="false">TEXT(B1859,"mmm-yyyy")</f>
        <v>Sep-2024</v>
      </c>
    </row>
    <row r="1860" customFormat="false" ht="72" hidden="false" customHeight="true" outlineLevel="0" collapsed="false">
      <c r="A1860" s="1" t="n">
        <v>1</v>
      </c>
      <c r="B1860" s="10" t="n">
        <v>45640</v>
      </c>
      <c r="C1860" s="11" t="s">
        <v>1878</v>
      </c>
      <c r="D1860" s="1" t="s">
        <v>9</v>
      </c>
      <c r="E1860" s="1" t="s">
        <v>18</v>
      </c>
      <c r="F1860" s="1" t="str">
        <f aca="false">TEXT(B1860,"mmm-yyyy")</f>
        <v>Dec-2024</v>
      </c>
    </row>
    <row r="1861" customFormat="false" ht="43.5" hidden="false" customHeight="true" outlineLevel="0" collapsed="false">
      <c r="A1861" s="1" t="n">
        <v>1</v>
      </c>
      <c r="B1861" s="10" t="n">
        <v>45646</v>
      </c>
      <c r="C1861" s="11" t="s">
        <v>1879</v>
      </c>
      <c r="D1861" s="1" t="s">
        <v>9</v>
      </c>
      <c r="E1861" s="1" t="s">
        <v>20</v>
      </c>
      <c r="F1861" s="1" t="str">
        <f aca="false">TEXT(B1861,"mmm-yyyy")</f>
        <v>Dec-2024</v>
      </c>
    </row>
    <row r="1862" customFormat="false" ht="43.5" hidden="false" customHeight="true" outlineLevel="0" collapsed="false">
      <c r="A1862" s="1" t="n">
        <v>5</v>
      </c>
      <c r="B1862" s="10" t="n">
        <v>45644</v>
      </c>
      <c r="C1862" s="11" t="s">
        <v>1880</v>
      </c>
      <c r="D1862" s="1" t="s">
        <v>9</v>
      </c>
      <c r="E1862" s="1" t="s">
        <v>18</v>
      </c>
      <c r="F1862" s="1" t="str">
        <f aca="false">TEXT(B1862,"mmm-yyyy")</f>
        <v>Dec-2024</v>
      </c>
    </row>
    <row r="1863" customFormat="false" ht="57.75" hidden="false" customHeight="true" outlineLevel="0" collapsed="false">
      <c r="A1863" s="1" t="n">
        <v>1</v>
      </c>
      <c r="B1863" s="10" t="n">
        <v>45655</v>
      </c>
      <c r="C1863" s="11" t="s">
        <v>1881</v>
      </c>
      <c r="D1863" s="1" t="s">
        <v>9</v>
      </c>
      <c r="E1863" s="1" t="s">
        <v>20</v>
      </c>
      <c r="F1863" s="1" t="str">
        <f aca="false">TEXT(B1863,"mmm-yyyy")</f>
        <v>Dec-2024</v>
      </c>
    </row>
    <row r="1864" customFormat="false" ht="101.25" hidden="false" customHeight="true" outlineLevel="0" collapsed="false">
      <c r="A1864" s="1" t="n">
        <v>1</v>
      </c>
      <c r="B1864" s="10" t="n">
        <v>45537</v>
      </c>
      <c r="C1864" s="11" t="s">
        <v>1882</v>
      </c>
      <c r="D1864" s="1" t="s">
        <v>9</v>
      </c>
      <c r="E1864" s="1" t="s">
        <v>20</v>
      </c>
      <c r="F1864" s="1" t="str">
        <f aca="false">TEXT(B1864,"mmm-yyyy")</f>
        <v>Sep-2024</v>
      </c>
    </row>
    <row r="1865" customFormat="false" ht="28.5" hidden="false" customHeight="true" outlineLevel="0" collapsed="false">
      <c r="A1865" s="1" t="n">
        <v>1</v>
      </c>
      <c r="B1865" s="10" t="n">
        <v>45656</v>
      </c>
      <c r="C1865" s="11" t="s">
        <v>1883</v>
      </c>
      <c r="D1865" s="1" t="s">
        <v>9</v>
      </c>
      <c r="E1865" s="1" t="s">
        <v>18</v>
      </c>
      <c r="F1865" s="1" t="str">
        <f aca="false">TEXT(B1865,"mmm-yyyy")</f>
        <v>Dec-2024</v>
      </c>
    </row>
    <row r="1866" customFormat="false" ht="43.5" hidden="false" customHeight="true" outlineLevel="0" collapsed="false">
      <c r="A1866" s="1" t="n">
        <v>1</v>
      </c>
      <c r="B1866" s="10" t="n">
        <v>45643</v>
      </c>
      <c r="C1866" s="11" t="s">
        <v>1884</v>
      </c>
      <c r="D1866" s="1" t="s">
        <v>9</v>
      </c>
      <c r="E1866" s="1" t="s">
        <v>20</v>
      </c>
      <c r="F1866" s="1" t="str">
        <f aca="false">TEXT(B1866,"mmm-yyyy")</f>
        <v>Dec-2024</v>
      </c>
    </row>
    <row r="1867" customFormat="false" ht="115.5" hidden="false" customHeight="true" outlineLevel="0" collapsed="false">
      <c r="A1867" s="1" t="n">
        <v>1</v>
      </c>
      <c r="B1867" s="10" t="n">
        <v>45528</v>
      </c>
      <c r="C1867" s="11" t="s">
        <v>1885</v>
      </c>
      <c r="D1867" s="1" t="s">
        <v>9</v>
      </c>
      <c r="E1867" s="1" t="s">
        <v>20</v>
      </c>
      <c r="F1867" s="1" t="str">
        <f aca="false">TEXT(B1867,"mmm-yyyy")</f>
        <v>Aug-2024</v>
      </c>
    </row>
    <row r="1868" customFormat="false" ht="101.25" hidden="false" customHeight="true" outlineLevel="0" collapsed="false">
      <c r="A1868" s="1" t="n">
        <v>1</v>
      </c>
      <c r="B1868" s="10" t="n">
        <v>45527</v>
      </c>
      <c r="C1868" s="11" t="s">
        <v>1886</v>
      </c>
      <c r="D1868" s="1" t="s">
        <v>9</v>
      </c>
      <c r="E1868" s="1" t="s">
        <v>20</v>
      </c>
      <c r="F1868" s="1" t="str">
        <f aca="false">TEXT(B1868,"mmm-yyyy")</f>
        <v>Aug-2024</v>
      </c>
    </row>
    <row r="1869" customFormat="false" ht="115.5" hidden="false" customHeight="true" outlineLevel="0" collapsed="false">
      <c r="A1869" s="1" t="n">
        <v>1</v>
      </c>
      <c r="B1869" s="10" t="n">
        <v>45585</v>
      </c>
      <c r="C1869" s="11" t="s">
        <v>1887</v>
      </c>
      <c r="D1869" s="1" t="s">
        <v>9</v>
      </c>
      <c r="E1869" s="1" t="s">
        <v>18</v>
      </c>
      <c r="F1869" s="1" t="str">
        <f aca="false">TEXT(B1869,"mmm-yyyy")</f>
        <v>Oct-2024</v>
      </c>
    </row>
    <row r="1870" customFormat="false" ht="144.75" hidden="false" customHeight="true" outlineLevel="0" collapsed="false">
      <c r="A1870" s="1" t="n">
        <v>2</v>
      </c>
      <c r="B1870" s="10" t="n">
        <v>45642</v>
      </c>
      <c r="C1870" s="11" t="s">
        <v>1888</v>
      </c>
      <c r="D1870" s="1" t="s">
        <v>9</v>
      </c>
      <c r="E1870" s="1" t="s">
        <v>18</v>
      </c>
      <c r="F1870" s="1" t="str">
        <f aca="false">TEXT(B1870,"mmm-yyyy")</f>
        <v>Dec-2024</v>
      </c>
    </row>
    <row r="1871" customFormat="false" ht="28.5" hidden="false" customHeight="true" outlineLevel="0" collapsed="false">
      <c r="A1871" s="1" t="n">
        <v>1</v>
      </c>
      <c r="B1871" s="10" t="n">
        <v>45642</v>
      </c>
      <c r="C1871" s="11" t="s">
        <v>1889</v>
      </c>
      <c r="D1871" s="1" t="s">
        <v>9</v>
      </c>
      <c r="E1871" s="1" t="s">
        <v>20</v>
      </c>
      <c r="F1871" s="1" t="str">
        <f aca="false">TEXT(B1871,"mmm-yyyy")</f>
        <v>Dec-2024</v>
      </c>
    </row>
    <row r="1872" customFormat="false" ht="43.5" hidden="false" customHeight="true" outlineLevel="0" collapsed="false">
      <c r="A1872" s="1" t="n">
        <v>1</v>
      </c>
      <c r="B1872" s="10" t="n">
        <v>45636</v>
      </c>
      <c r="C1872" s="11" t="s">
        <v>1890</v>
      </c>
      <c r="D1872" s="1" t="s">
        <v>9</v>
      </c>
      <c r="E1872" s="1" t="s">
        <v>32</v>
      </c>
      <c r="F1872" s="1" t="str">
        <f aca="false">TEXT(B1872,"mmm-yyyy")</f>
        <v>Dec-2024</v>
      </c>
    </row>
    <row r="1873" customFormat="false" ht="28.5" hidden="false" customHeight="true" outlineLevel="0" collapsed="false">
      <c r="A1873" s="1" t="n">
        <v>2</v>
      </c>
      <c r="B1873" s="10" t="n">
        <v>45650</v>
      </c>
      <c r="C1873" s="11" t="s">
        <v>1891</v>
      </c>
      <c r="D1873" s="1" t="s">
        <v>9</v>
      </c>
      <c r="E1873" s="1" t="s">
        <v>18</v>
      </c>
      <c r="F1873" s="1" t="str">
        <f aca="false">TEXT(B1873,"mmm-yyyy")</f>
        <v>Dec-2024</v>
      </c>
    </row>
    <row r="1874" customFormat="false" ht="43.5" hidden="false" customHeight="true" outlineLevel="0" collapsed="false">
      <c r="A1874" s="1" t="n">
        <v>3</v>
      </c>
      <c r="B1874" s="10" t="n">
        <v>45644</v>
      </c>
      <c r="C1874" s="11" t="s">
        <v>1892</v>
      </c>
      <c r="D1874" s="1" t="s">
        <v>9</v>
      </c>
      <c r="E1874" s="1" t="s">
        <v>18</v>
      </c>
      <c r="F1874" s="1" t="str">
        <f aca="false">TEXT(B1874,"mmm-yyyy")</f>
        <v>Dec-2024</v>
      </c>
    </row>
    <row r="1875" customFormat="false" ht="43.5" hidden="false" customHeight="true" outlineLevel="0" collapsed="false">
      <c r="A1875" s="1" t="n">
        <v>1</v>
      </c>
      <c r="B1875" s="10" t="n">
        <v>45655</v>
      </c>
      <c r="C1875" s="11" t="s">
        <v>1893</v>
      </c>
      <c r="D1875" s="1" t="s">
        <v>9</v>
      </c>
      <c r="E1875" s="1" t="s">
        <v>20</v>
      </c>
      <c r="F1875" s="1" t="str">
        <f aca="false">TEXT(B1875,"mmm-yyyy")</f>
        <v>Dec-2024</v>
      </c>
    </row>
    <row r="1876" customFormat="false" ht="43.5" hidden="false" customHeight="true" outlineLevel="0" collapsed="false">
      <c r="A1876" s="1" t="n">
        <v>1</v>
      </c>
      <c r="B1876" s="10" t="n">
        <v>45647</v>
      </c>
      <c r="C1876" s="11" t="s">
        <v>1894</v>
      </c>
      <c r="D1876" s="1" t="s">
        <v>9</v>
      </c>
      <c r="E1876" s="1" t="s">
        <v>20</v>
      </c>
      <c r="F1876" s="1" t="str">
        <f aca="false">TEXT(B1876,"mmm-yyyy")</f>
        <v>Dec-2024</v>
      </c>
    </row>
    <row r="1877" customFormat="false" ht="28.5" hidden="false" customHeight="true" outlineLevel="0" collapsed="false">
      <c r="A1877" s="1" t="n">
        <v>5</v>
      </c>
      <c r="B1877" s="10" t="n">
        <v>45654</v>
      </c>
      <c r="C1877" s="11" t="s">
        <v>1895</v>
      </c>
      <c r="D1877" s="1" t="s">
        <v>9</v>
      </c>
      <c r="E1877" s="1" t="s">
        <v>18</v>
      </c>
      <c r="F1877" s="1" t="str">
        <f aca="false">TEXT(B1877,"mmm-yyyy")</f>
        <v>Dec-2024</v>
      </c>
    </row>
    <row r="1878" customFormat="false" ht="43.5" hidden="false" customHeight="true" outlineLevel="0" collapsed="false">
      <c r="A1878" s="1" t="n">
        <v>1</v>
      </c>
      <c r="B1878" s="10" t="n">
        <v>45652</v>
      </c>
      <c r="C1878" s="11" t="s">
        <v>1896</v>
      </c>
      <c r="D1878" s="1" t="s">
        <v>9</v>
      </c>
      <c r="E1878" s="1" t="s">
        <v>18</v>
      </c>
      <c r="F1878" s="1" t="str">
        <f aca="false">TEXT(B1878,"mmm-yyyy")</f>
        <v>Dec-2024</v>
      </c>
    </row>
    <row r="1879" customFormat="false" ht="72" hidden="false" customHeight="true" outlineLevel="0" collapsed="false">
      <c r="A1879" s="1" t="n">
        <v>1</v>
      </c>
      <c r="B1879" s="10" t="n">
        <v>45556</v>
      </c>
      <c r="C1879" s="11" t="s">
        <v>1897</v>
      </c>
      <c r="D1879" s="1" t="s">
        <v>9</v>
      </c>
      <c r="E1879" s="1" t="s">
        <v>20</v>
      </c>
      <c r="F1879" s="1" t="str">
        <f aca="false">TEXT(B1879,"mmm-yyyy")</f>
        <v>Sep-2024</v>
      </c>
    </row>
    <row r="1880" customFormat="false" ht="43.5" hidden="false" customHeight="true" outlineLevel="0" collapsed="false">
      <c r="A1880" s="1" t="n">
        <v>1</v>
      </c>
      <c r="B1880" s="10" t="n">
        <v>45652</v>
      </c>
      <c r="C1880" s="11" t="s">
        <v>1898</v>
      </c>
      <c r="D1880" s="1" t="s">
        <v>9</v>
      </c>
      <c r="E1880" s="1" t="s">
        <v>20</v>
      </c>
      <c r="F1880" s="1" t="str">
        <f aca="false">TEXT(B1880,"mmm-yyyy")</f>
        <v>Dec-2024</v>
      </c>
    </row>
    <row r="1881" customFormat="false" ht="130.5" hidden="false" customHeight="true" outlineLevel="0" collapsed="false">
      <c r="A1881" s="1" t="n">
        <v>1</v>
      </c>
      <c r="B1881" s="10" t="n">
        <v>45582</v>
      </c>
      <c r="C1881" s="11" t="s">
        <v>1899</v>
      </c>
      <c r="D1881" s="1" t="s">
        <v>9</v>
      </c>
      <c r="E1881" s="1" t="s">
        <v>20</v>
      </c>
      <c r="F1881" s="1" t="str">
        <f aca="false">TEXT(B1881,"mmm-yyyy")</f>
        <v>Oct-2024</v>
      </c>
    </row>
    <row r="1882" customFormat="false" ht="130.5" hidden="false" customHeight="true" outlineLevel="0" collapsed="false">
      <c r="A1882" s="1" t="n">
        <v>1</v>
      </c>
      <c r="B1882" s="10" t="n">
        <v>45576</v>
      </c>
      <c r="C1882" s="11" t="s">
        <v>1900</v>
      </c>
      <c r="D1882" s="1" t="s">
        <v>9</v>
      </c>
      <c r="E1882" s="1" t="s">
        <v>20</v>
      </c>
      <c r="F1882" s="1" t="str">
        <f aca="false">TEXT(B1882,"mmm-yyyy")</f>
        <v>Oct-2024</v>
      </c>
    </row>
    <row r="1883" customFormat="false" ht="72" hidden="false" customHeight="true" outlineLevel="0" collapsed="false">
      <c r="A1883" s="1" t="n">
        <v>1</v>
      </c>
      <c r="B1883" s="10" t="n">
        <v>45648</v>
      </c>
      <c r="C1883" s="11" t="s">
        <v>1901</v>
      </c>
      <c r="D1883" s="1" t="s">
        <v>9</v>
      </c>
      <c r="E1883" s="1" t="s">
        <v>32</v>
      </c>
      <c r="F1883" s="1" t="str">
        <f aca="false">TEXT(B1883,"mmm-yyyy")</f>
        <v>Dec-2024</v>
      </c>
    </row>
    <row r="1884" customFormat="false" ht="72" hidden="false" customHeight="true" outlineLevel="0" collapsed="false">
      <c r="A1884" s="1" t="n">
        <v>1</v>
      </c>
      <c r="B1884" s="10" t="n">
        <v>45575</v>
      </c>
      <c r="C1884" s="11" t="s">
        <v>1902</v>
      </c>
      <c r="D1884" s="1" t="s">
        <v>9</v>
      </c>
      <c r="E1884" s="1" t="s">
        <v>20</v>
      </c>
      <c r="F1884" s="1" t="str">
        <f aca="false">TEXT(B1884,"mmm-yyyy")</f>
        <v>Oct-2024</v>
      </c>
    </row>
    <row r="1885" customFormat="false" ht="28.5" hidden="false" customHeight="true" outlineLevel="0" collapsed="false">
      <c r="A1885" s="1" t="n">
        <v>1</v>
      </c>
      <c r="B1885" s="10" t="n">
        <v>45657</v>
      </c>
      <c r="C1885" s="11" t="s">
        <v>1903</v>
      </c>
      <c r="D1885" s="1" t="s">
        <v>9</v>
      </c>
      <c r="E1885" s="1" t="s">
        <v>18</v>
      </c>
      <c r="F1885" s="1" t="str">
        <f aca="false">TEXT(B1885,"mmm-yyyy")</f>
        <v>Dec-2024</v>
      </c>
    </row>
    <row r="1886" customFormat="false" ht="28.5" hidden="false" customHeight="true" outlineLevel="0" collapsed="false">
      <c r="A1886" s="1" t="n">
        <v>3</v>
      </c>
      <c r="B1886" s="10" t="n">
        <v>45651</v>
      </c>
      <c r="C1886" s="11" t="s">
        <v>1904</v>
      </c>
      <c r="D1886" s="1" t="s">
        <v>9</v>
      </c>
      <c r="E1886" s="1" t="s">
        <v>18</v>
      </c>
      <c r="F1886" s="1" t="str">
        <f aca="false">TEXT(B1886,"mmm-yyyy")</f>
        <v>Dec-2024</v>
      </c>
    </row>
    <row r="1887" customFormat="false" ht="43.5" hidden="false" customHeight="true" outlineLevel="0" collapsed="false">
      <c r="A1887" s="1" t="n">
        <v>1</v>
      </c>
      <c r="B1887" s="10" t="n">
        <v>45652</v>
      </c>
      <c r="C1887" s="11" t="s">
        <v>1905</v>
      </c>
      <c r="D1887" s="1" t="s">
        <v>9</v>
      </c>
      <c r="E1887" s="1" t="s">
        <v>20</v>
      </c>
      <c r="F1887" s="1" t="str">
        <f aca="false">TEXT(B1887,"mmm-yyyy")</f>
        <v>Dec-2024</v>
      </c>
    </row>
    <row r="1888" customFormat="false" ht="43.5" hidden="false" customHeight="true" outlineLevel="0" collapsed="false">
      <c r="A1888" s="1" t="n">
        <v>1</v>
      </c>
      <c r="B1888" s="10" t="n">
        <v>45648</v>
      </c>
      <c r="C1888" s="11" t="s">
        <v>1906</v>
      </c>
      <c r="D1888" s="1" t="s">
        <v>9</v>
      </c>
      <c r="E1888" s="1" t="s">
        <v>20</v>
      </c>
      <c r="F1888" s="1" t="str">
        <f aca="false">TEXT(B1888,"mmm-yyyy")</f>
        <v>Dec-2024</v>
      </c>
    </row>
    <row r="1889" customFormat="false" ht="159" hidden="false" customHeight="true" outlineLevel="0" collapsed="false">
      <c r="A1889" s="1" t="n">
        <v>1</v>
      </c>
      <c r="B1889" s="10" t="n">
        <v>45538</v>
      </c>
      <c r="C1889" s="11" t="s">
        <v>1907</v>
      </c>
      <c r="D1889" s="1" t="s">
        <v>9</v>
      </c>
      <c r="E1889" s="1" t="s">
        <v>20</v>
      </c>
      <c r="F1889" s="1" t="str">
        <f aca="false">TEXT(B1889,"mmm-yyyy")</f>
        <v>Sep-2024</v>
      </c>
    </row>
    <row r="1890" customFormat="false" ht="43.5" hidden="false" customHeight="true" outlineLevel="0" collapsed="false">
      <c r="A1890" s="1" t="n">
        <v>1</v>
      </c>
      <c r="B1890" s="10" t="n">
        <v>45648</v>
      </c>
      <c r="C1890" s="11" t="s">
        <v>1908</v>
      </c>
      <c r="D1890" s="1" t="s">
        <v>9</v>
      </c>
      <c r="E1890" s="1" t="s">
        <v>18</v>
      </c>
      <c r="F1890" s="1" t="str">
        <f aca="false">TEXT(B1890,"mmm-yyyy")</f>
        <v>Dec-2024</v>
      </c>
    </row>
    <row r="1891" customFormat="false" ht="130.5" hidden="false" customHeight="true" outlineLevel="0" collapsed="false">
      <c r="A1891" s="1" t="n">
        <v>1</v>
      </c>
      <c r="B1891" s="10" t="n">
        <v>45647</v>
      </c>
      <c r="C1891" s="11" t="s">
        <v>1909</v>
      </c>
      <c r="D1891" s="1" t="s">
        <v>9</v>
      </c>
      <c r="E1891" s="1" t="s">
        <v>18</v>
      </c>
      <c r="F1891" s="1" t="str">
        <f aca="false">TEXT(B1891,"mmm-yyyy")</f>
        <v>Dec-2024</v>
      </c>
    </row>
    <row r="1892" customFormat="false" ht="101.25" hidden="false" customHeight="true" outlineLevel="0" collapsed="false">
      <c r="A1892" s="1" t="n">
        <v>1</v>
      </c>
      <c r="B1892" s="10" t="n">
        <v>45573</v>
      </c>
      <c r="C1892" s="11" t="s">
        <v>1910</v>
      </c>
      <c r="D1892" s="1" t="s">
        <v>9</v>
      </c>
      <c r="E1892" s="1" t="s">
        <v>20</v>
      </c>
      <c r="F1892" s="1" t="str">
        <f aca="false">TEXT(B1892,"mmm-yyyy")</f>
        <v>Oct-2024</v>
      </c>
    </row>
    <row r="1893" customFormat="false" ht="130.5" hidden="false" customHeight="true" outlineLevel="0" collapsed="false">
      <c r="A1893" s="1" t="n">
        <v>1</v>
      </c>
      <c r="B1893" s="10" t="n">
        <v>45657</v>
      </c>
      <c r="C1893" s="11" t="s">
        <v>1911</v>
      </c>
      <c r="D1893" s="1" t="s">
        <v>9</v>
      </c>
      <c r="E1893" s="1" t="s">
        <v>20</v>
      </c>
      <c r="F1893" s="1" t="str">
        <f aca="false">TEXT(B1893,"mmm-yyyy")</f>
        <v>Dec-2024</v>
      </c>
    </row>
    <row r="1894" customFormat="false" ht="28.5" hidden="false" customHeight="true" outlineLevel="0" collapsed="false">
      <c r="A1894" s="1" t="n">
        <v>5</v>
      </c>
      <c r="B1894" s="10" t="n">
        <v>45657</v>
      </c>
      <c r="C1894" s="11" t="s">
        <v>1912</v>
      </c>
      <c r="D1894" s="1" t="s">
        <v>9</v>
      </c>
      <c r="E1894" s="1" t="s">
        <v>18</v>
      </c>
      <c r="F1894" s="1" t="str">
        <f aca="false">TEXT(B1894,"mmm-yyyy")</f>
        <v>Dec-2024</v>
      </c>
    </row>
    <row r="1895" customFormat="false" ht="43.5" hidden="false" customHeight="true" outlineLevel="0" collapsed="false">
      <c r="A1895" s="1" t="n">
        <v>1</v>
      </c>
      <c r="B1895" s="10" t="n">
        <v>45643</v>
      </c>
      <c r="C1895" s="11" t="s">
        <v>1913</v>
      </c>
      <c r="D1895" s="1" t="s">
        <v>9</v>
      </c>
      <c r="E1895" s="1" t="s">
        <v>20</v>
      </c>
      <c r="F1895" s="1" t="str">
        <f aca="false">TEXT(B1895,"mmm-yyyy")</f>
        <v>Dec-2024</v>
      </c>
    </row>
    <row r="1896" customFormat="false" ht="43.5" hidden="false" customHeight="true" outlineLevel="0" collapsed="false">
      <c r="A1896" s="1" t="n">
        <v>1</v>
      </c>
      <c r="B1896" s="10" t="n">
        <v>45624</v>
      </c>
      <c r="C1896" s="11" t="s">
        <v>1914</v>
      </c>
      <c r="D1896" s="1" t="s">
        <v>9</v>
      </c>
      <c r="E1896" s="1" t="s">
        <v>32</v>
      </c>
      <c r="F1896" s="1" t="str">
        <f aca="false">TEXT(B1896,"mmm-yyyy")</f>
        <v>Nov-2024</v>
      </c>
    </row>
    <row r="1897" customFormat="false" ht="28.5" hidden="false" customHeight="true" outlineLevel="0" collapsed="false">
      <c r="A1897" s="1" t="n">
        <v>1</v>
      </c>
      <c r="B1897" s="10" t="n">
        <v>45654</v>
      </c>
      <c r="C1897" s="11" t="s">
        <v>1915</v>
      </c>
      <c r="D1897" s="1" t="s">
        <v>9</v>
      </c>
      <c r="E1897" s="1" t="s">
        <v>18</v>
      </c>
      <c r="F1897" s="1" t="str">
        <f aca="false">TEXT(B1897,"mmm-yyyy")</f>
        <v>Dec-2024</v>
      </c>
    </row>
    <row r="1898" customFormat="false" ht="43.5" hidden="false" customHeight="true" outlineLevel="0" collapsed="false">
      <c r="A1898" s="1" t="n">
        <v>1</v>
      </c>
      <c r="B1898" s="10" t="n">
        <v>45644</v>
      </c>
      <c r="C1898" s="11" t="s">
        <v>1916</v>
      </c>
      <c r="D1898" s="1" t="s">
        <v>9</v>
      </c>
      <c r="E1898" s="1" t="s">
        <v>18</v>
      </c>
      <c r="F1898" s="1" t="str">
        <f aca="false">TEXT(B1898,"mmm-yyyy")</f>
        <v>Dec-2024</v>
      </c>
    </row>
    <row r="1899" customFormat="false" ht="101.25" hidden="false" customHeight="true" outlineLevel="0" collapsed="false">
      <c r="A1899" s="1" t="n">
        <v>1</v>
      </c>
      <c r="B1899" s="10" t="n">
        <v>45564</v>
      </c>
      <c r="C1899" s="11" t="s">
        <v>1917</v>
      </c>
      <c r="D1899" s="1" t="s">
        <v>9</v>
      </c>
      <c r="E1899" s="1" t="s">
        <v>18</v>
      </c>
      <c r="F1899" s="1" t="str">
        <f aca="false">TEXT(B1899,"mmm-yyyy")</f>
        <v>Sep-2024</v>
      </c>
    </row>
    <row r="1900" customFormat="false" ht="43.5" hidden="false" customHeight="true" outlineLevel="0" collapsed="false">
      <c r="A1900" s="1" t="n">
        <v>5</v>
      </c>
      <c r="B1900" s="10" t="n">
        <v>45638</v>
      </c>
      <c r="C1900" s="11" t="s">
        <v>1918</v>
      </c>
      <c r="D1900" s="1" t="s">
        <v>9</v>
      </c>
      <c r="E1900" s="1" t="s">
        <v>18</v>
      </c>
      <c r="F1900" s="1" t="str">
        <f aca="false">TEXT(B1900,"mmm-yyyy")</f>
        <v>Dec-2024</v>
      </c>
    </row>
    <row r="1901" customFormat="false" ht="144.75" hidden="false" customHeight="true" outlineLevel="0" collapsed="false">
      <c r="A1901" s="1" t="n">
        <v>1</v>
      </c>
      <c r="B1901" s="10" t="n">
        <v>45544</v>
      </c>
      <c r="C1901" s="11" t="s">
        <v>1919</v>
      </c>
      <c r="D1901" s="1" t="s">
        <v>9</v>
      </c>
      <c r="E1901" s="1" t="s">
        <v>18</v>
      </c>
      <c r="F1901" s="1" t="str">
        <f aca="false">TEXT(B1901,"mmm-yyyy")</f>
        <v>Sep-2024</v>
      </c>
    </row>
    <row r="1902" customFormat="false" ht="101.25" hidden="false" customHeight="true" outlineLevel="0" collapsed="false">
      <c r="A1902" s="1" t="n">
        <v>1</v>
      </c>
      <c r="B1902" s="10" t="n">
        <v>45506</v>
      </c>
      <c r="C1902" s="11" t="s">
        <v>1920</v>
      </c>
      <c r="D1902" s="1" t="s">
        <v>9</v>
      </c>
      <c r="E1902" s="1" t="s">
        <v>20</v>
      </c>
      <c r="F1902" s="1" t="str">
        <f aca="false">TEXT(B1902,"mmm-yyyy")</f>
        <v>Aug-2024</v>
      </c>
    </row>
    <row r="1903" customFormat="false" ht="115.5" hidden="false" customHeight="true" outlineLevel="0" collapsed="false">
      <c r="A1903" s="1" t="n">
        <v>1</v>
      </c>
      <c r="B1903" s="10" t="n">
        <v>45512</v>
      </c>
      <c r="C1903" s="11" t="s">
        <v>1921</v>
      </c>
      <c r="D1903" s="1" t="s">
        <v>9</v>
      </c>
      <c r="E1903" s="1" t="s">
        <v>18</v>
      </c>
      <c r="F1903" s="1" t="str">
        <f aca="false">TEXT(B1903,"mmm-yyyy")</f>
        <v>Aug-2024</v>
      </c>
    </row>
    <row r="1904" customFormat="false" ht="72" hidden="false" customHeight="true" outlineLevel="0" collapsed="false">
      <c r="A1904" s="1" t="n">
        <v>1</v>
      </c>
      <c r="B1904" s="10" t="n">
        <v>45655</v>
      </c>
      <c r="C1904" s="11" t="s">
        <v>1922</v>
      </c>
      <c r="D1904" s="1" t="s">
        <v>9</v>
      </c>
      <c r="E1904" s="1" t="s">
        <v>18</v>
      </c>
      <c r="F1904" s="1" t="str">
        <f aca="false">TEXT(B1904,"mmm-yyyy")</f>
        <v>Dec-2024</v>
      </c>
    </row>
    <row r="1905" customFormat="false" ht="43.5" hidden="false" customHeight="true" outlineLevel="0" collapsed="false">
      <c r="A1905" s="1" t="n">
        <v>1</v>
      </c>
      <c r="B1905" s="10" t="n">
        <v>45598</v>
      </c>
      <c r="C1905" s="11" t="s">
        <v>1923</v>
      </c>
      <c r="D1905" s="1" t="s">
        <v>9</v>
      </c>
      <c r="E1905" s="1" t="s">
        <v>20</v>
      </c>
      <c r="F1905" s="1" t="str">
        <f aca="false">TEXT(B1905,"mmm-yyyy")</f>
        <v>Nov-2024</v>
      </c>
    </row>
    <row r="1906" customFormat="false" ht="57.75" hidden="false" customHeight="true" outlineLevel="0" collapsed="false">
      <c r="A1906" s="1" t="n">
        <v>1</v>
      </c>
      <c r="B1906" s="10" t="n">
        <v>45524</v>
      </c>
      <c r="C1906" s="11" t="s">
        <v>1924</v>
      </c>
      <c r="D1906" s="1" t="s">
        <v>9</v>
      </c>
      <c r="E1906" s="1" t="s">
        <v>20</v>
      </c>
      <c r="F1906" s="1" t="str">
        <f aca="false">TEXT(B1906,"mmm-yyyy")</f>
        <v>Aug-2024</v>
      </c>
    </row>
    <row r="1907" customFormat="false" ht="57.75" hidden="false" customHeight="true" outlineLevel="0" collapsed="false">
      <c r="A1907" s="1" t="n">
        <v>1</v>
      </c>
      <c r="B1907" s="10" t="n">
        <v>45554</v>
      </c>
      <c r="C1907" s="11" t="s">
        <v>1925</v>
      </c>
      <c r="D1907" s="1" t="s">
        <v>9</v>
      </c>
      <c r="E1907" s="1" t="s">
        <v>20</v>
      </c>
      <c r="F1907" s="1" t="str">
        <f aca="false">TEXT(B1907,"mmm-yyyy")</f>
        <v>Sep-2024</v>
      </c>
    </row>
    <row r="1908" customFormat="false" ht="28.5" hidden="false" customHeight="true" outlineLevel="0" collapsed="false">
      <c r="A1908" s="1" t="n">
        <v>1</v>
      </c>
      <c r="B1908" s="10" t="n">
        <v>45611</v>
      </c>
      <c r="C1908" s="11" t="s">
        <v>1926</v>
      </c>
      <c r="D1908" s="1" t="s">
        <v>9</v>
      </c>
      <c r="E1908" s="1" t="s">
        <v>20</v>
      </c>
      <c r="F1908" s="1" t="str">
        <f aca="false">TEXT(B1908,"mmm-yyyy")</f>
        <v>Nov-2024</v>
      </c>
    </row>
    <row r="1909" customFormat="false" ht="101.25" hidden="false" customHeight="true" outlineLevel="0" collapsed="false">
      <c r="A1909" s="1" t="n">
        <v>4</v>
      </c>
      <c r="B1909" s="10" t="n">
        <v>45585</v>
      </c>
      <c r="C1909" s="11" t="s">
        <v>1927</v>
      </c>
      <c r="D1909" s="1" t="s">
        <v>9</v>
      </c>
      <c r="E1909" s="1" t="s">
        <v>20</v>
      </c>
      <c r="F1909" s="1" t="str">
        <f aca="false">TEXT(B1909,"mmm-yyyy")</f>
        <v>Oct-2024</v>
      </c>
    </row>
    <row r="1910" customFormat="false" ht="28.5" hidden="false" customHeight="true" outlineLevel="0" collapsed="false">
      <c r="A1910" s="1" t="n">
        <v>3</v>
      </c>
      <c r="B1910" s="10" t="n">
        <v>45596</v>
      </c>
      <c r="C1910" s="11" t="s">
        <v>1928</v>
      </c>
      <c r="D1910" s="1" t="s">
        <v>9</v>
      </c>
      <c r="E1910" s="1" t="s">
        <v>32</v>
      </c>
      <c r="F1910" s="1" t="str">
        <f aca="false">TEXT(B1910,"mmm-yyyy")</f>
        <v>Oct-2024</v>
      </c>
    </row>
    <row r="1911" customFormat="false" ht="101.25" hidden="false" customHeight="true" outlineLevel="0" collapsed="false">
      <c r="A1911" s="1" t="n">
        <v>1</v>
      </c>
      <c r="B1911" s="10" t="n">
        <v>45553</v>
      </c>
      <c r="C1911" s="11" t="s">
        <v>1929</v>
      </c>
      <c r="D1911" s="1" t="s">
        <v>9</v>
      </c>
      <c r="E1911" s="1" t="s">
        <v>20</v>
      </c>
      <c r="F1911" s="1" t="str">
        <f aca="false">TEXT(B1911,"mmm-yyyy")</f>
        <v>Sep-2024</v>
      </c>
    </row>
    <row r="1912" customFormat="false" ht="115.5" hidden="false" customHeight="true" outlineLevel="0" collapsed="false">
      <c r="A1912" s="1" t="n">
        <v>1</v>
      </c>
      <c r="B1912" s="10" t="n">
        <v>45569</v>
      </c>
      <c r="C1912" s="11" t="s">
        <v>1930</v>
      </c>
      <c r="D1912" s="1" t="s">
        <v>9</v>
      </c>
      <c r="E1912" s="1" t="s">
        <v>20</v>
      </c>
      <c r="F1912" s="1" t="str">
        <f aca="false">TEXT(B1912,"mmm-yyyy")</f>
        <v>Oct-2024</v>
      </c>
    </row>
    <row r="1913" customFormat="false" ht="28.5" hidden="false" customHeight="true" outlineLevel="0" collapsed="false">
      <c r="A1913" s="1" t="n">
        <v>1</v>
      </c>
      <c r="B1913" s="10" t="n">
        <v>45601</v>
      </c>
      <c r="C1913" s="11" t="s">
        <v>1931</v>
      </c>
      <c r="D1913" s="1" t="s">
        <v>9</v>
      </c>
      <c r="E1913" s="1" t="s">
        <v>18</v>
      </c>
      <c r="F1913" s="1" t="str">
        <f aca="false">TEXT(B1913,"mmm-yyyy")</f>
        <v>Nov-2024</v>
      </c>
    </row>
    <row r="1914" customFormat="false" ht="43.5" hidden="false" customHeight="true" outlineLevel="0" collapsed="false">
      <c r="A1914" s="1" t="n">
        <v>1</v>
      </c>
      <c r="B1914" s="10" t="n">
        <v>45634</v>
      </c>
      <c r="C1914" s="11" t="s">
        <v>1932</v>
      </c>
      <c r="D1914" s="1" t="s">
        <v>9</v>
      </c>
      <c r="E1914" s="1" t="s">
        <v>20</v>
      </c>
      <c r="F1914" s="1" t="str">
        <f aca="false">TEXT(B1914,"mmm-yyyy")</f>
        <v>Dec-2024</v>
      </c>
    </row>
    <row r="1915" customFormat="false" ht="101.25" hidden="false" customHeight="true" outlineLevel="0" collapsed="false">
      <c r="A1915" s="1" t="n">
        <v>1</v>
      </c>
      <c r="B1915" s="10" t="n">
        <v>45531</v>
      </c>
      <c r="C1915" s="11" t="s">
        <v>1933</v>
      </c>
      <c r="D1915" s="1" t="s">
        <v>9</v>
      </c>
      <c r="E1915" s="1" t="s">
        <v>18</v>
      </c>
      <c r="F1915" s="1" t="str">
        <f aca="false">TEXT(B1915,"mmm-yyyy")</f>
        <v>Aug-2024</v>
      </c>
    </row>
    <row r="1916" customFormat="false" ht="87" hidden="false" customHeight="true" outlineLevel="0" collapsed="false">
      <c r="A1916" s="1" t="n">
        <v>1</v>
      </c>
      <c r="B1916" s="10" t="n">
        <v>45575</v>
      </c>
      <c r="C1916" s="11" t="s">
        <v>1934</v>
      </c>
      <c r="D1916" s="1" t="s">
        <v>9</v>
      </c>
      <c r="E1916" s="1" t="s">
        <v>20</v>
      </c>
      <c r="F1916" s="1" t="str">
        <f aca="false">TEXT(B1916,"mmm-yyyy")</f>
        <v>Oct-2024</v>
      </c>
    </row>
    <row r="1917" customFormat="false" ht="115.5" hidden="false" customHeight="true" outlineLevel="0" collapsed="false">
      <c r="A1917" s="1" t="n">
        <v>1</v>
      </c>
      <c r="B1917" s="10" t="n">
        <v>45516</v>
      </c>
      <c r="C1917" s="11" t="s">
        <v>1935</v>
      </c>
      <c r="D1917" s="1" t="s">
        <v>9</v>
      </c>
      <c r="E1917" s="1" t="s">
        <v>20</v>
      </c>
      <c r="F1917" s="1" t="str">
        <f aca="false">TEXT(B1917,"mmm-yyyy")</f>
        <v>Aug-2024</v>
      </c>
    </row>
    <row r="1918" customFormat="false" ht="130.5" hidden="false" customHeight="true" outlineLevel="0" collapsed="false">
      <c r="A1918" s="1" t="n">
        <v>1</v>
      </c>
      <c r="B1918" s="10" t="n">
        <v>45538</v>
      </c>
      <c r="C1918" s="11" t="s">
        <v>1936</v>
      </c>
      <c r="D1918" s="1" t="s">
        <v>9</v>
      </c>
      <c r="E1918" s="1" t="s">
        <v>18</v>
      </c>
      <c r="F1918" s="1" t="str">
        <f aca="false">TEXT(B1918,"mmm-yyyy")</f>
        <v>Sep-2024</v>
      </c>
    </row>
    <row r="1919" customFormat="false" ht="72" hidden="false" customHeight="true" outlineLevel="0" collapsed="false">
      <c r="A1919" s="1" t="n">
        <v>3</v>
      </c>
      <c r="B1919" s="10" t="n">
        <v>45536</v>
      </c>
      <c r="C1919" s="11" t="s">
        <v>1937</v>
      </c>
      <c r="D1919" s="1" t="s">
        <v>9</v>
      </c>
      <c r="E1919" s="1" t="s">
        <v>18</v>
      </c>
      <c r="F1919" s="1" t="str">
        <f aca="false">TEXT(B1919,"mmm-yyyy")</f>
        <v>Sep-2024</v>
      </c>
    </row>
    <row r="1920" customFormat="false" ht="101.25" hidden="false" customHeight="true" outlineLevel="0" collapsed="false">
      <c r="A1920" s="1" t="n">
        <v>1</v>
      </c>
      <c r="B1920" s="10" t="n">
        <v>45535</v>
      </c>
      <c r="C1920" s="11" t="s">
        <v>1938</v>
      </c>
      <c r="D1920" s="1" t="s">
        <v>9</v>
      </c>
      <c r="E1920" s="1" t="s">
        <v>20</v>
      </c>
      <c r="F1920" s="1" t="str">
        <f aca="false">TEXT(B1920,"mmm-yyyy")</f>
        <v>Aug-2024</v>
      </c>
    </row>
    <row r="1921" customFormat="false" ht="87" hidden="false" customHeight="true" outlineLevel="0" collapsed="false">
      <c r="A1921" s="1" t="n">
        <v>1</v>
      </c>
      <c r="B1921" s="10" t="n">
        <v>45537</v>
      </c>
      <c r="C1921" s="11" t="s">
        <v>1939</v>
      </c>
      <c r="D1921" s="1" t="s">
        <v>9</v>
      </c>
      <c r="E1921" s="1" t="s">
        <v>18</v>
      </c>
      <c r="F1921" s="1" t="str">
        <f aca="false">TEXT(B1921,"mmm-yyyy")</f>
        <v>Sep-2024</v>
      </c>
    </row>
    <row r="1922" customFormat="false" ht="101.25" hidden="false" customHeight="true" outlineLevel="0" collapsed="false">
      <c r="A1922" s="1" t="n">
        <v>1</v>
      </c>
      <c r="B1922" s="10" t="n">
        <v>45531</v>
      </c>
      <c r="C1922" s="11" t="s">
        <v>1940</v>
      </c>
      <c r="D1922" s="1" t="s">
        <v>9</v>
      </c>
      <c r="E1922" s="1" t="s">
        <v>20</v>
      </c>
      <c r="F1922" s="1" t="str">
        <f aca="false">TEXT(B1922,"mmm-yyyy")</f>
        <v>Aug-2024</v>
      </c>
    </row>
    <row r="1923" customFormat="false" ht="87" hidden="false" customHeight="true" outlineLevel="0" collapsed="false">
      <c r="A1923" s="1" t="n">
        <v>1</v>
      </c>
      <c r="B1923" s="10" t="n">
        <v>45558</v>
      </c>
      <c r="C1923" s="11" t="s">
        <v>1941</v>
      </c>
      <c r="D1923" s="1" t="s">
        <v>9</v>
      </c>
      <c r="E1923" s="1" t="s">
        <v>18</v>
      </c>
      <c r="F1923" s="1" t="str">
        <f aca="false">TEXT(B1923,"mmm-yyyy")</f>
        <v>Sep-2024</v>
      </c>
    </row>
    <row r="1924" customFormat="false" ht="115.5" hidden="false" customHeight="true" outlineLevel="0" collapsed="false">
      <c r="A1924" s="1" t="n">
        <v>1</v>
      </c>
      <c r="B1924" s="10" t="n">
        <v>45548</v>
      </c>
      <c r="C1924" s="11" t="s">
        <v>1942</v>
      </c>
      <c r="D1924" s="1" t="s">
        <v>9</v>
      </c>
      <c r="E1924" s="1" t="s">
        <v>18</v>
      </c>
      <c r="F1924" s="1" t="str">
        <f aca="false">TEXT(B1924,"mmm-yyyy")</f>
        <v>Sep-2024</v>
      </c>
    </row>
    <row r="1925" customFormat="false" ht="115.5" hidden="false" customHeight="true" outlineLevel="0" collapsed="false">
      <c r="A1925" s="1" t="n">
        <v>1</v>
      </c>
      <c r="B1925" s="10" t="n">
        <v>45579</v>
      </c>
      <c r="C1925" s="11" t="s">
        <v>1943</v>
      </c>
      <c r="D1925" s="1" t="s">
        <v>9</v>
      </c>
      <c r="E1925" s="1" t="s">
        <v>20</v>
      </c>
      <c r="F1925" s="1" t="str">
        <f aca="false">TEXT(B1925,"mmm-yyyy")</f>
        <v>Oct-2024</v>
      </c>
    </row>
    <row r="1926" customFormat="false" ht="101.25" hidden="false" customHeight="true" outlineLevel="0" collapsed="false">
      <c r="A1926" s="1" t="n">
        <v>1</v>
      </c>
      <c r="B1926" s="10" t="n">
        <v>45550</v>
      </c>
      <c r="C1926" s="11" t="s">
        <v>1944</v>
      </c>
      <c r="D1926" s="1" t="s">
        <v>9</v>
      </c>
      <c r="E1926" s="1" t="s">
        <v>20</v>
      </c>
      <c r="F1926" s="1" t="str">
        <f aca="false">TEXT(B1926,"mmm-yyyy")</f>
        <v>Sep-2024</v>
      </c>
    </row>
    <row r="1927" customFormat="false" ht="130.5" hidden="false" customHeight="true" outlineLevel="0" collapsed="false">
      <c r="A1927" s="1" t="n">
        <v>1</v>
      </c>
      <c r="B1927" s="10" t="n">
        <v>45614</v>
      </c>
      <c r="C1927" s="11" t="s">
        <v>1945</v>
      </c>
      <c r="D1927" s="1" t="s">
        <v>9</v>
      </c>
      <c r="E1927" s="1" t="s">
        <v>20</v>
      </c>
      <c r="F1927" s="1" t="str">
        <f aca="false">TEXT(B1927,"mmm-yyyy")</f>
        <v>Nov-2024</v>
      </c>
    </row>
    <row r="1928" customFormat="false" ht="43.5" hidden="false" customHeight="true" outlineLevel="0" collapsed="false">
      <c r="A1928" s="1" t="n">
        <v>2</v>
      </c>
      <c r="B1928" s="10" t="n">
        <v>45601</v>
      </c>
      <c r="C1928" s="11" t="s">
        <v>1946</v>
      </c>
      <c r="D1928" s="1" t="s">
        <v>9</v>
      </c>
      <c r="E1928" s="1" t="s">
        <v>18</v>
      </c>
      <c r="F1928" s="1" t="str">
        <f aca="false">TEXT(B1928,"mmm-yyyy")</f>
        <v>Nov-2024</v>
      </c>
    </row>
    <row r="1929" customFormat="false" ht="87" hidden="false" customHeight="true" outlineLevel="0" collapsed="false">
      <c r="A1929" s="1" t="n">
        <v>1</v>
      </c>
      <c r="B1929" s="10" t="n">
        <v>45550</v>
      </c>
      <c r="C1929" s="11" t="s">
        <v>1947</v>
      </c>
      <c r="D1929" s="1" t="s">
        <v>9</v>
      </c>
      <c r="E1929" s="1" t="s">
        <v>20</v>
      </c>
      <c r="F1929" s="1" t="str">
        <f aca="false">TEXT(B1929,"mmm-yyyy")</f>
        <v>Sep-2024</v>
      </c>
    </row>
    <row r="1930" customFormat="false" ht="72" hidden="false" customHeight="true" outlineLevel="0" collapsed="false">
      <c r="A1930" s="1" t="n">
        <v>1</v>
      </c>
      <c r="B1930" s="10" t="n">
        <v>45511</v>
      </c>
      <c r="C1930" s="11" t="s">
        <v>1948</v>
      </c>
      <c r="D1930" s="1" t="s">
        <v>9</v>
      </c>
      <c r="E1930" s="1" t="s">
        <v>20</v>
      </c>
      <c r="F1930" s="1" t="str">
        <f aca="false">TEXT(B1930,"mmm-yyyy")</f>
        <v>Aug-2024</v>
      </c>
    </row>
    <row r="1931" customFormat="false" ht="72" hidden="false" customHeight="true" outlineLevel="0" collapsed="false">
      <c r="A1931" s="1" t="n">
        <v>1</v>
      </c>
      <c r="B1931" s="10" t="n">
        <v>45580</v>
      </c>
      <c r="C1931" s="11" t="s">
        <v>1949</v>
      </c>
      <c r="D1931" s="1" t="s">
        <v>9</v>
      </c>
      <c r="E1931" s="1" t="s">
        <v>20</v>
      </c>
      <c r="F1931" s="1" t="str">
        <f aca="false">TEXT(B1931,"mmm-yyyy")</f>
        <v>Oct-2024</v>
      </c>
    </row>
    <row r="1932" customFormat="false" ht="130.5" hidden="false" customHeight="true" outlineLevel="0" collapsed="false">
      <c r="A1932" s="1" t="n">
        <v>1</v>
      </c>
      <c r="B1932" s="10" t="n">
        <v>45514</v>
      </c>
      <c r="C1932" s="11" t="s">
        <v>1950</v>
      </c>
      <c r="D1932" s="1" t="s">
        <v>9</v>
      </c>
      <c r="E1932" s="1" t="s">
        <v>18</v>
      </c>
      <c r="F1932" s="1" t="str">
        <f aca="false">TEXT(B1932,"mmm-yyyy")</f>
        <v>Aug-2024</v>
      </c>
    </row>
    <row r="1933" customFormat="false" ht="101.25" hidden="false" customHeight="true" outlineLevel="0" collapsed="false">
      <c r="A1933" s="1" t="n">
        <v>1</v>
      </c>
      <c r="B1933" s="10" t="n">
        <v>45632</v>
      </c>
      <c r="C1933" s="11" t="s">
        <v>1951</v>
      </c>
      <c r="D1933" s="1" t="s">
        <v>9</v>
      </c>
      <c r="E1933" s="1" t="s">
        <v>20</v>
      </c>
      <c r="F1933" s="1" t="str">
        <f aca="false">TEXT(B1933,"mmm-yyyy")</f>
        <v>Dec-2024</v>
      </c>
    </row>
    <row r="1934" customFormat="false" ht="28.5" hidden="false" customHeight="true" outlineLevel="0" collapsed="false">
      <c r="A1934" s="1" t="n">
        <v>5</v>
      </c>
      <c r="B1934" s="10" t="n">
        <v>45650</v>
      </c>
      <c r="C1934" s="11" t="s">
        <v>1952</v>
      </c>
      <c r="D1934" s="1" t="s">
        <v>9</v>
      </c>
      <c r="E1934" s="1" t="s">
        <v>18</v>
      </c>
      <c r="F1934" s="1" t="str">
        <f aca="false">TEXT(B1934,"mmm-yyyy")</f>
        <v>Dec-2024</v>
      </c>
    </row>
    <row r="1935" customFormat="false" ht="57.75" hidden="false" customHeight="true" outlineLevel="0" collapsed="false">
      <c r="A1935" s="1" t="n">
        <v>1</v>
      </c>
      <c r="B1935" s="10" t="n">
        <v>45548</v>
      </c>
      <c r="C1935" s="11" t="s">
        <v>1953</v>
      </c>
      <c r="D1935" s="1" t="s">
        <v>9</v>
      </c>
      <c r="E1935" s="1" t="s">
        <v>18</v>
      </c>
      <c r="F1935" s="1" t="str">
        <f aca="false">TEXT(B1935,"mmm-yyyy")</f>
        <v>Sep-2024</v>
      </c>
    </row>
    <row r="1936" customFormat="false" ht="144.75" hidden="false" customHeight="true" outlineLevel="0" collapsed="false">
      <c r="A1936" s="1" t="n">
        <v>1</v>
      </c>
      <c r="B1936" s="10" t="n">
        <v>45550</v>
      </c>
      <c r="C1936" s="11" t="s">
        <v>1954</v>
      </c>
      <c r="D1936" s="1" t="s">
        <v>9</v>
      </c>
      <c r="E1936" s="1" t="s">
        <v>20</v>
      </c>
      <c r="F1936" s="1" t="str">
        <f aca="false">TEXT(B1936,"mmm-yyyy")</f>
        <v>Sep-2024</v>
      </c>
    </row>
    <row r="1937" customFormat="false" ht="101.25" hidden="false" customHeight="true" outlineLevel="0" collapsed="false">
      <c r="A1937" s="1" t="n">
        <v>5</v>
      </c>
      <c r="B1937" s="10" t="n">
        <v>45553</v>
      </c>
      <c r="C1937" s="11" t="s">
        <v>1955</v>
      </c>
      <c r="D1937" s="1" t="s">
        <v>9</v>
      </c>
      <c r="E1937" s="1" t="s">
        <v>18</v>
      </c>
      <c r="F1937" s="1" t="str">
        <f aca="false">TEXT(B1937,"mmm-yyyy")</f>
        <v>Sep-2024</v>
      </c>
    </row>
    <row r="1938" customFormat="false" ht="87" hidden="false" customHeight="true" outlineLevel="0" collapsed="false">
      <c r="A1938" s="1" t="n">
        <v>1</v>
      </c>
      <c r="B1938" s="10" t="n">
        <v>45576</v>
      </c>
      <c r="C1938" s="11" t="s">
        <v>1956</v>
      </c>
      <c r="D1938" s="1" t="s">
        <v>9</v>
      </c>
      <c r="E1938" s="1" t="s">
        <v>20</v>
      </c>
      <c r="F1938" s="1" t="str">
        <f aca="false">TEXT(B1938,"mmm-yyyy")</f>
        <v>Oct-2024</v>
      </c>
    </row>
    <row r="1939" customFormat="false" ht="159" hidden="false" customHeight="true" outlineLevel="0" collapsed="false">
      <c r="A1939" s="1" t="n">
        <v>1</v>
      </c>
      <c r="B1939" s="10" t="n">
        <v>45556</v>
      </c>
      <c r="C1939" s="11" t="s">
        <v>1957</v>
      </c>
      <c r="D1939" s="1" t="s">
        <v>9</v>
      </c>
      <c r="E1939" s="1" t="s">
        <v>18</v>
      </c>
      <c r="F1939" s="1" t="str">
        <f aca="false">TEXT(B1939,"mmm-yyyy")</f>
        <v>Sep-2024</v>
      </c>
    </row>
    <row r="1940" customFormat="false" ht="87" hidden="false" customHeight="true" outlineLevel="0" collapsed="false">
      <c r="A1940" s="1" t="n">
        <v>1</v>
      </c>
      <c r="B1940" s="10" t="n">
        <v>45524</v>
      </c>
      <c r="C1940" s="11" t="s">
        <v>1958</v>
      </c>
      <c r="D1940" s="1" t="s">
        <v>9</v>
      </c>
      <c r="E1940" s="1" t="s">
        <v>20</v>
      </c>
      <c r="F1940" s="1" t="str">
        <f aca="false">TEXT(B1940,"mmm-yyyy")</f>
        <v>Aug-2024</v>
      </c>
    </row>
    <row r="1941" customFormat="false" ht="57.75" hidden="false" customHeight="true" outlineLevel="0" collapsed="false">
      <c r="A1941" s="1" t="n">
        <v>1</v>
      </c>
      <c r="B1941" s="10" t="n">
        <v>45558</v>
      </c>
      <c r="C1941" s="11" t="s">
        <v>1959</v>
      </c>
      <c r="D1941" s="1" t="s">
        <v>9</v>
      </c>
      <c r="E1941" s="1" t="s">
        <v>20</v>
      </c>
      <c r="F1941" s="1" t="str">
        <f aca="false">TEXT(B1941,"mmm-yyyy")</f>
        <v>Sep-2024</v>
      </c>
    </row>
    <row r="1942" customFormat="false" ht="130.5" hidden="false" customHeight="true" outlineLevel="0" collapsed="false">
      <c r="A1942" s="1" t="n">
        <v>1</v>
      </c>
      <c r="B1942" s="10" t="n">
        <v>45528</v>
      </c>
      <c r="C1942" s="11" t="s">
        <v>1960</v>
      </c>
      <c r="D1942" s="1" t="s">
        <v>9</v>
      </c>
      <c r="E1942" s="1" t="s">
        <v>20</v>
      </c>
      <c r="F1942" s="1" t="str">
        <f aca="false">TEXT(B1942,"mmm-yyyy")</f>
        <v>Aug-2024</v>
      </c>
    </row>
    <row r="1943" customFormat="false" ht="101.25" hidden="false" customHeight="true" outlineLevel="0" collapsed="false">
      <c r="A1943" s="1" t="n">
        <v>1</v>
      </c>
      <c r="B1943" s="10" t="n">
        <v>45502</v>
      </c>
      <c r="C1943" s="11" t="s">
        <v>1961</v>
      </c>
      <c r="D1943" s="1" t="s">
        <v>9</v>
      </c>
      <c r="E1943" s="1" t="s">
        <v>20</v>
      </c>
      <c r="F1943" s="1" t="str">
        <f aca="false">TEXT(B1943,"mmm-yyyy")</f>
        <v>Jul-2024</v>
      </c>
    </row>
    <row r="1944" customFormat="false" ht="57.75" hidden="false" customHeight="true" outlineLevel="0" collapsed="false">
      <c r="A1944" s="1" t="n">
        <v>1</v>
      </c>
      <c r="B1944" s="10" t="n">
        <v>45567</v>
      </c>
      <c r="C1944" s="11" t="s">
        <v>1962</v>
      </c>
      <c r="D1944" s="1" t="s">
        <v>9</v>
      </c>
      <c r="E1944" s="1" t="s">
        <v>20</v>
      </c>
      <c r="F1944" s="1" t="str">
        <f aca="false">TEXT(B1944,"mmm-yyyy")</f>
        <v>Oct-2024</v>
      </c>
    </row>
    <row r="1945" customFormat="false" ht="130.5" hidden="false" customHeight="true" outlineLevel="0" collapsed="false">
      <c r="A1945" s="1" t="n">
        <v>1</v>
      </c>
      <c r="B1945" s="10" t="n">
        <v>45570</v>
      </c>
      <c r="C1945" s="11" t="s">
        <v>1963</v>
      </c>
      <c r="D1945" s="1" t="s">
        <v>9</v>
      </c>
      <c r="E1945" s="1" t="s">
        <v>20</v>
      </c>
      <c r="F1945" s="1" t="str">
        <f aca="false">TEXT(B1945,"mmm-yyyy")</f>
        <v>Oct-2024</v>
      </c>
    </row>
    <row r="1946" customFormat="false" ht="72" hidden="false" customHeight="true" outlineLevel="0" collapsed="false">
      <c r="A1946" s="1" t="n">
        <v>1</v>
      </c>
      <c r="B1946" s="10" t="n">
        <v>45569</v>
      </c>
      <c r="C1946" s="11" t="s">
        <v>1964</v>
      </c>
      <c r="D1946" s="1" t="s">
        <v>9</v>
      </c>
      <c r="E1946" s="1" t="s">
        <v>20</v>
      </c>
      <c r="F1946" s="1" t="str">
        <f aca="false">TEXT(B1946,"mmm-yyyy")</f>
        <v>Oct-2024</v>
      </c>
    </row>
    <row r="1947" customFormat="false" ht="115.5" hidden="false" customHeight="true" outlineLevel="0" collapsed="false">
      <c r="A1947" s="1" t="n">
        <v>1</v>
      </c>
      <c r="B1947" s="10" t="n">
        <v>45530</v>
      </c>
      <c r="C1947" s="11" t="s">
        <v>1965</v>
      </c>
      <c r="D1947" s="1" t="s">
        <v>9</v>
      </c>
      <c r="E1947" s="1" t="s">
        <v>20</v>
      </c>
      <c r="F1947" s="1" t="str">
        <f aca="false">TEXT(B1947,"mmm-yyyy")</f>
        <v>Aug-2024</v>
      </c>
    </row>
    <row r="1948" customFormat="false" ht="101.25" hidden="false" customHeight="true" outlineLevel="0" collapsed="false">
      <c r="A1948" s="1" t="n">
        <v>1</v>
      </c>
      <c r="B1948" s="10" t="n">
        <v>45522</v>
      </c>
      <c r="C1948" s="11" t="s">
        <v>1966</v>
      </c>
      <c r="D1948" s="1" t="s">
        <v>9</v>
      </c>
      <c r="E1948" s="1" t="s">
        <v>20</v>
      </c>
      <c r="F1948" s="1" t="str">
        <f aca="false">TEXT(B1948,"mmm-yyyy")</f>
        <v>Aug-2024</v>
      </c>
    </row>
    <row r="1949" customFormat="false" ht="87" hidden="false" customHeight="true" outlineLevel="0" collapsed="false">
      <c r="A1949" s="1" t="n">
        <v>1</v>
      </c>
      <c r="B1949" s="10" t="n">
        <v>45536</v>
      </c>
      <c r="C1949" s="11" t="s">
        <v>1967</v>
      </c>
      <c r="D1949" s="1" t="s">
        <v>9</v>
      </c>
      <c r="E1949" s="1" t="s">
        <v>20</v>
      </c>
      <c r="F1949" s="1" t="str">
        <f aca="false">TEXT(B1949,"mmm-yyyy")</f>
        <v>Sep-2024</v>
      </c>
    </row>
    <row r="1950" customFormat="false" ht="115.5" hidden="false" customHeight="true" outlineLevel="0" collapsed="false">
      <c r="A1950" s="1" t="n">
        <v>3</v>
      </c>
      <c r="B1950" s="10" t="n">
        <v>45571</v>
      </c>
      <c r="C1950" s="11" t="s">
        <v>1968</v>
      </c>
      <c r="D1950" s="1" t="s">
        <v>9</v>
      </c>
      <c r="E1950" s="1" t="s">
        <v>18</v>
      </c>
      <c r="F1950" s="1" t="str">
        <f aca="false">TEXT(B1950,"mmm-yyyy")</f>
        <v>Oct-2024</v>
      </c>
    </row>
    <row r="1951" customFormat="false" ht="72" hidden="false" customHeight="true" outlineLevel="0" collapsed="false">
      <c r="A1951" s="1" t="n">
        <v>1</v>
      </c>
      <c r="B1951" s="10" t="n">
        <v>45648</v>
      </c>
      <c r="C1951" s="11" t="s">
        <v>1969</v>
      </c>
      <c r="D1951" s="1" t="s">
        <v>9</v>
      </c>
      <c r="E1951" s="1" t="s">
        <v>20</v>
      </c>
      <c r="F1951" s="1" t="str">
        <f aca="false">TEXT(B1951,"mmm-yyyy")</f>
        <v>Dec-2024</v>
      </c>
    </row>
    <row r="1952" customFormat="false" ht="57.75" hidden="false" customHeight="true" outlineLevel="0" collapsed="false">
      <c r="A1952" s="1" t="n">
        <v>1</v>
      </c>
      <c r="B1952" s="10" t="n">
        <v>45649</v>
      </c>
      <c r="C1952" s="11" t="s">
        <v>1970</v>
      </c>
      <c r="D1952" s="1" t="s">
        <v>9</v>
      </c>
      <c r="E1952" s="1" t="s">
        <v>20</v>
      </c>
      <c r="F1952" s="1" t="str">
        <f aca="false">TEXT(B1952,"mmm-yyyy")</f>
        <v>Dec-2024</v>
      </c>
    </row>
    <row r="1953" customFormat="false" ht="115.5" hidden="false" customHeight="true" outlineLevel="0" collapsed="false">
      <c r="A1953" s="1" t="n">
        <v>1</v>
      </c>
      <c r="B1953" s="10" t="n">
        <v>45543</v>
      </c>
      <c r="C1953" s="11" t="s">
        <v>1971</v>
      </c>
      <c r="D1953" s="1" t="s">
        <v>9</v>
      </c>
      <c r="E1953" s="1" t="s">
        <v>20</v>
      </c>
      <c r="F1953" s="1" t="str">
        <f aca="false">TEXT(B1953,"mmm-yyyy")</f>
        <v>Sep-2024</v>
      </c>
    </row>
    <row r="1954" customFormat="false" ht="144.75" hidden="false" customHeight="true" outlineLevel="0" collapsed="false">
      <c r="A1954" s="1" t="n">
        <v>1</v>
      </c>
      <c r="B1954" s="10" t="n">
        <v>45504</v>
      </c>
      <c r="C1954" s="11" t="s">
        <v>1972</v>
      </c>
      <c r="D1954" s="1" t="s">
        <v>9</v>
      </c>
      <c r="E1954" s="1" t="s">
        <v>20</v>
      </c>
      <c r="F1954" s="1" t="str">
        <f aca="false">TEXT(B1954,"mmm-yyyy")</f>
        <v>Jul-2024</v>
      </c>
    </row>
    <row r="1955" customFormat="false" ht="72" hidden="false" customHeight="true" outlineLevel="0" collapsed="false">
      <c r="A1955" s="1" t="n">
        <v>1</v>
      </c>
      <c r="B1955" s="10" t="n">
        <v>45573</v>
      </c>
      <c r="C1955" s="11" t="s">
        <v>1973</v>
      </c>
      <c r="D1955" s="1" t="s">
        <v>9</v>
      </c>
      <c r="E1955" s="1" t="s">
        <v>20</v>
      </c>
      <c r="F1955" s="1" t="str">
        <f aca="false">TEXT(B1955,"mmm-yyyy")</f>
        <v>Oct-2024</v>
      </c>
    </row>
    <row r="1956" customFormat="false" ht="43.5" hidden="false" customHeight="true" outlineLevel="0" collapsed="false">
      <c r="A1956" s="1" t="n">
        <v>2</v>
      </c>
      <c r="B1956" s="10" t="n">
        <v>45585</v>
      </c>
      <c r="C1956" s="11" t="s">
        <v>1974</v>
      </c>
      <c r="D1956" s="1" t="s">
        <v>9</v>
      </c>
      <c r="E1956" s="1" t="s">
        <v>18</v>
      </c>
      <c r="F1956" s="1" t="str">
        <f aca="false">TEXT(B1956,"mmm-yyyy")</f>
        <v>Oct-2024</v>
      </c>
    </row>
    <row r="1957" customFormat="false" ht="57.75" hidden="false" customHeight="true" outlineLevel="0" collapsed="false">
      <c r="A1957" s="1" t="n">
        <v>1</v>
      </c>
      <c r="B1957" s="10" t="n">
        <v>45520</v>
      </c>
      <c r="C1957" s="11" t="s">
        <v>1975</v>
      </c>
      <c r="D1957" s="1" t="s">
        <v>9</v>
      </c>
      <c r="E1957" s="1" t="s">
        <v>20</v>
      </c>
      <c r="F1957" s="1" t="str">
        <f aca="false">TEXT(B1957,"mmm-yyyy")</f>
        <v>Aug-2024</v>
      </c>
    </row>
    <row r="1958" customFormat="false" ht="115.5" hidden="false" customHeight="true" outlineLevel="0" collapsed="false">
      <c r="A1958" s="1" t="n">
        <v>1</v>
      </c>
      <c r="B1958" s="10" t="n">
        <v>45580</v>
      </c>
      <c r="C1958" s="11" t="s">
        <v>1976</v>
      </c>
      <c r="D1958" s="1" t="s">
        <v>9</v>
      </c>
      <c r="E1958" s="1" t="s">
        <v>20</v>
      </c>
      <c r="F1958" s="1" t="str">
        <f aca="false">TEXT(B1958,"mmm-yyyy")</f>
        <v>Oct-2024</v>
      </c>
    </row>
    <row r="1959" customFormat="false" ht="130.5" hidden="false" customHeight="true" outlineLevel="0" collapsed="false">
      <c r="A1959" s="1" t="n">
        <v>1</v>
      </c>
      <c r="B1959" s="10" t="n">
        <v>45521</v>
      </c>
      <c r="C1959" s="11" t="s">
        <v>1977</v>
      </c>
      <c r="D1959" s="1" t="s">
        <v>9</v>
      </c>
      <c r="E1959" s="1" t="s">
        <v>20</v>
      </c>
      <c r="F1959" s="1" t="str">
        <f aca="false">TEXT(B1959,"mmm-yyyy")</f>
        <v>Aug-2024</v>
      </c>
    </row>
    <row r="1960" customFormat="false" ht="115.5" hidden="false" customHeight="true" outlineLevel="0" collapsed="false">
      <c r="A1960" s="1" t="n">
        <v>1</v>
      </c>
      <c r="B1960" s="10" t="n">
        <v>45508</v>
      </c>
      <c r="C1960" s="11" t="s">
        <v>1978</v>
      </c>
      <c r="D1960" s="1" t="s">
        <v>9</v>
      </c>
      <c r="E1960" s="1" t="s">
        <v>20</v>
      </c>
      <c r="F1960" s="1" t="str">
        <f aca="false">TEXT(B1960,"mmm-yyyy")</f>
        <v>Aug-2024</v>
      </c>
    </row>
    <row r="1961" customFormat="false" ht="28.5" hidden="false" customHeight="true" outlineLevel="0" collapsed="false">
      <c r="A1961" s="1" t="n">
        <v>1</v>
      </c>
      <c r="B1961" s="10" t="n">
        <v>45645</v>
      </c>
      <c r="C1961" s="11" t="s">
        <v>1979</v>
      </c>
      <c r="D1961" s="1" t="s">
        <v>9</v>
      </c>
      <c r="E1961" s="1" t="s">
        <v>20</v>
      </c>
      <c r="F1961" s="1" t="str">
        <f aca="false">TEXT(B1961,"mmm-yyyy")</f>
        <v>Dec-2024</v>
      </c>
    </row>
    <row r="1962" customFormat="false" ht="144.75" hidden="false" customHeight="true" outlineLevel="0" collapsed="false">
      <c r="A1962" s="1" t="n">
        <v>1</v>
      </c>
      <c r="B1962" s="10" t="n">
        <v>45552</v>
      </c>
      <c r="C1962" s="11" t="s">
        <v>1980</v>
      </c>
      <c r="D1962" s="1" t="s">
        <v>9</v>
      </c>
      <c r="E1962" s="1" t="s">
        <v>20</v>
      </c>
      <c r="F1962" s="1" t="str">
        <f aca="false">TEXT(B1962,"mmm-yyyy")</f>
        <v>Sep-2024</v>
      </c>
    </row>
    <row r="1963" customFormat="false" ht="87" hidden="false" customHeight="true" outlineLevel="0" collapsed="false">
      <c r="A1963" s="1" t="n">
        <v>1</v>
      </c>
      <c r="B1963" s="10" t="n">
        <v>45534</v>
      </c>
      <c r="C1963" s="11" t="s">
        <v>1981</v>
      </c>
      <c r="D1963" s="1" t="s">
        <v>9</v>
      </c>
      <c r="E1963" s="1" t="s">
        <v>20</v>
      </c>
      <c r="F1963" s="1" t="str">
        <f aca="false">TEXT(B1963,"mmm-yyyy")</f>
        <v>Aug-2024</v>
      </c>
    </row>
    <row r="1964" customFormat="false" ht="72" hidden="false" customHeight="true" outlineLevel="0" collapsed="false">
      <c r="A1964" s="1" t="n">
        <v>1</v>
      </c>
      <c r="B1964" s="10" t="n">
        <v>45575</v>
      </c>
      <c r="C1964" s="11" t="s">
        <v>1982</v>
      </c>
      <c r="D1964" s="1" t="s">
        <v>9</v>
      </c>
      <c r="E1964" s="1" t="s">
        <v>20</v>
      </c>
      <c r="F1964" s="1" t="str">
        <f aca="false">TEXT(B1964,"mmm-yyyy")</f>
        <v>Oct-2024</v>
      </c>
    </row>
    <row r="1965" customFormat="false" ht="43.5" hidden="false" customHeight="true" outlineLevel="0" collapsed="false">
      <c r="A1965" s="1" t="n">
        <v>1</v>
      </c>
      <c r="B1965" s="10" t="n">
        <v>45608</v>
      </c>
      <c r="C1965" s="11" t="s">
        <v>1983</v>
      </c>
      <c r="D1965" s="1" t="s">
        <v>9</v>
      </c>
      <c r="E1965" s="1" t="s">
        <v>20</v>
      </c>
      <c r="F1965" s="1" t="str">
        <f aca="false">TEXT(B1965,"mmm-yyyy")</f>
        <v>Nov-2024</v>
      </c>
    </row>
    <row r="1966" customFormat="false" ht="87" hidden="false" customHeight="true" outlineLevel="0" collapsed="false">
      <c r="A1966" s="1" t="n">
        <v>1</v>
      </c>
      <c r="B1966" s="10" t="n">
        <v>45535</v>
      </c>
      <c r="C1966" s="11" t="s">
        <v>1984</v>
      </c>
      <c r="D1966" s="1" t="s">
        <v>9</v>
      </c>
      <c r="E1966" s="1" t="s">
        <v>18</v>
      </c>
      <c r="F1966" s="1" t="str">
        <f aca="false">TEXT(B1966,"mmm-yyyy")</f>
        <v>Aug-2024</v>
      </c>
    </row>
    <row r="1967" customFormat="false" ht="72" hidden="false" customHeight="true" outlineLevel="0" collapsed="false">
      <c r="A1967" s="1" t="n">
        <v>1</v>
      </c>
      <c r="B1967" s="10" t="n">
        <v>45538</v>
      </c>
      <c r="C1967" s="11" t="s">
        <v>1985</v>
      </c>
      <c r="D1967" s="1" t="s">
        <v>9</v>
      </c>
      <c r="E1967" s="1" t="s">
        <v>18</v>
      </c>
      <c r="F1967" s="1" t="str">
        <f aca="false">TEXT(B1967,"mmm-yyyy")</f>
        <v>Sep-2024</v>
      </c>
    </row>
    <row r="1968" customFormat="false" ht="101.25" hidden="false" customHeight="true" outlineLevel="0" collapsed="false">
      <c r="A1968" s="1" t="n">
        <v>1</v>
      </c>
      <c r="B1968" s="10" t="n">
        <v>45532</v>
      </c>
      <c r="C1968" s="11" t="s">
        <v>1986</v>
      </c>
      <c r="D1968" s="1" t="s">
        <v>9</v>
      </c>
      <c r="E1968" s="1" t="s">
        <v>20</v>
      </c>
      <c r="F1968" s="1" t="str">
        <f aca="false">TEXT(B1968,"mmm-yyyy")</f>
        <v>Aug-2024</v>
      </c>
    </row>
    <row r="1969" customFormat="false" ht="87" hidden="false" customHeight="true" outlineLevel="0" collapsed="false">
      <c r="A1969" s="1" t="n">
        <v>2</v>
      </c>
      <c r="B1969" s="10" t="n">
        <v>45571</v>
      </c>
      <c r="C1969" s="11" t="s">
        <v>1987</v>
      </c>
      <c r="D1969" s="1" t="s">
        <v>9</v>
      </c>
      <c r="E1969" s="1" t="s">
        <v>18</v>
      </c>
      <c r="F1969" s="1" t="str">
        <f aca="false">TEXT(B1969,"mmm-yyyy")</f>
        <v>Oct-2024</v>
      </c>
    </row>
    <row r="1970" customFormat="false" ht="87" hidden="false" customHeight="true" outlineLevel="0" collapsed="false">
      <c r="A1970" s="1" t="n">
        <v>1</v>
      </c>
      <c r="B1970" s="10" t="n">
        <v>45533</v>
      </c>
      <c r="C1970" s="11" t="s">
        <v>1988</v>
      </c>
      <c r="D1970" s="1" t="s">
        <v>9</v>
      </c>
      <c r="E1970" s="1" t="s">
        <v>18</v>
      </c>
      <c r="F1970" s="1" t="str">
        <f aca="false">TEXT(B1970,"mmm-yyyy")</f>
        <v>Aug-2024</v>
      </c>
    </row>
    <row r="1971" customFormat="false" ht="72" hidden="false" customHeight="true" outlineLevel="0" collapsed="false">
      <c r="A1971" s="1" t="n">
        <v>1</v>
      </c>
      <c r="B1971" s="10" t="n">
        <v>45536</v>
      </c>
      <c r="C1971" s="11" t="s">
        <v>1989</v>
      </c>
      <c r="D1971" s="1" t="s">
        <v>9</v>
      </c>
      <c r="E1971" s="1" t="s">
        <v>20</v>
      </c>
      <c r="F1971" s="1" t="str">
        <f aca="false">TEXT(B1971,"mmm-yyyy")</f>
        <v>Sep-2024</v>
      </c>
    </row>
    <row r="1972" customFormat="false" ht="72" hidden="false" customHeight="true" outlineLevel="0" collapsed="false">
      <c r="A1972" s="1" t="n">
        <v>1</v>
      </c>
      <c r="B1972" s="10" t="n">
        <v>45501</v>
      </c>
      <c r="C1972" s="11" t="s">
        <v>1990</v>
      </c>
      <c r="D1972" s="1" t="s">
        <v>9</v>
      </c>
      <c r="E1972" s="1" t="s">
        <v>18</v>
      </c>
      <c r="F1972" s="1" t="str">
        <f aca="false">TEXT(B1972,"mmm-yyyy")</f>
        <v>Jul-2024</v>
      </c>
    </row>
    <row r="1973" customFormat="false" ht="115.5" hidden="false" customHeight="true" outlineLevel="0" collapsed="false">
      <c r="A1973" s="1" t="n">
        <v>1</v>
      </c>
      <c r="B1973" s="10" t="n">
        <v>45567</v>
      </c>
      <c r="C1973" s="11" t="s">
        <v>1991</v>
      </c>
      <c r="D1973" s="1" t="s">
        <v>9</v>
      </c>
      <c r="E1973" s="1" t="s">
        <v>20</v>
      </c>
      <c r="F1973" s="1" t="str">
        <f aca="false">TEXT(B1973,"mmm-yyyy")</f>
        <v>Oct-2024</v>
      </c>
    </row>
    <row r="1974" customFormat="false" ht="101.25" hidden="false" customHeight="true" outlineLevel="0" collapsed="false">
      <c r="A1974" s="1" t="n">
        <v>1</v>
      </c>
      <c r="B1974" s="10" t="n">
        <v>45555</v>
      </c>
      <c r="C1974" s="11" t="s">
        <v>1992</v>
      </c>
      <c r="D1974" s="1" t="s">
        <v>9</v>
      </c>
      <c r="E1974" s="1" t="s">
        <v>20</v>
      </c>
      <c r="F1974" s="1" t="str">
        <f aca="false">TEXT(B1974,"mmm-yyyy")</f>
        <v>Sep-2024</v>
      </c>
    </row>
    <row r="1975" customFormat="false" ht="144.75" hidden="false" customHeight="true" outlineLevel="0" collapsed="false">
      <c r="A1975" s="1" t="n">
        <v>1</v>
      </c>
      <c r="B1975" s="10" t="n">
        <v>45507</v>
      </c>
      <c r="C1975" s="11" t="s">
        <v>1993</v>
      </c>
      <c r="D1975" s="1" t="s">
        <v>9</v>
      </c>
      <c r="E1975" s="1" t="s">
        <v>20</v>
      </c>
      <c r="F1975" s="1" t="str">
        <f aca="false">TEXT(B1975,"mmm-yyyy")</f>
        <v>Aug-2024</v>
      </c>
    </row>
    <row r="1976" customFormat="false" ht="72" hidden="false" customHeight="true" outlineLevel="0" collapsed="false">
      <c r="A1976" s="1" t="n">
        <v>1</v>
      </c>
      <c r="B1976" s="10" t="n">
        <v>45618</v>
      </c>
      <c r="C1976" s="11" t="s">
        <v>1994</v>
      </c>
      <c r="D1976" s="1" t="s">
        <v>9</v>
      </c>
      <c r="E1976" s="1" t="s">
        <v>32</v>
      </c>
      <c r="F1976" s="1" t="str">
        <f aca="false">TEXT(B1976,"mmm-yyyy")</f>
        <v>Nov-2024</v>
      </c>
    </row>
    <row r="1977" customFormat="false" ht="101.25" hidden="false" customHeight="true" outlineLevel="0" collapsed="false">
      <c r="A1977" s="1" t="n">
        <v>5</v>
      </c>
      <c r="B1977" s="10" t="n">
        <v>45628</v>
      </c>
      <c r="C1977" s="11" t="s">
        <v>1995</v>
      </c>
      <c r="D1977" s="1" t="s">
        <v>9</v>
      </c>
      <c r="E1977" s="1" t="s">
        <v>20</v>
      </c>
      <c r="F1977" s="1" t="str">
        <f aca="false">TEXT(B1977,"mmm-yyyy")</f>
        <v>Dec-2024</v>
      </c>
    </row>
    <row r="1978" customFormat="false" ht="87" hidden="false" customHeight="true" outlineLevel="0" collapsed="false">
      <c r="A1978" s="1" t="n">
        <v>1</v>
      </c>
      <c r="B1978" s="10" t="n">
        <v>45556</v>
      </c>
      <c r="C1978" s="11" t="s">
        <v>1996</v>
      </c>
      <c r="D1978" s="1" t="s">
        <v>9</v>
      </c>
      <c r="E1978" s="1" t="s">
        <v>20</v>
      </c>
      <c r="F1978" s="1" t="str">
        <f aca="false">TEXT(B1978,"mmm-yyyy")</f>
        <v>Sep-2024</v>
      </c>
    </row>
    <row r="1979" customFormat="false" ht="72" hidden="false" customHeight="true" outlineLevel="0" collapsed="false">
      <c r="A1979" s="1" t="n">
        <v>1</v>
      </c>
      <c r="B1979" s="10" t="n">
        <v>45521</v>
      </c>
      <c r="C1979" s="11" t="s">
        <v>1997</v>
      </c>
      <c r="D1979" s="1" t="s">
        <v>9</v>
      </c>
      <c r="E1979" s="1" t="s">
        <v>20</v>
      </c>
      <c r="F1979" s="1" t="str">
        <f aca="false">TEXT(B1979,"mmm-yyyy")</f>
        <v>Aug-2024</v>
      </c>
    </row>
    <row r="1980" customFormat="false" ht="130.5" hidden="false" customHeight="true" outlineLevel="0" collapsed="false">
      <c r="A1980" s="1" t="n">
        <v>1</v>
      </c>
      <c r="B1980" s="10" t="n">
        <v>45592</v>
      </c>
      <c r="C1980" s="11" t="s">
        <v>1998</v>
      </c>
      <c r="D1980" s="1" t="s">
        <v>9</v>
      </c>
      <c r="E1980" s="1" t="s">
        <v>20</v>
      </c>
      <c r="F1980" s="1" t="str">
        <f aca="false">TEXT(B1980,"mmm-yyyy")</f>
        <v>Oct-2024</v>
      </c>
    </row>
    <row r="1981" customFormat="false" ht="87" hidden="false" customHeight="true" outlineLevel="0" collapsed="false">
      <c r="A1981" s="1" t="n">
        <v>1</v>
      </c>
      <c r="B1981" s="10" t="n">
        <v>45515</v>
      </c>
      <c r="C1981" s="11" t="s">
        <v>1999</v>
      </c>
      <c r="D1981" s="1" t="s">
        <v>9</v>
      </c>
      <c r="E1981" s="1" t="s">
        <v>20</v>
      </c>
      <c r="F1981" s="1" t="str">
        <f aca="false">TEXT(B1981,"mmm-yyyy")</f>
        <v>Aug-2024</v>
      </c>
    </row>
    <row r="1982" customFormat="false" ht="43.5" hidden="false" customHeight="true" outlineLevel="0" collapsed="false">
      <c r="A1982" s="1" t="n">
        <v>1</v>
      </c>
      <c r="B1982" s="10" t="n">
        <v>45510</v>
      </c>
      <c r="C1982" s="11" t="s">
        <v>2000</v>
      </c>
      <c r="D1982" s="1" t="s">
        <v>9</v>
      </c>
      <c r="E1982" s="1" t="s">
        <v>20</v>
      </c>
      <c r="F1982" s="1" t="str">
        <f aca="false">TEXT(B1982,"mmm-yyyy")</f>
        <v>Aug-2024</v>
      </c>
    </row>
    <row r="1983" customFormat="false" ht="57.75" hidden="false" customHeight="true" outlineLevel="0" collapsed="false">
      <c r="A1983" s="1" t="n">
        <v>1</v>
      </c>
      <c r="B1983" s="10" t="n">
        <v>45631</v>
      </c>
      <c r="C1983" s="11" t="s">
        <v>2001</v>
      </c>
      <c r="D1983" s="1" t="s">
        <v>9</v>
      </c>
      <c r="E1983" s="1" t="s">
        <v>18</v>
      </c>
      <c r="F1983" s="1" t="str">
        <f aca="false">TEXT(B1983,"mmm-yyyy")</f>
        <v>Dec-2024</v>
      </c>
    </row>
    <row r="1984" customFormat="false" ht="57.75" hidden="false" customHeight="true" outlineLevel="0" collapsed="false">
      <c r="A1984" s="1" t="n">
        <v>1</v>
      </c>
      <c r="B1984" s="10" t="n">
        <v>45645</v>
      </c>
      <c r="C1984" s="11" t="s">
        <v>2002</v>
      </c>
      <c r="D1984" s="1" t="s">
        <v>9</v>
      </c>
      <c r="E1984" s="1" t="s">
        <v>20</v>
      </c>
      <c r="F1984" s="1" t="str">
        <f aca="false">TEXT(B1984,"mmm-yyyy")</f>
        <v>Dec-2024</v>
      </c>
    </row>
    <row r="1985" customFormat="false" ht="57.75" hidden="false" customHeight="true" outlineLevel="0" collapsed="false">
      <c r="A1985" s="1" t="n">
        <v>5</v>
      </c>
      <c r="B1985" s="10" t="n">
        <v>45633</v>
      </c>
      <c r="C1985" s="11" t="s">
        <v>2003</v>
      </c>
      <c r="D1985" s="1" t="s">
        <v>9</v>
      </c>
      <c r="E1985" s="1" t="s">
        <v>18</v>
      </c>
      <c r="F1985" s="1" t="str">
        <f aca="false">TEXT(B1985,"mmm-yyyy")</f>
        <v>Dec-2024</v>
      </c>
    </row>
    <row r="1986" customFormat="false" ht="57.75" hidden="false" customHeight="true" outlineLevel="0" collapsed="false">
      <c r="A1986" s="1" t="n">
        <v>1</v>
      </c>
      <c r="B1986" s="10" t="n">
        <v>45633</v>
      </c>
      <c r="C1986" s="11" t="s">
        <v>2004</v>
      </c>
      <c r="D1986" s="1" t="s">
        <v>9</v>
      </c>
      <c r="E1986" s="1" t="s">
        <v>20</v>
      </c>
      <c r="F1986" s="1" t="str">
        <f aca="false">TEXT(B1986,"mmm-yyyy")</f>
        <v>Dec-2024</v>
      </c>
    </row>
    <row r="1987" customFormat="false" ht="43.5" hidden="false" customHeight="true" outlineLevel="0" collapsed="false">
      <c r="A1987" s="1" t="n">
        <v>1</v>
      </c>
      <c r="B1987" s="10" t="n">
        <v>45634</v>
      </c>
      <c r="C1987" s="11" t="s">
        <v>2005</v>
      </c>
      <c r="D1987" s="1" t="s">
        <v>9</v>
      </c>
      <c r="E1987" s="1" t="s">
        <v>20</v>
      </c>
      <c r="F1987" s="1" t="str">
        <f aca="false">TEXT(B1987,"mmm-yyyy")</f>
        <v>Dec-2024</v>
      </c>
    </row>
    <row r="1988" customFormat="false" ht="28.5" hidden="false" customHeight="true" outlineLevel="0" collapsed="false">
      <c r="A1988" s="1" t="n">
        <v>4</v>
      </c>
      <c r="B1988" s="10" t="n">
        <v>45625</v>
      </c>
      <c r="C1988" s="11" t="s">
        <v>2006</v>
      </c>
      <c r="D1988" s="1" t="s">
        <v>9</v>
      </c>
      <c r="E1988" s="1" t="s">
        <v>18</v>
      </c>
      <c r="F1988" s="1" t="str">
        <f aca="false">TEXT(B1988,"mmm-yyyy")</f>
        <v>Nov-2024</v>
      </c>
    </row>
    <row r="1989" customFormat="false" ht="28.5" hidden="false" customHeight="true" outlineLevel="0" collapsed="false">
      <c r="A1989" s="1" t="n">
        <v>5</v>
      </c>
      <c r="B1989" s="10" t="n">
        <v>45633</v>
      </c>
      <c r="C1989" s="11" t="s">
        <v>2007</v>
      </c>
      <c r="D1989" s="1" t="s">
        <v>9</v>
      </c>
      <c r="E1989" s="1" t="s">
        <v>18</v>
      </c>
      <c r="F1989" s="1" t="str">
        <f aca="false">TEXT(B1989,"mmm-yyyy")</f>
        <v>Dec-2024</v>
      </c>
    </row>
    <row r="1990" customFormat="false" ht="130.5" hidden="false" customHeight="true" outlineLevel="0" collapsed="false">
      <c r="A1990" s="1" t="n">
        <v>1</v>
      </c>
      <c r="B1990" s="10" t="n">
        <v>45647</v>
      </c>
      <c r="C1990" s="11" t="s">
        <v>2008</v>
      </c>
      <c r="D1990" s="1" t="s">
        <v>9</v>
      </c>
      <c r="E1990" s="1" t="s">
        <v>20</v>
      </c>
      <c r="F1990" s="1" t="str">
        <f aca="false">TEXT(B1990,"mmm-yyyy")</f>
        <v>Dec-2024</v>
      </c>
    </row>
    <row r="1991" customFormat="false" ht="43.5" hidden="false" customHeight="true" outlineLevel="0" collapsed="false">
      <c r="A1991" s="1" t="n">
        <v>1</v>
      </c>
      <c r="B1991" s="10" t="n">
        <v>45629</v>
      </c>
      <c r="C1991" s="11" t="s">
        <v>2009</v>
      </c>
      <c r="D1991" s="1" t="s">
        <v>9</v>
      </c>
      <c r="E1991" s="1" t="s">
        <v>20</v>
      </c>
      <c r="F1991" s="1" t="str">
        <f aca="false">TEXT(B1991,"mmm-yyyy")</f>
        <v>Dec-2024</v>
      </c>
    </row>
    <row r="1992" customFormat="false" ht="57.75" hidden="false" customHeight="true" outlineLevel="0" collapsed="false">
      <c r="A1992" s="1" t="n">
        <v>1</v>
      </c>
      <c r="B1992" s="10" t="n">
        <v>45541</v>
      </c>
      <c r="C1992" s="11" t="s">
        <v>2010</v>
      </c>
      <c r="D1992" s="1" t="s">
        <v>9</v>
      </c>
      <c r="E1992" s="1" t="s">
        <v>20</v>
      </c>
      <c r="F1992" s="1" t="str">
        <f aca="false">TEXT(B1992,"mmm-yyyy")</f>
        <v>Sep-2024</v>
      </c>
    </row>
    <row r="1993" customFormat="false" ht="130.5" hidden="false" customHeight="true" outlineLevel="0" collapsed="false">
      <c r="A1993" s="1" t="n">
        <v>1</v>
      </c>
      <c r="B1993" s="10" t="n">
        <v>45575</v>
      </c>
      <c r="C1993" s="11" t="s">
        <v>2011</v>
      </c>
      <c r="D1993" s="1" t="s">
        <v>9</v>
      </c>
      <c r="E1993" s="1" t="s">
        <v>20</v>
      </c>
      <c r="F1993" s="1" t="str">
        <f aca="false">TEXT(B1993,"mmm-yyyy")</f>
        <v>Oct-2024</v>
      </c>
    </row>
    <row r="1994" customFormat="false" ht="87" hidden="false" customHeight="true" outlineLevel="0" collapsed="false">
      <c r="A1994" s="1" t="n">
        <v>1</v>
      </c>
      <c r="B1994" s="10" t="n">
        <v>45541</v>
      </c>
      <c r="C1994" s="11" t="s">
        <v>2012</v>
      </c>
      <c r="D1994" s="1" t="s">
        <v>9</v>
      </c>
      <c r="E1994" s="1" t="s">
        <v>20</v>
      </c>
      <c r="F1994" s="1" t="str">
        <f aca="false">TEXT(B1994,"mmm-yyyy")</f>
        <v>Sep-2024</v>
      </c>
    </row>
    <row r="1995" customFormat="false" ht="57.75" hidden="false" customHeight="true" outlineLevel="0" collapsed="false">
      <c r="A1995" s="1" t="n">
        <v>1</v>
      </c>
      <c r="B1995" s="10" t="n">
        <v>45636</v>
      </c>
      <c r="C1995" s="11" t="s">
        <v>2013</v>
      </c>
      <c r="D1995" s="1" t="s">
        <v>9</v>
      </c>
      <c r="E1995" s="1" t="s">
        <v>32</v>
      </c>
      <c r="F1995" s="1" t="str">
        <f aca="false">TEXT(B1995,"mmm-yyyy")</f>
        <v>Dec-2024</v>
      </c>
    </row>
    <row r="1996" customFormat="false" ht="57.75" hidden="false" customHeight="true" outlineLevel="0" collapsed="false">
      <c r="A1996" s="1" t="n">
        <v>1</v>
      </c>
      <c r="B1996" s="10" t="n">
        <v>45560</v>
      </c>
      <c r="C1996" s="11" t="s">
        <v>2014</v>
      </c>
      <c r="D1996" s="1" t="s">
        <v>9</v>
      </c>
      <c r="E1996" s="1" t="s">
        <v>20</v>
      </c>
      <c r="F1996" s="1" t="str">
        <f aca="false">TEXT(B1996,"mmm-yyyy")</f>
        <v>Sep-2024</v>
      </c>
    </row>
    <row r="1997" customFormat="false" ht="87" hidden="false" customHeight="true" outlineLevel="0" collapsed="false">
      <c r="A1997" s="1" t="n">
        <v>1</v>
      </c>
      <c r="B1997" s="10" t="n">
        <v>45631</v>
      </c>
      <c r="C1997" s="11" t="s">
        <v>2015</v>
      </c>
      <c r="D1997" s="1" t="s">
        <v>9</v>
      </c>
      <c r="E1997" s="1" t="s">
        <v>20</v>
      </c>
      <c r="F1997" s="1" t="str">
        <f aca="false">TEXT(B1997,"mmm-yyyy")</f>
        <v>Dec-2024</v>
      </c>
    </row>
    <row r="1998" customFormat="false" ht="28.5" hidden="false" customHeight="true" outlineLevel="0" collapsed="false">
      <c r="A1998" s="1" t="n">
        <v>1</v>
      </c>
      <c r="B1998" s="10" t="n">
        <v>45632</v>
      </c>
      <c r="C1998" s="11" t="s">
        <v>2016</v>
      </c>
      <c r="D1998" s="1" t="s">
        <v>9</v>
      </c>
      <c r="E1998" s="1" t="s">
        <v>20</v>
      </c>
      <c r="F1998" s="1" t="str">
        <f aca="false">TEXT(B1998,"mmm-yyyy")</f>
        <v>Dec-2024</v>
      </c>
    </row>
    <row r="1999" customFormat="false" ht="115.5" hidden="false" customHeight="true" outlineLevel="0" collapsed="false">
      <c r="A1999" s="1" t="n">
        <v>1</v>
      </c>
      <c r="B1999" s="10" t="n">
        <v>45544</v>
      </c>
      <c r="C1999" s="11" t="s">
        <v>2017</v>
      </c>
      <c r="D1999" s="1" t="s">
        <v>9</v>
      </c>
      <c r="E1999" s="1" t="s">
        <v>20</v>
      </c>
      <c r="F1999" s="1" t="str">
        <f aca="false">TEXT(B1999,"mmm-yyyy")</f>
        <v>Sep-2024</v>
      </c>
    </row>
    <row r="2000" customFormat="false" ht="87" hidden="false" customHeight="true" outlineLevel="0" collapsed="false">
      <c r="A2000" s="1" t="n">
        <v>1</v>
      </c>
      <c r="B2000" s="10" t="n">
        <v>45503</v>
      </c>
      <c r="C2000" s="11" t="s">
        <v>2018</v>
      </c>
      <c r="D2000" s="1" t="s">
        <v>9</v>
      </c>
      <c r="E2000" s="1" t="s">
        <v>18</v>
      </c>
      <c r="F2000" s="1" t="str">
        <f aca="false">TEXT(B2000,"mmm-yyyy")</f>
        <v>Jul-2024</v>
      </c>
    </row>
    <row r="2001" customFormat="false" ht="43.5" hidden="false" customHeight="true" outlineLevel="0" collapsed="false">
      <c r="A2001" s="1" t="n">
        <v>1</v>
      </c>
      <c r="B2001" s="10" t="n">
        <v>45634</v>
      </c>
      <c r="C2001" s="11" t="s">
        <v>2019</v>
      </c>
      <c r="D2001" s="1" t="s">
        <v>9</v>
      </c>
      <c r="E2001" s="1" t="s">
        <v>20</v>
      </c>
      <c r="F2001" s="1" t="str">
        <f aca="false">TEXT(B2001,"mmm-yyyy")</f>
        <v>Dec-2024</v>
      </c>
    </row>
    <row r="2002" customFormat="false" ht="130.5" hidden="false" customHeight="true" outlineLevel="0" collapsed="false">
      <c r="A2002" s="1" t="n">
        <v>1</v>
      </c>
      <c r="B2002" s="10" t="n">
        <v>45549</v>
      </c>
      <c r="C2002" s="11" t="s">
        <v>2020</v>
      </c>
      <c r="D2002" s="1" t="s">
        <v>9</v>
      </c>
      <c r="E2002" s="1" t="s">
        <v>20</v>
      </c>
      <c r="F2002" s="1" t="str">
        <f aca="false">TEXT(B2002,"mmm-yyyy")</f>
        <v>Sep-2024</v>
      </c>
    </row>
    <row r="2003" customFormat="false" ht="43.5" hidden="false" customHeight="true" outlineLevel="0" collapsed="false">
      <c r="A2003" s="1" t="n">
        <v>5</v>
      </c>
      <c r="B2003" s="10" t="n">
        <v>45632</v>
      </c>
      <c r="C2003" s="11" t="s">
        <v>2021</v>
      </c>
      <c r="D2003" s="1" t="s">
        <v>9</v>
      </c>
      <c r="E2003" s="1" t="s">
        <v>18</v>
      </c>
      <c r="F2003" s="1" t="str">
        <f aca="false">TEXT(B2003,"mmm-yyyy")</f>
        <v>Dec-2024</v>
      </c>
    </row>
    <row r="2004" customFormat="false" ht="43.5" hidden="false" customHeight="true" outlineLevel="0" collapsed="false">
      <c r="A2004" s="1" t="n">
        <v>1</v>
      </c>
      <c r="B2004" s="10" t="n">
        <v>45636</v>
      </c>
      <c r="C2004" s="11" t="s">
        <v>2022</v>
      </c>
      <c r="D2004" s="1" t="s">
        <v>9</v>
      </c>
      <c r="E2004" s="1" t="s">
        <v>20</v>
      </c>
      <c r="F2004" s="1" t="str">
        <f aca="false">TEXT(B2004,"mmm-yyyy")</f>
        <v>Dec-2024</v>
      </c>
    </row>
    <row r="2005" customFormat="false" ht="130.5" hidden="false" customHeight="true" outlineLevel="0" collapsed="false">
      <c r="A2005" s="1" t="n">
        <v>2</v>
      </c>
      <c r="B2005" s="10" t="n">
        <v>45508</v>
      </c>
      <c r="C2005" s="11" t="s">
        <v>2023</v>
      </c>
      <c r="D2005" s="1" t="s">
        <v>9</v>
      </c>
      <c r="E2005" s="1" t="s">
        <v>18</v>
      </c>
      <c r="F2005" s="1" t="str">
        <f aca="false">TEXT(B2005,"mmm-yyyy")</f>
        <v>Aug-2024</v>
      </c>
    </row>
    <row r="2006" customFormat="false" ht="57.75" hidden="false" customHeight="true" outlineLevel="0" collapsed="false">
      <c r="A2006" s="1" t="n">
        <v>1</v>
      </c>
      <c r="B2006" s="10" t="n">
        <v>45515</v>
      </c>
      <c r="C2006" s="11" t="s">
        <v>2024</v>
      </c>
      <c r="D2006" s="1" t="s">
        <v>9</v>
      </c>
      <c r="E2006" s="1" t="s">
        <v>20</v>
      </c>
      <c r="F2006" s="1" t="str">
        <f aca="false">TEXT(B2006,"mmm-yyyy")</f>
        <v>Aug-2024</v>
      </c>
    </row>
    <row r="2007" customFormat="false" ht="43.5" hidden="false" customHeight="true" outlineLevel="0" collapsed="false">
      <c r="A2007" s="1" t="n">
        <v>1</v>
      </c>
      <c r="B2007" s="10" t="n">
        <v>45635</v>
      </c>
      <c r="C2007" s="11" t="s">
        <v>2025</v>
      </c>
      <c r="D2007" s="1" t="s">
        <v>9</v>
      </c>
      <c r="E2007" s="1" t="s">
        <v>18</v>
      </c>
      <c r="F2007" s="1" t="str">
        <f aca="false">TEXT(B2007,"mmm-yyyy")</f>
        <v>Dec-2024</v>
      </c>
    </row>
    <row r="2008" customFormat="false" ht="43.5" hidden="false" customHeight="true" outlineLevel="0" collapsed="false">
      <c r="A2008" s="1" t="n">
        <v>1</v>
      </c>
      <c r="B2008" s="10" t="n">
        <v>45635</v>
      </c>
      <c r="C2008" s="11" t="s">
        <v>2026</v>
      </c>
      <c r="D2008" s="1" t="s">
        <v>9</v>
      </c>
      <c r="E2008" s="1" t="s">
        <v>32</v>
      </c>
      <c r="F2008" s="1" t="str">
        <f aca="false">TEXT(B2008,"mmm-yyyy")</f>
        <v>Dec-2024</v>
      </c>
    </row>
    <row r="2009" customFormat="false" ht="57.75" hidden="false" customHeight="true" outlineLevel="0" collapsed="false">
      <c r="A2009" s="1" t="n">
        <v>2</v>
      </c>
      <c r="B2009" s="10" t="n">
        <v>45501</v>
      </c>
      <c r="C2009" s="11" t="s">
        <v>2027</v>
      </c>
      <c r="D2009" s="1" t="s">
        <v>9</v>
      </c>
      <c r="E2009" s="1" t="s">
        <v>20</v>
      </c>
      <c r="F2009" s="1" t="str">
        <f aca="false">TEXT(B2009,"mmm-yyyy")</f>
        <v>Jul-2024</v>
      </c>
    </row>
    <row r="2010" customFormat="false" ht="87" hidden="false" customHeight="true" outlineLevel="0" collapsed="false">
      <c r="A2010" s="1" t="n">
        <v>1</v>
      </c>
      <c r="B2010" s="10" t="n">
        <v>45636</v>
      </c>
      <c r="C2010" s="11" t="s">
        <v>2028</v>
      </c>
      <c r="D2010" s="1" t="s">
        <v>9</v>
      </c>
      <c r="E2010" s="1" t="s">
        <v>20</v>
      </c>
      <c r="F2010" s="1" t="str">
        <f aca="false">TEXT(B2010,"mmm-yyyy")</f>
        <v>Dec-2024</v>
      </c>
    </row>
    <row r="2011" customFormat="false" ht="72" hidden="false" customHeight="true" outlineLevel="0" collapsed="false">
      <c r="A2011" s="1" t="n">
        <v>1</v>
      </c>
      <c r="B2011" s="10" t="n">
        <v>45605</v>
      </c>
      <c r="C2011" s="11" t="s">
        <v>2029</v>
      </c>
      <c r="D2011" s="1" t="s">
        <v>9</v>
      </c>
      <c r="E2011" s="1" t="s">
        <v>20</v>
      </c>
      <c r="F2011" s="1" t="str">
        <f aca="false">TEXT(B2011,"mmm-yyyy")</f>
        <v>Nov-2024</v>
      </c>
    </row>
    <row r="2012" customFormat="false" ht="72" hidden="false" customHeight="true" outlineLevel="0" collapsed="false">
      <c r="A2012" s="1" t="n">
        <v>1</v>
      </c>
      <c r="B2012" s="10" t="n">
        <v>45499</v>
      </c>
      <c r="C2012" s="11" t="s">
        <v>2030</v>
      </c>
      <c r="D2012" s="1" t="s">
        <v>9</v>
      </c>
      <c r="E2012" s="1" t="s">
        <v>20</v>
      </c>
      <c r="F2012" s="1" t="str">
        <f aca="false">TEXT(B2012,"mmm-yyyy")</f>
        <v>Jul-2024</v>
      </c>
    </row>
    <row r="2013" customFormat="false" ht="57.75" hidden="false" customHeight="true" outlineLevel="0" collapsed="false">
      <c r="A2013" s="1" t="n">
        <v>1</v>
      </c>
      <c r="B2013" s="10" t="n">
        <v>45555</v>
      </c>
      <c r="C2013" s="11" t="s">
        <v>2031</v>
      </c>
      <c r="D2013" s="1" t="s">
        <v>9</v>
      </c>
      <c r="E2013" s="1" t="s">
        <v>20</v>
      </c>
      <c r="F2013" s="1" t="str">
        <f aca="false">TEXT(B2013,"mmm-yyyy")</f>
        <v>Sep-2024</v>
      </c>
    </row>
    <row r="2014" customFormat="false" ht="130.5" hidden="false" customHeight="true" outlineLevel="0" collapsed="false">
      <c r="A2014" s="1" t="n">
        <v>1</v>
      </c>
      <c r="B2014" s="10" t="n">
        <v>45531</v>
      </c>
      <c r="C2014" s="11" t="s">
        <v>2032</v>
      </c>
      <c r="D2014" s="1" t="s">
        <v>9</v>
      </c>
      <c r="E2014" s="1" t="s">
        <v>20</v>
      </c>
      <c r="F2014" s="1" t="str">
        <f aca="false">TEXT(B2014,"mmm-yyyy")</f>
        <v>Aug-2024</v>
      </c>
    </row>
    <row r="2015" customFormat="false" ht="101.25" hidden="false" customHeight="true" outlineLevel="0" collapsed="false">
      <c r="A2015" s="1" t="n">
        <v>1</v>
      </c>
      <c r="B2015" s="10" t="n">
        <v>45573</v>
      </c>
      <c r="C2015" s="11" t="s">
        <v>2033</v>
      </c>
      <c r="D2015" s="1" t="s">
        <v>9</v>
      </c>
      <c r="E2015" s="1" t="s">
        <v>20</v>
      </c>
      <c r="F2015" s="1" t="str">
        <f aca="false">TEXT(B2015,"mmm-yyyy")</f>
        <v>Oct-2024</v>
      </c>
    </row>
    <row r="2016" customFormat="false" ht="87" hidden="false" customHeight="true" outlineLevel="0" collapsed="false">
      <c r="A2016" s="1" t="n">
        <v>1</v>
      </c>
      <c r="B2016" s="10" t="n">
        <v>45578</v>
      </c>
      <c r="C2016" s="11" t="s">
        <v>2034</v>
      </c>
      <c r="D2016" s="1" t="s">
        <v>9</v>
      </c>
      <c r="E2016" s="1" t="s">
        <v>18</v>
      </c>
      <c r="F2016" s="1" t="str">
        <f aca="false">TEXT(B2016,"mmm-yyyy")</f>
        <v>Oct-2024</v>
      </c>
    </row>
    <row r="2017" customFormat="false" ht="101.25" hidden="false" customHeight="true" outlineLevel="0" collapsed="false">
      <c r="A2017" s="1" t="n">
        <v>1</v>
      </c>
      <c r="B2017" s="10" t="n">
        <v>45555</v>
      </c>
      <c r="C2017" s="11" t="s">
        <v>2035</v>
      </c>
      <c r="D2017" s="1" t="s">
        <v>9</v>
      </c>
      <c r="E2017" s="1" t="s">
        <v>18</v>
      </c>
      <c r="F2017" s="1" t="str">
        <f aca="false">TEXT(B2017,"mmm-yyyy")</f>
        <v>Sep-2024</v>
      </c>
    </row>
    <row r="2018" customFormat="false" ht="130.5" hidden="false" customHeight="true" outlineLevel="0" collapsed="false">
      <c r="A2018" s="1" t="n">
        <v>1</v>
      </c>
      <c r="B2018" s="10" t="n">
        <v>45561</v>
      </c>
      <c r="C2018" s="11" t="s">
        <v>2036</v>
      </c>
      <c r="D2018" s="1" t="s">
        <v>9</v>
      </c>
      <c r="E2018" s="1" t="s">
        <v>20</v>
      </c>
      <c r="F2018" s="1" t="str">
        <f aca="false">TEXT(B2018,"mmm-yyyy")</f>
        <v>Sep-2024</v>
      </c>
    </row>
    <row r="2019" customFormat="false" ht="231.75" hidden="false" customHeight="true" outlineLevel="0" collapsed="false">
      <c r="A2019" s="1" t="n">
        <v>1</v>
      </c>
      <c r="B2019" s="10" t="n">
        <v>45539</v>
      </c>
      <c r="C2019" s="11" t="s">
        <v>2037</v>
      </c>
      <c r="D2019" s="1" t="s">
        <v>9</v>
      </c>
      <c r="E2019" s="1" t="s">
        <v>20</v>
      </c>
      <c r="F2019" s="1" t="str">
        <f aca="false">TEXT(B2019,"mmm-yyyy")</f>
        <v>Sep-2024</v>
      </c>
    </row>
    <row r="2020" customFormat="false" ht="115.5" hidden="false" customHeight="true" outlineLevel="0" collapsed="false">
      <c r="A2020" s="1" t="n">
        <v>1</v>
      </c>
      <c r="B2020" s="10" t="n">
        <v>45526</v>
      </c>
      <c r="C2020" s="11" t="s">
        <v>2038</v>
      </c>
      <c r="D2020" s="1" t="s">
        <v>9</v>
      </c>
      <c r="E2020" s="1" t="s">
        <v>20</v>
      </c>
      <c r="F2020" s="1" t="str">
        <f aca="false">TEXT(B2020,"mmm-yyyy")</f>
        <v>Aug-2024</v>
      </c>
    </row>
    <row r="2021" customFormat="false" ht="87" hidden="false" customHeight="true" outlineLevel="0" collapsed="false">
      <c r="A2021" s="1" t="n">
        <v>1</v>
      </c>
      <c r="B2021" s="10" t="n">
        <v>45529</v>
      </c>
      <c r="C2021" s="11" t="s">
        <v>2039</v>
      </c>
      <c r="D2021" s="1" t="s">
        <v>9</v>
      </c>
      <c r="E2021" s="1" t="s">
        <v>20</v>
      </c>
      <c r="F2021" s="1" t="str">
        <f aca="false">TEXT(B2021,"mmm-yyyy")</f>
        <v>Aug-2024</v>
      </c>
    </row>
    <row r="2022" customFormat="false" ht="72" hidden="false" customHeight="true" outlineLevel="0" collapsed="false">
      <c r="A2022" s="1" t="n">
        <v>1</v>
      </c>
      <c r="B2022" s="10" t="n">
        <v>45567</v>
      </c>
      <c r="C2022" s="11" t="s">
        <v>2040</v>
      </c>
      <c r="D2022" s="1" t="s">
        <v>9</v>
      </c>
      <c r="E2022" s="1" t="s">
        <v>20</v>
      </c>
      <c r="F2022" s="1" t="str">
        <f aca="false">TEXT(B2022,"mmm-yyyy")</f>
        <v>Oct-2024</v>
      </c>
    </row>
    <row r="2023" customFormat="false" ht="43.5" hidden="false" customHeight="true" outlineLevel="0" collapsed="false">
      <c r="A2023" s="1" t="n">
        <v>1</v>
      </c>
      <c r="B2023" s="10" t="n">
        <v>45629</v>
      </c>
      <c r="C2023" s="11" t="s">
        <v>2041</v>
      </c>
      <c r="D2023" s="1" t="s">
        <v>9</v>
      </c>
      <c r="E2023" s="1" t="s">
        <v>20</v>
      </c>
      <c r="F2023" s="1" t="str">
        <f aca="false">TEXT(B2023,"mmm-yyyy")</f>
        <v>Dec-2024</v>
      </c>
    </row>
    <row r="2024" customFormat="false" ht="57.75" hidden="false" customHeight="true" outlineLevel="0" collapsed="false">
      <c r="A2024" s="1" t="n">
        <v>1</v>
      </c>
      <c r="B2024" s="10" t="n">
        <v>45640</v>
      </c>
      <c r="C2024" s="11" t="s">
        <v>2042</v>
      </c>
      <c r="D2024" s="1" t="s">
        <v>9</v>
      </c>
      <c r="E2024" s="1" t="s">
        <v>20</v>
      </c>
      <c r="F2024" s="1" t="str">
        <f aca="false">TEXT(B2024,"mmm-yyyy")</f>
        <v>Dec-2024</v>
      </c>
    </row>
    <row r="2025" customFormat="false" ht="43.5" hidden="false" customHeight="true" outlineLevel="0" collapsed="false">
      <c r="A2025" s="1" t="n">
        <v>1</v>
      </c>
      <c r="B2025" s="10" t="n">
        <v>45653</v>
      </c>
      <c r="C2025" s="11" t="s">
        <v>2043</v>
      </c>
      <c r="D2025" s="1" t="s">
        <v>9</v>
      </c>
      <c r="E2025" s="1" t="s">
        <v>18</v>
      </c>
      <c r="F2025" s="1" t="str">
        <f aca="false">TEXT(B2025,"mmm-yyyy")</f>
        <v>Dec-2024</v>
      </c>
    </row>
    <row r="2026" customFormat="false" ht="72" hidden="false" customHeight="true" outlineLevel="0" collapsed="false">
      <c r="A2026" s="1" t="n">
        <v>2</v>
      </c>
      <c r="B2026" s="10" t="n">
        <v>45506</v>
      </c>
      <c r="C2026" s="11" t="s">
        <v>2044</v>
      </c>
      <c r="D2026" s="1" t="s">
        <v>9</v>
      </c>
      <c r="E2026" s="1" t="s">
        <v>18</v>
      </c>
      <c r="F2026" s="1" t="str">
        <f aca="false">TEXT(B2026,"mmm-yyyy")</f>
        <v>Aug-2024</v>
      </c>
    </row>
    <row r="2027" customFormat="false" ht="72" hidden="false" customHeight="true" outlineLevel="0" collapsed="false">
      <c r="A2027" s="1" t="n">
        <v>3</v>
      </c>
      <c r="B2027" s="10" t="n">
        <v>45546</v>
      </c>
      <c r="C2027" s="11" t="s">
        <v>2045</v>
      </c>
      <c r="D2027" s="1" t="s">
        <v>9</v>
      </c>
      <c r="E2027" s="1" t="s">
        <v>20</v>
      </c>
      <c r="F2027" s="1" t="str">
        <f aca="false">TEXT(B2027,"mmm-yyyy")</f>
        <v>Sep-2024</v>
      </c>
    </row>
    <row r="2028" customFormat="false" ht="101.25" hidden="false" customHeight="true" outlineLevel="0" collapsed="false">
      <c r="A2028" s="1" t="n">
        <v>4</v>
      </c>
      <c r="B2028" s="10" t="n">
        <v>45528</v>
      </c>
      <c r="C2028" s="11" t="s">
        <v>2046</v>
      </c>
      <c r="D2028" s="1" t="s">
        <v>9</v>
      </c>
      <c r="E2028" s="1" t="s">
        <v>32</v>
      </c>
      <c r="F2028" s="1" t="str">
        <f aca="false">TEXT(B2028,"mmm-yyyy")</f>
        <v>Aug-2024</v>
      </c>
    </row>
    <row r="2029" customFormat="false" ht="28.5" hidden="false" customHeight="true" outlineLevel="0" collapsed="false">
      <c r="A2029" s="1" t="n">
        <v>4</v>
      </c>
      <c r="B2029" s="10" t="n">
        <v>45618</v>
      </c>
      <c r="C2029" s="11" t="s">
        <v>2047</v>
      </c>
      <c r="D2029" s="1" t="s">
        <v>9</v>
      </c>
      <c r="E2029" s="1" t="s">
        <v>18</v>
      </c>
      <c r="F2029" s="1" t="str">
        <f aca="false">TEXT(B2029,"mmm-yyyy")</f>
        <v>Nov-2024</v>
      </c>
    </row>
    <row r="2030" customFormat="false" ht="115.5" hidden="false" customHeight="true" outlineLevel="0" collapsed="false">
      <c r="A2030" s="1" t="n">
        <v>1</v>
      </c>
      <c r="B2030" s="10" t="n">
        <v>45580</v>
      </c>
      <c r="C2030" s="11" t="s">
        <v>2048</v>
      </c>
      <c r="D2030" s="1" t="s">
        <v>9</v>
      </c>
      <c r="E2030" s="1" t="s">
        <v>18</v>
      </c>
      <c r="F2030" s="1" t="str">
        <f aca="false">TEXT(B2030,"mmm-yyyy")</f>
        <v>Oct-2024</v>
      </c>
    </row>
    <row r="2031" customFormat="false" ht="57.75" hidden="false" customHeight="true" outlineLevel="0" collapsed="false">
      <c r="A2031" s="1" t="n">
        <v>1</v>
      </c>
      <c r="B2031" s="10" t="n">
        <v>45627</v>
      </c>
      <c r="C2031" s="11" t="s">
        <v>2049</v>
      </c>
      <c r="D2031" s="1" t="s">
        <v>9</v>
      </c>
      <c r="E2031" s="1" t="s">
        <v>20</v>
      </c>
      <c r="F2031" s="1" t="str">
        <f aca="false">TEXT(B2031,"mmm-yyyy")</f>
        <v>Dec-2024</v>
      </c>
    </row>
    <row r="2032" customFormat="false" ht="28.5" hidden="false" customHeight="true" outlineLevel="0" collapsed="false">
      <c r="A2032" s="1" t="n">
        <v>3</v>
      </c>
      <c r="B2032" s="10" t="n">
        <v>45590</v>
      </c>
      <c r="C2032" s="11" t="s">
        <v>2050</v>
      </c>
      <c r="D2032" s="1" t="s">
        <v>9</v>
      </c>
      <c r="E2032" s="1" t="s">
        <v>20</v>
      </c>
      <c r="F2032" s="1" t="str">
        <f aca="false">TEXT(B2032,"mmm-yyyy")</f>
        <v>Oct-2024</v>
      </c>
    </row>
    <row r="2033" customFormat="false" ht="72" hidden="false" customHeight="true" outlineLevel="0" collapsed="false">
      <c r="A2033" s="1" t="n">
        <v>1</v>
      </c>
      <c r="B2033" s="10" t="n">
        <v>45617</v>
      </c>
      <c r="C2033" s="11" t="s">
        <v>2051</v>
      </c>
      <c r="D2033" s="1" t="s">
        <v>9</v>
      </c>
      <c r="E2033" s="1" t="s">
        <v>20</v>
      </c>
      <c r="F2033" s="1" t="str">
        <f aca="false">TEXT(B2033,"mmm-yyyy")</f>
        <v>Nov-2024</v>
      </c>
    </row>
    <row r="2034" customFormat="false" ht="87" hidden="false" customHeight="true" outlineLevel="0" collapsed="false">
      <c r="A2034" s="1" t="n">
        <v>5</v>
      </c>
      <c r="B2034" s="10" t="n">
        <v>45618</v>
      </c>
      <c r="C2034" s="11" t="s">
        <v>2052</v>
      </c>
      <c r="D2034" s="1" t="s">
        <v>9</v>
      </c>
      <c r="E2034" s="1" t="s">
        <v>18</v>
      </c>
      <c r="F2034" s="1" t="str">
        <f aca="false">TEXT(B2034,"mmm-yyyy")</f>
        <v>Nov-2024</v>
      </c>
    </row>
    <row r="2035" customFormat="false" ht="43.5" hidden="false" customHeight="true" outlineLevel="0" collapsed="false">
      <c r="A2035" s="1" t="n">
        <v>1</v>
      </c>
      <c r="B2035" s="10" t="n">
        <v>45615</v>
      </c>
      <c r="C2035" s="11" t="s">
        <v>2053</v>
      </c>
      <c r="D2035" s="1" t="s">
        <v>9</v>
      </c>
      <c r="E2035" s="1" t="s">
        <v>20</v>
      </c>
      <c r="F2035" s="1" t="str">
        <f aca="false">TEXT(B2035,"mmm-yyyy")</f>
        <v>Nov-2024</v>
      </c>
    </row>
    <row r="2036" customFormat="false" ht="43.5" hidden="false" customHeight="true" outlineLevel="0" collapsed="false">
      <c r="A2036" s="1" t="n">
        <v>1</v>
      </c>
      <c r="B2036" s="10" t="n">
        <v>45615</v>
      </c>
      <c r="C2036" s="11" t="s">
        <v>2054</v>
      </c>
      <c r="D2036" s="1" t="s">
        <v>9</v>
      </c>
      <c r="E2036" s="1" t="s">
        <v>18</v>
      </c>
      <c r="F2036" s="1" t="str">
        <f aca="false">TEXT(B2036,"mmm-yyyy")</f>
        <v>Nov-2024</v>
      </c>
    </row>
    <row r="2037" customFormat="false" ht="43.5" hidden="false" customHeight="true" outlineLevel="0" collapsed="false">
      <c r="A2037" s="1" t="n">
        <v>1</v>
      </c>
      <c r="B2037" s="10" t="n">
        <v>45606</v>
      </c>
      <c r="C2037" s="11" t="s">
        <v>2055</v>
      </c>
      <c r="D2037" s="1" t="s">
        <v>9</v>
      </c>
      <c r="E2037" s="1" t="s">
        <v>20</v>
      </c>
      <c r="F2037" s="1" t="str">
        <f aca="false">TEXT(B2037,"mmm-yyyy")</f>
        <v>Nov-2024</v>
      </c>
    </row>
    <row r="2038" customFormat="false" ht="57.75" hidden="false" customHeight="true" outlineLevel="0" collapsed="false">
      <c r="A2038" s="1" t="n">
        <v>1</v>
      </c>
      <c r="B2038" s="10" t="n">
        <v>45617</v>
      </c>
      <c r="C2038" s="11" t="s">
        <v>2056</v>
      </c>
      <c r="D2038" s="1" t="s">
        <v>9</v>
      </c>
      <c r="E2038" s="1" t="s">
        <v>20</v>
      </c>
      <c r="F2038" s="1" t="str">
        <f aca="false">TEXT(B2038,"mmm-yyyy")</f>
        <v>Nov-2024</v>
      </c>
    </row>
    <row r="2039" customFormat="false" ht="57.75" hidden="false" customHeight="true" outlineLevel="0" collapsed="false">
      <c r="A2039" s="1" t="n">
        <v>1</v>
      </c>
      <c r="B2039" s="10" t="n">
        <v>45597</v>
      </c>
      <c r="C2039" s="11" t="s">
        <v>2057</v>
      </c>
      <c r="D2039" s="1" t="s">
        <v>9</v>
      </c>
      <c r="E2039" s="1" t="s">
        <v>20</v>
      </c>
      <c r="F2039" s="1" t="str">
        <f aca="false">TEXT(B2039,"mmm-yyyy")</f>
        <v>Nov-2024</v>
      </c>
    </row>
    <row r="2040" customFormat="false" ht="28.5" hidden="false" customHeight="true" outlineLevel="0" collapsed="false">
      <c r="A2040" s="1" t="n">
        <v>5</v>
      </c>
      <c r="B2040" s="10" t="n">
        <v>45591</v>
      </c>
      <c r="C2040" s="11" t="s">
        <v>2058</v>
      </c>
      <c r="D2040" s="1" t="s">
        <v>9</v>
      </c>
      <c r="E2040" s="1" t="s">
        <v>18</v>
      </c>
      <c r="F2040" s="1" t="str">
        <f aca="false">TEXT(B2040,"mmm-yyyy")</f>
        <v>Oct-2024</v>
      </c>
    </row>
    <row r="2041" customFormat="false" ht="115.5" hidden="false" customHeight="true" outlineLevel="0" collapsed="false">
      <c r="A2041" s="1" t="n">
        <v>1</v>
      </c>
      <c r="B2041" s="10" t="n">
        <v>45617</v>
      </c>
      <c r="C2041" s="11" t="s">
        <v>2059</v>
      </c>
      <c r="D2041" s="1" t="s">
        <v>9</v>
      </c>
      <c r="E2041" s="1" t="s">
        <v>20</v>
      </c>
      <c r="F2041" s="1" t="str">
        <f aca="false">TEXT(B2041,"mmm-yyyy")</f>
        <v>Nov-2024</v>
      </c>
    </row>
    <row r="2042" customFormat="false" ht="43.5" hidden="false" customHeight="true" outlineLevel="0" collapsed="false">
      <c r="A2042" s="1" t="n">
        <v>1</v>
      </c>
      <c r="B2042" s="10" t="n">
        <v>45610</v>
      </c>
      <c r="C2042" s="11" t="s">
        <v>2060</v>
      </c>
      <c r="D2042" s="1" t="s">
        <v>9</v>
      </c>
      <c r="E2042" s="1" t="s">
        <v>18</v>
      </c>
      <c r="F2042" s="1" t="str">
        <f aca="false">TEXT(B2042,"mmm-yyyy")</f>
        <v>Nov-2024</v>
      </c>
    </row>
    <row r="2043" customFormat="false" ht="28.5" hidden="false" customHeight="true" outlineLevel="0" collapsed="false">
      <c r="A2043" s="1" t="n">
        <v>1</v>
      </c>
      <c r="B2043" s="10" t="n">
        <v>45604</v>
      </c>
      <c r="C2043" s="11" t="s">
        <v>2061</v>
      </c>
      <c r="D2043" s="1" t="s">
        <v>9</v>
      </c>
      <c r="E2043" s="1" t="s">
        <v>20</v>
      </c>
      <c r="F2043" s="1" t="str">
        <f aca="false">TEXT(B2043,"mmm-yyyy")</f>
        <v>Nov-2024</v>
      </c>
    </row>
    <row r="2044" customFormat="false" ht="28.5" hidden="false" customHeight="true" outlineLevel="0" collapsed="false">
      <c r="A2044" s="1" t="n">
        <v>1</v>
      </c>
      <c r="B2044" s="10" t="n">
        <v>45627</v>
      </c>
      <c r="C2044" s="11" t="s">
        <v>2062</v>
      </c>
      <c r="D2044" s="1" t="s">
        <v>9</v>
      </c>
      <c r="E2044" s="1" t="s">
        <v>20</v>
      </c>
      <c r="F2044" s="1" t="str">
        <f aca="false">TEXT(B2044,"mmm-yyyy")</f>
        <v>Dec-2024</v>
      </c>
    </row>
    <row r="2045" customFormat="false" ht="43.5" hidden="false" customHeight="true" outlineLevel="0" collapsed="false">
      <c r="A2045" s="1" t="n">
        <v>1</v>
      </c>
      <c r="B2045" s="10" t="n">
        <v>45613</v>
      </c>
      <c r="C2045" s="11" t="s">
        <v>2063</v>
      </c>
      <c r="D2045" s="1" t="s">
        <v>9</v>
      </c>
      <c r="E2045" s="1" t="s">
        <v>20</v>
      </c>
      <c r="F2045" s="1" t="str">
        <f aca="false">TEXT(B2045,"mmm-yyyy")</f>
        <v>Nov-2024</v>
      </c>
    </row>
    <row r="2046" customFormat="false" ht="43.5" hidden="false" customHeight="true" outlineLevel="0" collapsed="false">
      <c r="A2046" s="1" t="n">
        <v>1</v>
      </c>
      <c r="B2046" s="10" t="n">
        <v>45597</v>
      </c>
      <c r="C2046" s="11" t="s">
        <v>2064</v>
      </c>
      <c r="D2046" s="1" t="s">
        <v>9</v>
      </c>
      <c r="E2046" s="1" t="s">
        <v>20</v>
      </c>
      <c r="F2046" s="1" t="str">
        <f aca="false">TEXT(B2046,"mmm-yyyy")</f>
        <v>Nov-2024</v>
      </c>
    </row>
    <row r="2047" customFormat="false" ht="43.5" hidden="false" customHeight="true" outlineLevel="0" collapsed="false">
      <c r="A2047" s="1" t="n">
        <v>1</v>
      </c>
      <c r="B2047" s="10" t="n">
        <v>45592</v>
      </c>
      <c r="C2047" s="11" t="s">
        <v>2065</v>
      </c>
      <c r="D2047" s="1" t="s">
        <v>9</v>
      </c>
      <c r="E2047" s="1" t="s">
        <v>20</v>
      </c>
      <c r="F2047" s="1" t="str">
        <f aca="false">TEXT(B2047,"mmm-yyyy")</f>
        <v>Oct-2024</v>
      </c>
    </row>
    <row r="2048" customFormat="false" ht="28.5" hidden="false" customHeight="true" outlineLevel="0" collapsed="false">
      <c r="A2048" s="1" t="n">
        <v>1</v>
      </c>
      <c r="B2048" s="10" t="n">
        <v>45624</v>
      </c>
      <c r="C2048" s="11" t="s">
        <v>2066</v>
      </c>
      <c r="D2048" s="1" t="s">
        <v>9</v>
      </c>
      <c r="E2048" s="1" t="s">
        <v>32</v>
      </c>
      <c r="F2048" s="1" t="str">
        <f aca="false">TEXT(B2048,"mmm-yyyy")</f>
        <v>Nov-2024</v>
      </c>
    </row>
    <row r="2049" customFormat="false" ht="43.5" hidden="false" customHeight="true" outlineLevel="0" collapsed="false">
      <c r="A2049" s="1" t="n">
        <v>1</v>
      </c>
      <c r="B2049" s="10" t="n">
        <v>45589</v>
      </c>
      <c r="C2049" s="11" t="s">
        <v>2067</v>
      </c>
      <c r="D2049" s="1" t="s">
        <v>9</v>
      </c>
      <c r="E2049" s="1" t="s">
        <v>18</v>
      </c>
      <c r="F2049" s="1" t="str">
        <f aca="false">TEXT(B2049,"mmm-yyyy")</f>
        <v>Oct-2024</v>
      </c>
    </row>
    <row r="2050" customFormat="false" ht="115.5" hidden="false" customHeight="true" outlineLevel="0" collapsed="false">
      <c r="A2050" s="1" t="n">
        <v>1</v>
      </c>
      <c r="B2050" s="10" t="n">
        <v>45506</v>
      </c>
      <c r="C2050" s="11" t="s">
        <v>2068</v>
      </c>
      <c r="D2050" s="1" t="s">
        <v>9</v>
      </c>
      <c r="E2050" s="1" t="s">
        <v>20</v>
      </c>
      <c r="F2050" s="1" t="str">
        <f aca="false">TEXT(B2050,"mmm-yyyy")</f>
        <v>Aug-2024</v>
      </c>
    </row>
    <row r="2051" customFormat="false" ht="28.5" hidden="false" customHeight="true" outlineLevel="0" collapsed="false">
      <c r="A2051" s="1" t="n">
        <v>1</v>
      </c>
      <c r="B2051" s="10" t="n">
        <v>45609</v>
      </c>
      <c r="C2051" s="11" t="s">
        <v>2069</v>
      </c>
      <c r="D2051" s="1" t="s">
        <v>9</v>
      </c>
      <c r="E2051" s="1" t="s">
        <v>20</v>
      </c>
      <c r="F2051" s="1" t="str">
        <f aca="false">TEXT(B2051,"mmm-yyyy")</f>
        <v>Nov-2024</v>
      </c>
    </row>
    <row r="2052" customFormat="false" ht="43.5" hidden="false" customHeight="true" outlineLevel="0" collapsed="false">
      <c r="A2052" s="1" t="n">
        <v>1</v>
      </c>
      <c r="B2052" s="10" t="n">
        <v>45626</v>
      </c>
      <c r="C2052" s="11" t="s">
        <v>2070</v>
      </c>
      <c r="D2052" s="1" t="s">
        <v>9</v>
      </c>
      <c r="E2052" s="1" t="s">
        <v>20</v>
      </c>
      <c r="F2052" s="1" t="str">
        <f aca="false">TEXT(B2052,"mmm-yyyy")</f>
        <v>Nov-2024</v>
      </c>
    </row>
    <row r="2053" customFormat="false" ht="57.75" hidden="false" customHeight="true" outlineLevel="0" collapsed="false">
      <c r="A2053" s="1" t="n">
        <v>2</v>
      </c>
      <c r="B2053" s="10" t="n">
        <v>45590</v>
      </c>
      <c r="C2053" s="11" t="s">
        <v>2071</v>
      </c>
      <c r="D2053" s="1" t="s">
        <v>9</v>
      </c>
      <c r="E2053" s="1" t="s">
        <v>18</v>
      </c>
      <c r="F2053" s="1" t="str">
        <f aca="false">TEXT(B2053,"mmm-yyyy")</f>
        <v>Oct-2024</v>
      </c>
    </row>
    <row r="2054" customFormat="false" ht="28.5" hidden="false" customHeight="true" outlineLevel="0" collapsed="false">
      <c r="A2054" s="1" t="n">
        <v>1</v>
      </c>
      <c r="B2054" s="10" t="n">
        <v>45587</v>
      </c>
      <c r="C2054" s="11" t="s">
        <v>2072</v>
      </c>
      <c r="D2054" s="1" t="s">
        <v>9</v>
      </c>
      <c r="E2054" s="1" t="s">
        <v>20</v>
      </c>
      <c r="F2054" s="1" t="str">
        <f aca="false">TEXT(B2054,"mmm-yyyy")</f>
        <v>Oct-2024</v>
      </c>
    </row>
    <row r="2055" customFormat="false" ht="43.5" hidden="false" customHeight="true" outlineLevel="0" collapsed="false">
      <c r="A2055" s="1" t="n">
        <v>1</v>
      </c>
      <c r="B2055" s="10" t="n">
        <v>45591</v>
      </c>
      <c r="C2055" s="11" t="s">
        <v>2073</v>
      </c>
      <c r="D2055" s="1" t="s">
        <v>9</v>
      </c>
      <c r="E2055" s="1" t="s">
        <v>20</v>
      </c>
      <c r="F2055" s="1" t="str">
        <f aca="false">TEXT(B2055,"mmm-yyyy")</f>
        <v>Oct-2024</v>
      </c>
    </row>
    <row r="2056" customFormat="false" ht="57.75" hidden="false" customHeight="true" outlineLevel="0" collapsed="false">
      <c r="A2056" s="1" t="n">
        <v>5</v>
      </c>
      <c r="B2056" s="10" t="n">
        <v>45597</v>
      </c>
      <c r="C2056" s="11" t="s">
        <v>2074</v>
      </c>
      <c r="D2056" s="1" t="s">
        <v>9</v>
      </c>
      <c r="E2056" s="1" t="s">
        <v>18</v>
      </c>
      <c r="F2056" s="1" t="str">
        <f aca="false">TEXT(B2056,"mmm-yyyy")</f>
        <v>Nov-2024</v>
      </c>
    </row>
    <row r="2057" customFormat="false" ht="43.5" hidden="false" customHeight="true" outlineLevel="0" collapsed="false">
      <c r="A2057" s="1" t="n">
        <v>1</v>
      </c>
      <c r="B2057" s="10" t="n">
        <v>45605</v>
      </c>
      <c r="C2057" s="11" t="s">
        <v>2075</v>
      </c>
      <c r="D2057" s="1" t="s">
        <v>9</v>
      </c>
      <c r="E2057" s="1" t="s">
        <v>20</v>
      </c>
      <c r="F2057" s="1" t="str">
        <f aca="false">TEXT(B2057,"mmm-yyyy")</f>
        <v>Nov-2024</v>
      </c>
    </row>
    <row r="2058" customFormat="false" ht="43.5" hidden="false" customHeight="true" outlineLevel="0" collapsed="false">
      <c r="A2058" s="1" t="n">
        <v>1</v>
      </c>
      <c r="B2058" s="10" t="n">
        <v>45611</v>
      </c>
      <c r="C2058" s="11" t="s">
        <v>2076</v>
      </c>
      <c r="D2058" s="1" t="s">
        <v>9</v>
      </c>
      <c r="E2058" s="1" t="s">
        <v>20</v>
      </c>
      <c r="F2058" s="1" t="str">
        <f aca="false">TEXT(B2058,"mmm-yyyy")</f>
        <v>Nov-2024</v>
      </c>
    </row>
    <row r="2059" customFormat="false" ht="87" hidden="false" customHeight="true" outlineLevel="0" collapsed="false">
      <c r="A2059" s="1" t="n">
        <v>2</v>
      </c>
      <c r="B2059" s="10" t="n">
        <v>45499</v>
      </c>
      <c r="C2059" s="11" t="s">
        <v>2077</v>
      </c>
      <c r="D2059" s="1" t="s">
        <v>9</v>
      </c>
      <c r="E2059" s="1" t="s">
        <v>18</v>
      </c>
      <c r="F2059" s="1" t="str">
        <f aca="false">TEXT(B2059,"mmm-yyyy")</f>
        <v>Jul-2024</v>
      </c>
    </row>
    <row r="2060" customFormat="false" ht="43.5" hidden="false" customHeight="true" outlineLevel="0" collapsed="false">
      <c r="A2060" s="1" t="n">
        <v>5</v>
      </c>
      <c r="B2060" s="10" t="n">
        <v>45595</v>
      </c>
      <c r="C2060" s="11" t="s">
        <v>2078</v>
      </c>
      <c r="D2060" s="1" t="s">
        <v>9</v>
      </c>
      <c r="E2060" s="1" t="s">
        <v>18</v>
      </c>
      <c r="F2060" s="1" t="str">
        <f aca="false">TEXT(B2060,"mmm-yyyy")</f>
        <v>Oct-2024</v>
      </c>
    </row>
    <row r="2061" customFormat="false" ht="43.5" hidden="false" customHeight="true" outlineLevel="0" collapsed="false">
      <c r="A2061" s="1" t="n">
        <v>1</v>
      </c>
      <c r="B2061" s="10" t="n">
        <v>45601</v>
      </c>
      <c r="C2061" s="11" t="s">
        <v>2079</v>
      </c>
      <c r="D2061" s="1" t="s">
        <v>9</v>
      </c>
      <c r="E2061" s="1" t="s">
        <v>20</v>
      </c>
      <c r="F2061" s="1" t="str">
        <f aca="false">TEXT(B2061,"mmm-yyyy")</f>
        <v>Nov-2024</v>
      </c>
    </row>
    <row r="2062" customFormat="false" ht="57.75" hidden="false" customHeight="true" outlineLevel="0" collapsed="false">
      <c r="A2062" s="1" t="n">
        <v>1</v>
      </c>
      <c r="B2062" s="10" t="n">
        <v>45610</v>
      </c>
      <c r="C2062" s="11" t="s">
        <v>2080</v>
      </c>
      <c r="D2062" s="1" t="s">
        <v>9</v>
      </c>
      <c r="E2062" s="1" t="s">
        <v>20</v>
      </c>
      <c r="F2062" s="1" t="str">
        <f aca="false">TEXT(B2062,"mmm-yyyy")</f>
        <v>Nov-2024</v>
      </c>
    </row>
    <row r="2063" customFormat="false" ht="57.75" hidden="false" customHeight="true" outlineLevel="0" collapsed="false">
      <c r="A2063" s="1" t="n">
        <v>1</v>
      </c>
      <c r="B2063" s="10" t="n">
        <v>45510</v>
      </c>
      <c r="C2063" s="11" t="s">
        <v>2081</v>
      </c>
      <c r="D2063" s="1" t="s">
        <v>9</v>
      </c>
      <c r="E2063" s="1" t="s">
        <v>32</v>
      </c>
      <c r="F2063" s="1" t="str">
        <f aca="false">TEXT(B2063,"mmm-yyyy")</f>
        <v>Aug-2024</v>
      </c>
    </row>
    <row r="2064" customFormat="false" ht="57.75" hidden="false" customHeight="true" outlineLevel="0" collapsed="false">
      <c r="A2064" s="1" t="n">
        <v>5</v>
      </c>
      <c r="B2064" s="10" t="n">
        <v>45615</v>
      </c>
      <c r="C2064" s="11" t="s">
        <v>2082</v>
      </c>
      <c r="D2064" s="1" t="s">
        <v>9</v>
      </c>
      <c r="E2064" s="1" t="s">
        <v>18</v>
      </c>
      <c r="F2064" s="1" t="str">
        <f aca="false">TEXT(B2064,"mmm-yyyy")</f>
        <v>Nov-2024</v>
      </c>
    </row>
    <row r="2065" customFormat="false" ht="43.5" hidden="false" customHeight="true" outlineLevel="0" collapsed="false">
      <c r="A2065" s="1" t="n">
        <v>1</v>
      </c>
      <c r="B2065" s="10" t="n">
        <v>45606</v>
      </c>
      <c r="C2065" s="11" t="s">
        <v>2083</v>
      </c>
      <c r="D2065" s="1" t="s">
        <v>9</v>
      </c>
      <c r="E2065" s="1" t="s">
        <v>20</v>
      </c>
      <c r="F2065" s="1" t="str">
        <f aca="false">TEXT(B2065,"mmm-yyyy")</f>
        <v>Nov-2024</v>
      </c>
    </row>
    <row r="2066" customFormat="false" ht="43.5" hidden="false" customHeight="true" outlineLevel="0" collapsed="false">
      <c r="A2066" s="1" t="n">
        <v>1</v>
      </c>
      <c r="B2066" s="10" t="n">
        <v>45593</v>
      </c>
      <c r="C2066" s="11" t="s">
        <v>2084</v>
      </c>
      <c r="D2066" s="1" t="s">
        <v>9</v>
      </c>
      <c r="E2066" s="1" t="s">
        <v>20</v>
      </c>
      <c r="F2066" s="1" t="str">
        <f aca="false">TEXT(B2066,"mmm-yyyy")</f>
        <v>Oct-2024</v>
      </c>
    </row>
    <row r="2067" customFormat="false" ht="115.5" hidden="false" customHeight="true" outlineLevel="0" collapsed="false">
      <c r="A2067" s="1" t="n">
        <v>1</v>
      </c>
      <c r="B2067" s="10" t="n">
        <v>45514</v>
      </c>
      <c r="C2067" s="11" t="s">
        <v>2085</v>
      </c>
      <c r="D2067" s="1" t="s">
        <v>9</v>
      </c>
      <c r="E2067" s="1" t="s">
        <v>18</v>
      </c>
      <c r="F2067" s="1" t="str">
        <f aca="false">TEXT(B2067,"mmm-yyyy")</f>
        <v>Aug-2024</v>
      </c>
    </row>
    <row r="2068" customFormat="false" ht="43.5" hidden="false" customHeight="true" outlineLevel="0" collapsed="false">
      <c r="A2068" s="1" t="n">
        <v>1</v>
      </c>
      <c r="B2068" s="10" t="n">
        <v>45633</v>
      </c>
      <c r="C2068" s="11" t="s">
        <v>2086</v>
      </c>
      <c r="D2068" s="1" t="s">
        <v>9</v>
      </c>
      <c r="E2068" s="1" t="s">
        <v>20</v>
      </c>
      <c r="F2068" s="1" t="str">
        <f aca="false">TEXT(B2068,"mmm-yyyy")</f>
        <v>Dec-2024</v>
      </c>
    </row>
    <row r="2069" customFormat="false" ht="43.5" hidden="false" customHeight="true" outlineLevel="0" collapsed="false">
      <c r="A2069" s="1" t="n">
        <v>1</v>
      </c>
      <c r="B2069" s="10" t="n">
        <v>45602</v>
      </c>
      <c r="C2069" s="11" t="s">
        <v>2087</v>
      </c>
      <c r="D2069" s="1" t="s">
        <v>9</v>
      </c>
      <c r="E2069" s="1" t="s">
        <v>32</v>
      </c>
      <c r="F2069" s="1" t="str">
        <f aca="false">TEXT(B2069,"mmm-yyyy")</f>
        <v>Nov-2024</v>
      </c>
    </row>
    <row r="2070" customFormat="false" ht="43.5" hidden="false" customHeight="true" outlineLevel="0" collapsed="false">
      <c r="A2070" s="1" t="n">
        <v>1</v>
      </c>
      <c r="B2070" s="10" t="n">
        <v>45599</v>
      </c>
      <c r="C2070" s="11" t="s">
        <v>2088</v>
      </c>
      <c r="D2070" s="1" t="s">
        <v>9</v>
      </c>
      <c r="E2070" s="1" t="s">
        <v>20</v>
      </c>
      <c r="F2070" s="1" t="str">
        <f aca="false">TEXT(B2070,"mmm-yyyy")</f>
        <v>Nov-2024</v>
      </c>
    </row>
    <row r="2071" customFormat="false" ht="43.5" hidden="false" customHeight="true" outlineLevel="0" collapsed="false">
      <c r="A2071" s="1" t="n">
        <v>1</v>
      </c>
      <c r="B2071" s="10" t="n">
        <v>45590</v>
      </c>
      <c r="C2071" s="11" t="s">
        <v>2089</v>
      </c>
      <c r="D2071" s="1" t="s">
        <v>9</v>
      </c>
      <c r="E2071" s="1" t="s">
        <v>20</v>
      </c>
      <c r="F2071" s="1" t="str">
        <f aca="false">TEXT(B2071,"mmm-yyyy")</f>
        <v>Oct-2024</v>
      </c>
    </row>
    <row r="2072" customFormat="false" ht="43.5" hidden="false" customHeight="true" outlineLevel="0" collapsed="false">
      <c r="A2072" s="1" t="n">
        <v>3</v>
      </c>
      <c r="B2072" s="10" t="n">
        <v>45593</v>
      </c>
      <c r="C2072" s="11" t="s">
        <v>2090</v>
      </c>
      <c r="D2072" s="1" t="s">
        <v>9</v>
      </c>
      <c r="E2072" s="1" t="s">
        <v>32</v>
      </c>
      <c r="F2072" s="1" t="str">
        <f aca="false">TEXT(B2072,"mmm-yyyy")</f>
        <v>Oct-2024</v>
      </c>
    </row>
    <row r="2073" customFormat="false" ht="101.25" hidden="false" customHeight="true" outlineLevel="0" collapsed="false">
      <c r="A2073" s="1" t="n">
        <v>1</v>
      </c>
      <c r="B2073" s="10" t="n">
        <v>45620</v>
      </c>
      <c r="C2073" s="11" t="s">
        <v>2091</v>
      </c>
      <c r="D2073" s="1" t="s">
        <v>9</v>
      </c>
      <c r="E2073" s="1" t="s">
        <v>20</v>
      </c>
      <c r="F2073" s="1" t="str">
        <f aca="false">TEXT(B2073,"mmm-yyyy")</f>
        <v>Nov-2024</v>
      </c>
    </row>
    <row r="2074" customFormat="false" ht="101.25" hidden="false" customHeight="true" outlineLevel="0" collapsed="false">
      <c r="A2074" s="1" t="n">
        <v>1</v>
      </c>
      <c r="B2074" s="10" t="n">
        <v>45578</v>
      </c>
      <c r="C2074" s="11" t="s">
        <v>2092</v>
      </c>
      <c r="D2074" s="1" t="s">
        <v>9</v>
      </c>
      <c r="E2074" s="1" t="s">
        <v>18</v>
      </c>
      <c r="F2074" s="1" t="str">
        <f aca="false">TEXT(B2074,"mmm-yyyy")</f>
        <v>Oct-2024</v>
      </c>
    </row>
    <row r="2075" customFormat="false" ht="43.5" hidden="false" customHeight="true" outlineLevel="0" collapsed="false">
      <c r="A2075" s="1" t="n">
        <v>1</v>
      </c>
      <c r="B2075" s="10" t="n">
        <v>45595</v>
      </c>
      <c r="C2075" s="11" t="s">
        <v>2093</v>
      </c>
      <c r="D2075" s="1" t="s">
        <v>9</v>
      </c>
      <c r="E2075" s="1" t="s">
        <v>20</v>
      </c>
      <c r="F2075" s="1" t="str">
        <f aca="false">TEXT(B2075,"mmm-yyyy")</f>
        <v>Oct-2024</v>
      </c>
    </row>
    <row r="2076" customFormat="false" ht="43.5" hidden="false" customHeight="true" outlineLevel="0" collapsed="false">
      <c r="A2076" s="1" t="n">
        <v>1</v>
      </c>
      <c r="B2076" s="10" t="n">
        <v>45627</v>
      </c>
      <c r="C2076" s="11" t="s">
        <v>2094</v>
      </c>
      <c r="D2076" s="1" t="s">
        <v>9</v>
      </c>
      <c r="E2076" s="1" t="s">
        <v>20</v>
      </c>
      <c r="F2076" s="1" t="str">
        <f aca="false">TEXT(B2076,"mmm-yyyy")</f>
        <v>Dec-2024</v>
      </c>
    </row>
    <row r="2077" customFormat="false" ht="28.5" hidden="false" customHeight="true" outlineLevel="0" collapsed="false">
      <c r="A2077" s="1" t="n">
        <v>1</v>
      </c>
      <c r="B2077" s="10" t="n">
        <v>45653</v>
      </c>
      <c r="C2077" s="11" t="s">
        <v>2095</v>
      </c>
      <c r="D2077" s="1" t="s">
        <v>9</v>
      </c>
      <c r="E2077" s="1" t="s">
        <v>20</v>
      </c>
      <c r="F2077" s="1" t="str">
        <f aca="false">TEXT(B2077,"mmm-yyyy")</f>
        <v>Dec-2024</v>
      </c>
    </row>
    <row r="2078" customFormat="false" ht="43.5" hidden="false" customHeight="true" outlineLevel="0" collapsed="false">
      <c r="A2078" s="1" t="n">
        <v>1</v>
      </c>
      <c r="B2078" s="10" t="n">
        <v>45613</v>
      </c>
      <c r="C2078" s="11" t="s">
        <v>2096</v>
      </c>
      <c r="D2078" s="1" t="s">
        <v>9</v>
      </c>
      <c r="E2078" s="1" t="s">
        <v>20</v>
      </c>
      <c r="F2078" s="1" t="str">
        <f aca="false">TEXT(B2078,"mmm-yyyy")</f>
        <v>Nov-2024</v>
      </c>
    </row>
    <row r="2079" customFormat="false" ht="72" hidden="false" customHeight="true" outlineLevel="0" collapsed="false">
      <c r="A2079" s="1" t="n">
        <v>1</v>
      </c>
      <c r="B2079" s="10" t="n">
        <v>45617</v>
      </c>
      <c r="C2079" s="11" t="s">
        <v>2097</v>
      </c>
      <c r="D2079" s="1" t="s">
        <v>9</v>
      </c>
      <c r="E2079" s="1" t="s">
        <v>18</v>
      </c>
      <c r="F2079" s="1" t="str">
        <f aca="false">TEXT(B2079,"mmm-yyyy")</f>
        <v>Nov-2024</v>
      </c>
    </row>
    <row r="2080" customFormat="false" ht="28.5" hidden="false" customHeight="true" outlineLevel="0" collapsed="false">
      <c r="A2080" s="1" t="n">
        <v>4</v>
      </c>
      <c r="B2080" s="10" t="n">
        <v>45600</v>
      </c>
      <c r="C2080" s="11" t="s">
        <v>2098</v>
      </c>
      <c r="D2080" s="1" t="s">
        <v>9</v>
      </c>
      <c r="E2080" s="1" t="s">
        <v>18</v>
      </c>
      <c r="F2080" s="1" t="str">
        <f aca="false">TEXT(B2080,"mmm-yyyy")</f>
        <v>Nov-2024</v>
      </c>
    </row>
    <row r="2081" customFormat="false" ht="43.5" hidden="false" customHeight="true" outlineLevel="0" collapsed="false">
      <c r="A2081" s="1" t="n">
        <v>1</v>
      </c>
      <c r="B2081" s="10" t="n">
        <v>45589</v>
      </c>
      <c r="C2081" s="11" t="s">
        <v>2099</v>
      </c>
      <c r="D2081" s="1" t="s">
        <v>9</v>
      </c>
      <c r="E2081" s="1" t="s">
        <v>20</v>
      </c>
      <c r="F2081" s="1" t="str">
        <f aca="false">TEXT(B2081,"mmm-yyyy")</f>
        <v>Oct-2024</v>
      </c>
    </row>
    <row r="2082" customFormat="false" ht="72" hidden="false" customHeight="true" outlineLevel="0" collapsed="false">
      <c r="A2082" s="1" t="n">
        <v>1</v>
      </c>
      <c r="B2082" s="10" t="n">
        <v>45590</v>
      </c>
      <c r="C2082" s="11" t="s">
        <v>2100</v>
      </c>
      <c r="D2082" s="1" t="s">
        <v>9</v>
      </c>
      <c r="E2082" s="1" t="s">
        <v>20</v>
      </c>
      <c r="F2082" s="1" t="str">
        <f aca="false">TEXT(B2082,"mmm-yyyy")</f>
        <v>Oct-2024</v>
      </c>
    </row>
    <row r="2083" customFormat="false" ht="43.5" hidden="false" customHeight="true" outlineLevel="0" collapsed="false">
      <c r="A2083" s="1" t="n">
        <v>4</v>
      </c>
      <c r="B2083" s="10" t="n">
        <v>45589</v>
      </c>
      <c r="C2083" s="11" t="s">
        <v>2101</v>
      </c>
      <c r="D2083" s="1" t="s">
        <v>9</v>
      </c>
      <c r="E2083" s="1" t="s">
        <v>18</v>
      </c>
      <c r="F2083" s="1" t="str">
        <f aca="false">TEXT(B2083,"mmm-yyyy")</f>
        <v>Oct-2024</v>
      </c>
    </row>
    <row r="2084" customFormat="false" ht="87" hidden="false" customHeight="true" outlineLevel="0" collapsed="false">
      <c r="A2084" s="1" t="n">
        <v>1</v>
      </c>
      <c r="B2084" s="10" t="n">
        <v>45558</v>
      </c>
      <c r="C2084" s="11" t="s">
        <v>2102</v>
      </c>
      <c r="D2084" s="1" t="s">
        <v>9</v>
      </c>
      <c r="E2084" s="1" t="s">
        <v>20</v>
      </c>
      <c r="F2084" s="1" t="str">
        <f aca="false">TEXT(B2084,"mmm-yyyy")</f>
        <v>Sep-2024</v>
      </c>
    </row>
    <row r="2085" customFormat="false" ht="43.5" hidden="false" customHeight="true" outlineLevel="0" collapsed="false">
      <c r="A2085" s="1" t="n">
        <v>1</v>
      </c>
      <c r="B2085" s="10" t="n">
        <v>45610</v>
      </c>
      <c r="C2085" s="11" t="s">
        <v>2103</v>
      </c>
      <c r="D2085" s="1" t="s">
        <v>9</v>
      </c>
      <c r="E2085" s="1" t="s">
        <v>20</v>
      </c>
      <c r="F2085" s="1" t="str">
        <f aca="false">TEXT(B2085,"mmm-yyyy")</f>
        <v>Nov-2024</v>
      </c>
    </row>
    <row r="2086" customFormat="false" ht="43.5" hidden="false" customHeight="true" outlineLevel="0" collapsed="false">
      <c r="A2086" s="1" t="n">
        <v>1</v>
      </c>
      <c r="B2086" s="10" t="n">
        <v>45602</v>
      </c>
      <c r="C2086" s="11" t="s">
        <v>2104</v>
      </c>
      <c r="D2086" s="1" t="s">
        <v>9</v>
      </c>
      <c r="E2086" s="1" t="s">
        <v>20</v>
      </c>
      <c r="F2086" s="1" t="str">
        <f aca="false">TEXT(B2086,"mmm-yyyy")</f>
        <v>Nov-2024</v>
      </c>
    </row>
    <row r="2087" customFormat="false" ht="72" hidden="false" customHeight="true" outlineLevel="0" collapsed="false">
      <c r="A2087" s="1" t="n">
        <v>2</v>
      </c>
      <c r="B2087" s="10" t="n">
        <v>45565</v>
      </c>
      <c r="C2087" s="11" t="s">
        <v>2105</v>
      </c>
      <c r="D2087" s="1" t="s">
        <v>9</v>
      </c>
      <c r="E2087" s="1" t="s">
        <v>20</v>
      </c>
      <c r="F2087" s="1" t="str">
        <f aca="false">TEXT(B2087,"mmm-yyyy")</f>
        <v>Sep-2024</v>
      </c>
    </row>
    <row r="2088" customFormat="false" ht="28.5" hidden="false" customHeight="true" outlineLevel="0" collapsed="false">
      <c r="A2088" s="1" t="n">
        <v>1</v>
      </c>
      <c r="B2088" s="10" t="n">
        <v>45589</v>
      </c>
      <c r="C2088" s="11" t="s">
        <v>2106</v>
      </c>
      <c r="D2088" s="1" t="s">
        <v>9</v>
      </c>
      <c r="E2088" s="1" t="s">
        <v>18</v>
      </c>
      <c r="F2088" s="1" t="str">
        <f aca="false">TEXT(B2088,"mmm-yyyy")</f>
        <v>Oct-2024</v>
      </c>
    </row>
    <row r="2089" customFormat="false" ht="72" hidden="false" customHeight="true" outlineLevel="0" collapsed="false">
      <c r="A2089" s="1" t="n">
        <v>1</v>
      </c>
      <c r="B2089" s="10" t="n">
        <v>45619</v>
      </c>
      <c r="C2089" s="11" t="s">
        <v>2107</v>
      </c>
      <c r="D2089" s="1" t="s">
        <v>9</v>
      </c>
      <c r="E2089" s="1" t="s">
        <v>20</v>
      </c>
      <c r="F2089" s="1" t="str">
        <f aca="false">TEXT(B2089,"mmm-yyyy")</f>
        <v>Nov-2024</v>
      </c>
    </row>
    <row r="2090" customFormat="false" ht="43.5" hidden="false" customHeight="true" outlineLevel="0" collapsed="false">
      <c r="A2090" s="1" t="n">
        <v>1</v>
      </c>
      <c r="B2090" s="10" t="n">
        <v>45509</v>
      </c>
      <c r="C2090" s="11" t="s">
        <v>2108</v>
      </c>
      <c r="D2090" s="1" t="s">
        <v>9</v>
      </c>
      <c r="E2090" s="1" t="s">
        <v>20</v>
      </c>
      <c r="F2090" s="1" t="str">
        <f aca="false">TEXT(B2090,"mmm-yyyy")</f>
        <v>Aug-2024</v>
      </c>
    </row>
    <row r="2091" customFormat="false" ht="28.5" hidden="false" customHeight="true" outlineLevel="0" collapsed="false">
      <c r="A2091" s="1" t="n">
        <v>5</v>
      </c>
      <c r="B2091" s="10" t="n">
        <v>45615</v>
      </c>
      <c r="C2091" s="11" t="s">
        <v>2109</v>
      </c>
      <c r="D2091" s="1" t="s">
        <v>9</v>
      </c>
      <c r="E2091" s="1" t="s">
        <v>18</v>
      </c>
      <c r="F2091" s="1" t="str">
        <f aca="false">TEXT(B2091,"mmm-yyyy")</f>
        <v>Nov-2024</v>
      </c>
    </row>
    <row r="2092" customFormat="false" ht="43.5" hidden="false" customHeight="true" outlineLevel="0" collapsed="false">
      <c r="A2092" s="1" t="n">
        <v>1</v>
      </c>
      <c r="B2092" s="10" t="n">
        <v>45624</v>
      </c>
      <c r="C2092" s="11" t="s">
        <v>2110</v>
      </c>
      <c r="D2092" s="1" t="s">
        <v>9</v>
      </c>
      <c r="E2092" s="1" t="s">
        <v>32</v>
      </c>
      <c r="F2092" s="1" t="str">
        <f aca="false">TEXT(B2092,"mmm-yyyy")</f>
        <v>Nov-2024</v>
      </c>
    </row>
    <row r="2093" customFormat="false" ht="28.5" hidden="false" customHeight="true" outlineLevel="0" collapsed="false">
      <c r="A2093" s="1" t="n">
        <v>1</v>
      </c>
      <c r="B2093" s="10" t="n">
        <v>45624</v>
      </c>
      <c r="C2093" s="11" t="s">
        <v>2111</v>
      </c>
      <c r="D2093" s="1" t="s">
        <v>9</v>
      </c>
      <c r="E2093" s="1" t="s">
        <v>20</v>
      </c>
      <c r="F2093" s="1" t="str">
        <f aca="false">TEXT(B2093,"mmm-yyyy")</f>
        <v>Nov-2024</v>
      </c>
    </row>
    <row r="2094" customFormat="false" ht="28.5" hidden="false" customHeight="true" outlineLevel="0" collapsed="false">
      <c r="A2094" s="1" t="n">
        <v>1</v>
      </c>
      <c r="B2094" s="10" t="n">
        <v>45606</v>
      </c>
      <c r="C2094" s="11" t="s">
        <v>2112</v>
      </c>
      <c r="D2094" s="1" t="s">
        <v>9</v>
      </c>
      <c r="E2094" s="1" t="s">
        <v>20</v>
      </c>
      <c r="F2094" s="1" t="str">
        <f aca="false">TEXT(B2094,"mmm-yyyy")</f>
        <v>Nov-2024</v>
      </c>
    </row>
    <row r="2095" customFormat="false" ht="28.5" hidden="false" customHeight="true" outlineLevel="0" collapsed="false">
      <c r="A2095" s="1" t="n">
        <v>1</v>
      </c>
      <c r="B2095" s="10" t="n">
        <v>45629</v>
      </c>
      <c r="C2095" s="11" t="s">
        <v>2113</v>
      </c>
      <c r="D2095" s="1" t="s">
        <v>9</v>
      </c>
      <c r="E2095" s="1" t="s">
        <v>20</v>
      </c>
      <c r="F2095" s="1" t="str">
        <f aca="false">TEXT(B2095,"mmm-yyyy")</f>
        <v>Dec-2024</v>
      </c>
    </row>
    <row r="2096" customFormat="false" ht="72" hidden="false" customHeight="true" outlineLevel="0" collapsed="false">
      <c r="A2096" s="1" t="n">
        <v>1</v>
      </c>
      <c r="B2096" s="10" t="n">
        <v>45534</v>
      </c>
      <c r="C2096" s="11" t="s">
        <v>2114</v>
      </c>
      <c r="D2096" s="1" t="s">
        <v>9</v>
      </c>
      <c r="E2096" s="1" t="s">
        <v>18</v>
      </c>
      <c r="F2096" s="1" t="str">
        <f aca="false">TEXT(B2096,"mmm-yyyy")</f>
        <v>Aug-2024</v>
      </c>
    </row>
    <row r="2097" customFormat="false" ht="43.5" hidden="false" customHeight="true" outlineLevel="0" collapsed="false">
      <c r="A2097" s="1" t="n">
        <v>1</v>
      </c>
      <c r="B2097" s="10" t="n">
        <v>45650</v>
      </c>
      <c r="C2097" s="11" t="s">
        <v>2115</v>
      </c>
      <c r="D2097" s="1" t="s">
        <v>9</v>
      </c>
      <c r="E2097" s="1" t="s">
        <v>32</v>
      </c>
      <c r="F2097" s="1" t="str">
        <f aca="false">TEXT(B2097,"mmm-yyyy")</f>
        <v>Dec-2024</v>
      </c>
    </row>
    <row r="2098" customFormat="false" ht="72" hidden="false" customHeight="true" outlineLevel="0" collapsed="false">
      <c r="A2098" s="1" t="n">
        <v>1</v>
      </c>
      <c r="B2098" s="10" t="n">
        <v>45558</v>
      </c>
      <c r="C2098" s="11" t="s">
        <v>2116</v>
      </c>
      <c r="D2098" s="1" t="s">
        <v>9</v>
      </c>
      <c r="E2098" s="1" t="s">
        <v>20</v>
      </c>
      <c r="F2098" s="1" t="str">
        <f aca="false">TEXT(B2098,"mmm-yyyy")</f>
        <v>Sep-2024</v>
      </c>
    </row>
    <row r="2099" customFormat="false" ht="87" hidden="false" customHeight="true" outlineLevel="0" collapsed="false">
      <c r="A2099" s="1" t="n">
        <v>1</v>
      </c>
      <c r="B2099" s="10" t="n">
        <v>45567</v>
      </c>
      <c r="C2099" s="11" t="s">
        <v>2117</v>
      </c>
      <c r="D2099" s="1" t="s">
        <v>9</v>
      </c>
      <c r="E2099" s="1" t="s">
        <v>18</v>
      </c>
      <c r="F2099" s="1" t="str">
        <f aca="false">TEXT(B2099,"mmm-yyyy")</f>
        <v>Oct-2024</v>
      </c>
    </row>
    <row r="2100" customFormat="false" ht="28.5" hidden="false" customHeight="true" outlineLevel="0" collapsed="false">
      <c r="A2100" s="1" t="n">
        <v>1</v>
      </c>
      <c r="B2100" s="10" t="n">
        <v>45638</v>
      </c>
      <c r="C2100" s="11" t="s">
        <v>2118</v>
      </c>
      <c r="D2100" s="1" t="s">
        <v>9</v>
      </c>
      <c r="E2100" s="1" t="s">
        <v>20</v>
      </c>
      <c r="F2100" s="1" t="str">
        <f aca="false">TEXT(B2100,"mmm-yyyy")</f>
        <v>Dec-2024</v>
      </c>
    </row>
    <row r="2101" customFormat="false" ht="57.75" hidden="false" customHeight="true" outlineLevel="0" collapsed="false">
      <c r="A2101" s="1" t="n">
        <v>1</v>
      </c>
      <c r="B2101" s="10" t="n">
        <v>45503</v>
      </c>
      <c r="C2101" s="11" t="s">
        <v>2119</v>
      </c>
      <c r="D2101" s="1" t="s">
        <v>9</v>
      </c>
      <c r="E2101" s="1" t="s">
        <v>20</v>
      </c>
      <c r="F2101" s="1" t="str">
        <f aca="false">TEXT(B2101,"mmm-yyyy")</f>
        <v>Jul-2024</v>
      </c>
    </row>
    <row r="2102" customFormat="false" ht="87" hidden="false" customHeight="true" outlineLevel="0" collapsed="false">
      <c r="A2102" s="1" t="n">
        <v>1</v>
      </c>
      <c r="B2102" s="10" t="n">
        <v>45548</v>
      </c>
      <c r="C2102" s="11" t="s">
        <v>2120</v>
      </c>
      <c r="D2102" s="1" t="s">
        <v>9</v>
      </c>
      <c r="E2102" s="1" t="s">
        <v>18</v>
      </c>
      <c r="F2102" s="1" t="str">
        <f aca="false">TEXT(B2102,"mmm-yyyy")</f>
        <v>Sep-2024</v>
      </c>
    </row>
    <row r="2103" customFormat="false" ht="57.75" hidden="false" customHeight="true" outlineLevel="0" collapsed="false">
      <c r="A2103" s="1" t="n">
        <v>1</v>
      </c>
      <c r="B2103" s="10" t="n">
        <v>45628</v>
      </c>
      <c r="C2103" s="11" t="s">
        <v>2121</v>
      </c>
      <c r="D2103" s="1" t="s">
        <v>9</v>
      </c>
      <c r="E2103" s="1" t="s">
        <v>18</v>
      </c>
      <c r="F2103" s="1" t="str">
        <f aca="false">TEXT(B2103,"mmm-yyyy")</f>
        <v>Dec-2024</v>
      </c>
    </row>
    <row r="2104" customFormat="false" ht="87" hidden="false" customHeight="true" outlineLevel="0" collapsed="false">
      <c r="A2104" s="1" t="n">
        <v>1</v>
      </c>
      <c r="B2104" s="10" t="n">
        <v>45391</v>
      </c>
      <c r="C2104" s="11" t="s">
        <v>2122</v>
      </c>
      <c r="D2104" s="1" t="s">
        <v>9</v>
      </c>
      <c r="E2104" s="1" t="s">
        <v>18</v>
      </c>
      <c r="F2104" s="1" t="str">
        <f aca="false">TEXT(B2104,"mmm-yyyy")</f>
        <v>Apr-2024</v>
      </c>
    </row>
    <row r="2105" customFormat="false" ht="87" hidden="false" customHeight="true" outlineLevel="0" collapsed="false">
      <c r="A2105" s="1" t="n">
        <v>1</v>
      </c>
      <c r="B2105" s="10" t="n">
        <v>45507</v>
      </c>
      <c r="C2105" s="11" t="s">
        <v>2123</v>
      </c>
      <c r="D2105" s="1" t="s">
        <v>9</v>
      </c>
      <c r="E2105" s="1" t="s">
        <v>20</v>
      </c>
      <c r="F2105" s="1" t="str">
        <f aca="false">TEXT(B2105,"mmm-yyyy")</f>
        <v>Aug-2024</v>
      </c>
    </row>
    <row r="2106" customFormat="false" ht="57.75" hidden="false" customHeight="true" outlineLevel="0" collapsed="false">
      <c r="A2106" s="1" t="n">
        <v>5</v>
      </c>
      <c r="B2106" s="10" t="n">
        <v>45639</v>
      </c>
      <c r="C2106" s="11" t="s">
        <v>2124</v>
      </c>
      <c r="D2106" s="1" t="s">
        <v>9</v>
      </c>
      <c r="E2106" s="1" t="s">
        <v>20</v>
      </c>
      <c r="F2106" s="1" t="str">
        <f aca="false">TEXT(B2106,"mmm-yyyy")</f>
        <v>Dec-2024</v>
      </c>
    </row>
    <row r="2107" customFormat="false" ht="72" hidden="false" customHeight="true" outlineLevel="0" collapsed="false">
      <c r="A2107" s="1" t="n">
        <v>1</v>
      </c>
      <c r="B2107" s="10" t="n">
        <v>45653</v>
      </c>
      <c r="C2107" s="11" t="s">
        <v>2125</v>
      </c>
      <c r="D2107" s="1" t="s">
        <v>9</v>
      </c>
      <c r="E2107" s="1" t="s">
        <v>20</v>
      </c>
      <c r="F2107" s="1" t="str">
        <f aca="false">TEXT(B2107,"mmm-yyyy")</f>
        <v>Dec-2024</v>
      </c>
    </row>
    <row r="2108" customFormat="false" ht="72" hidden="false" customHeight="true" outlineLevel="0" collapsed="false">
      <c r="A2108" s="1" t="n">
        <v>1</v>
      </c>
      <c r="B2108" s="10" t="n">
        <v>45530</v>
      </c>
      <c r="C2108" s="11" t="s">
        <v>2126</v>
      </c>
      <c r="D2108" s="1" t="s">
        <v>9</v>
      </c>
      <c r="E2108" s="1" t="s">
        <v>20</v>
      </c>
      <c r="F2108" s="1" t="str">
        <f aca="false">TEXT(B2108,"mmm-yyyy")</f>
        <v>Aug-2024</v>
      </c>
    </row>
    <row r="2109" customFormat="false" ht="28.5" hidden="false" customHeight="true" outlineLevel="0" collapsed="false">
      <c r="A2109" s="1" t="n">
        <v>5</v>
      </c>
      <c r="B2109" s="10" t="n">
        <v>45651</v>
      </c>
      <c r="C2109" s="11" t="s">
        <v>2127</v>
      </c>
      <c r="D2109" s="1" t="s">
        <v>9</v>
      </c>
      <c r="E2109" s="1" t="s">
        <v>18</v>
      </c>
      <c r="F2109" s="1" t="str">
        <f aca="false">TEXT(B2109,"mmm-yyyy")</f>
        <v>Dec-2024</v>
      </c>
    </row>
    <row r="2110" customFormat="false" ht="115.5" hidden="false" customHeight="true" outlineLevel="0" collapsed="false">
      <c r="A2110" s="1" t="n">
        <v>1</v>
      </c>
      <c r="B2110" s="10" t="n">
        <v>45652</v>
      </c>
      <c r="C2110" s="11" t="s">
        <v>2128</v>
      </c>
      <c r="D2110" s="1" t="s">
        <v>9</v>
      </c>
      <c r="E2110" s="1" t="s">
        <v>20</v>
      </c>
      <c r="F2110" s="1" t="str">
        <f aca="false">TEXT(B2110,"mmm-yyyy")</f>
        <v>Dec-2024</v>
      </c>
    </row>
    <row r="2111" customFormat="false" ht="72" hidden="false" customHeight="true" outlineLevel="0" collapsed="false">
      <c r="A2111" s="1" t="n">
        <v>5</v>
      </c>
      <c r="B2111" s="10" t="n">
        <v>45650</v>
      </c>
      <c r="C2111" s="11" t="s">
        <v>2129</v>
      </c>
      <c r="D2111" s="1" t="s">
        <v>9</v>
      </c>
      <c r="E2111" s="1" t="s">
        <v>18</v>
      </c>
      <c r="F2111" s="1" t="str">
        <f aca="false">TEXT(B2111,"mmm-yyyy")</f>
        <v>Dec-2024</v>
      </c>
    </row>
    <row r="2112" customFormat="false" ht="43.5" hidden="false" customHeight="true" outlineLevel="0" collapsed="false">
      <c r="A2112" s="1" t="n">
        <v>5</v>
      </c>
      <c r="B2112" s="10" t="n">
        <v>45648</v>
      </c>
      <c r="C2112" s="11" t="s">
        <v>2130</v>
      </c>
      <c r="D2112" s="1" t="s">
        <v>9</v>
      </c>
      <c r="E2112" s="1" t="s">
        <v>18</v>
      </c>
      <c r="F2112" s="1" t="str">
        <f aca="false">TEXT(B2112,"mmm-yyyy")</f>
        <v>Dec-2024</v>
      </c>
    </row>
    <row r="2113" customFormat="false" ht="28.5" hidden="false" customHeight="true" outlineLevel="0" collapsed="false">
      <c r="A2113" s="1" t="n">
        <v>1</v>
      </c>
      <c r="B2113" s="10" t="n">
        <v>45656</v>
      </c>
      <c r="C2113" s="11" t="s">
        <v>2131</v>
      </c>
      <c r="D2113" s="1" t="s">
        <v>9</v>
      </c>
      <c r="E2113" s="1" t="s">
        <v>20</v>
      </c>
      <c r="F2113" s="1" t="str">
        <f aca="false">TEXT(B2113,"mmm-yyyy")</f>
        <v>Dec-2024</v>
      </c>
    </row>
    <row r="2114" customFormat="false" ht="57.75" hidden="false" customHeight="true" outlineLevel="0" collapsed="false">
      <c r="A2114" s="1" t="n">
        <v>1</v>
      </c>
      <c r="B2114" s="10" t="n">
        <v>45646</v>
      </c>
      <c r="C2114" s="11" t="s">
        <v>2132</v>
      </c>
      <c r="D2114" s="1" t="s">
        <v>9</v>
      </c>
      <c r="E2114" s="1" t="s">
        <v>20</v>
      </c>
      <c r="F2114" s="1" t="str">
        <f aca="false">TEXT(B2114,"mmm-yyyy")</f>
        <v>Dec-2024</v>
      </c>
    </row>
    <row r="2115" customFormat="false" ht="28.5" hidden="false" customHeight="true" outlineLevel="0" collapsed="false">
      <c r="A2115" s="1" t="n">
        <v>1</v>
      </c>
      <c r="B2115" s="10" t="n">
        <v>45655</v>
      </c>
      <c r="C2115" s="11" t="s">
        <v>2133</v>
      </c>
      <c r="D2115" s="1" t="s">
        <v>9</v>
      </c>
      <c r="E2115" s="1" t="s">
        <v>20</v>
      </c>
      <c r="F2115" s="1" t="str">
        <f aca="false">TEXT(B2115,"mmm-yyyy")</f>
        <v>Dec-2024</v>
      </c>
    </row>
    <row r="2116" customFormat="false" ht="43.5" hidden="false" customHeight="true" outlineLevel="0" collapsed="false">
      <c r="A2116" s="1" t="n">
        <v>1</v>
      </c>
      <c r="B2116" s="10" t="n">
        <v>45657</v>
      </c>
      <c r="C2116" s="11" t="s">
        <v>2134</v>
      </c>
      <c r="D2116" s="1" t="s">
        <v>9</v>
      </c>
      <c r="E2116" s="1" t="s">
        <v>20</v>
      </c>
      <c r="F2116" s="1" t="str">
        <f aca="false">TEXT(B2116,"mmm-yyyy")</f>
        <v>Dec-2024</v>
      </c>
    </row>
    <row r="2117" customFormat="false" ht="28.5" hidden="false" customHeight="true" outlineLevel="0" collapsed="false">
      <c r="A2117" s="1" t="n">
        <v>1</v>
      </c>
      <c r="B2117" s="10" t="n">
        <v>45651</v>
      </c>
      <c r="C2117" s="11" t="s">
        <v>2135</v>
      </c>
      <c r="D2117" s="1" t="s">
        <v>9</v>
      </c>
      <c r="E2117" s="1" t="s">
        <v>20</v>
      </c>
      <c r="F2117" s="1" t="str">
        <f aca="false">TEXT(B2117,"mmm-yyyy")</f>
        <v>Dec-2024</v>
      </c>
    </row>
    <row r="2118" customFormat="false" ht="28.5" hidden="false" customHeight="true" outlineLevel="0" collapsed="false">
      <c r="A2118" s="1" t="n">
        <v>4</v>
      </c>
      <c r="B2118" s="10" t="n">
        <v>45651</v>
      </c>
      <c r="C2118" s="11" t="s">
        <v>2136</v>
      </c>
      <c r="D2118" s="1" t="s">
        <v>9</v>
      </c>
      <c r="E2118" s="1" t="s">
        <v>18</v>
      </c>
      <c r="F2118" s="1" t="str">
        <f aca="false">TEXT(B2118,"mmm-yyyy")</f>
        <v>Dec-2024</v>
      </c>
    </row>
    <row r="2119" customFormat="false" ht="28.5" hidden="false" customHeight="true" outlineLevel="0" collapsed="false">
      <c r="A2119" s="1" t="n">
        <v>1</v>
      </c>
      <c r="B2119" s="10" t="n">
        <v>45646</v>
      </c>
      <c r="C2119" s="11" t="s">
        <v>2137</v>
      </c>
      <c r="D2119" s="1" t="s">
        <v>9</v>
      </c>
      <c r="E2119" s="1" t="s">
        <v>20</v>
      </c>
      <c r="F2119" s="1" t="str">
        <f aca="false">TEXT(B2119,"mmm-yyyy")</f>
        <v>Dec-2024</v>
      </c>
    </row>
    <row r="2120" customFormat="false" ht="28.5" hidden="false" customHeight="true" outlineLevel="0" collapsed="false">
      <c r="A2120" s="1" t="n">
        <v>1</v>
      </c>
      <c r="B2120" s="10" t="n">
        <v>45653</v>
      </c>
      <c r="C2120" s="11" t="s">
        <v>2138</v>
      </c>
      <c r="D2120" s="1" t="s">
        <v>9</v>
      </c>
      <c r="E2120" s="1" t="s">
        <v>20</v>
      </c>
      <c r="F2120" s="1" t="str">
        <f aca="false">TEXT(B2120,"mmm-yyyy")</f>
        <v>Dec-2024</v>
      </c>
    </row>
    <row r="2121" customFormat="false" ht="28.5" hidden="false" customHeight="true" outlineLevel="0" collapsed="false">
      <c r="A2121" s="1" t="n">
        <v>1</v>
      </c>
      <c r="B2121" s="10" t="n">
        <v>45653</v>
      </c>
      <c r="C2121" s="11" t="s">
        <v>2139</v>
      </c>
      <c r="D2121" s="1" t="s">
        <v>9</v>
      </c>
      <c r="E2121" s="1" t="s">
        <v>20</v>
      </c>
      <c r="F2121" s="1" t="str">
        <f aca="false">TEXT(B2121,"mmm-yyyy")</f>
        <v>Dec-2024</v>
      </c>
    </row>
    <row r="2122" customFormat="false" ht="28.5" hidden="false" customHeight="true" outlineLevel="0" collapsed="false">
      <c r="A2122" s="1" t="n">
        <v>1</v>
      </c>
      <c r="B2122" s="10" t="n">
        <v>45638</v>
      </c>
      <c r="C2122" s="11" t="s">
        <v>2140</v>
      </c>
      <c r="D2122" s="1" t="s">
        <v>9</v>
      </c>
      <c r="E2122" s="1" t="s">
        <v>20</v>
      </c>
      <c r="F2122" s="1" t="str">
        <f aca="false">TEXT(B2122,"mmm-yyyy")</f>
        <v>Dec-2024</v>
      </c>
    </row>
    <row r="2123" customFormat="false" ht="28.5" hidden="false" customHeight="true" outlineLevel="0" collapsed="false">
      <c r="A2123" s="1" t="n">
        <v>2</v>
      </c>
      <c r="B2123" s="10" t="n">
        <v>45652</v>
      </c>
      <c r="C2123" s="11" t="s">
        <v>2141</v>
      </c>
      <c r="D2123" s="1" t="s">
        <v>9</v>
      </c>
      <c r="E2123" s="1" t="s">
        <v>32</v>
      </c>
      <c r="F2123" s="1" t="str">
        <f aca="false">TEXT(B2123,"mmm-yyyy")</f>
        <v>Dec-2024</v>
      </c>
    </row>
    <row r="2124" customFormat="false" ht="72" hidden="false" customHeight="true" outlineLevel="0" collapsed="false">
      <c r="A2124" s="1" t="n">
        <v>1</v>
      </c>
      <c r="B2124" s="10" t="n">
        <v>45651</v>
      </c>
      <c r="C2124" s="11" t="s">
        <v>2142</v>
      </c>
      <c r="D2124" s="1" t="s">
        <v>9</v>
      </c>
      <c r="E2124" s="1" t="s">
        <v>20</v>
      </c>
      <c r="F2124" s="1" t="str">
        <f aca="false">TEXT(B2124,"mmm-yyyy")</f>
        <v>Dec-2024</v>
      </c>
    </row>
    <row r="2125" customFormat="false" ht="28.5" hidden="false" customHeight="true" outlineLevel="0" collapsed="false">
      <c r="A2125" s="1" t="n">
        <v>1</v>
      </c>
      <c r="B2125" s="10" t="n">
        <v>45638</v>
      </c>
      <c r="C2125" s="11" t="s">
        <v>2143</v>
      </c>
      <c r="D2125" s="1" t="s">
        <v>9</v>
      </c>
      <c r="E2125" s="1" t="s">
        <v>20</v>
      </c>
      <c r="F2125" s="1" t="str">
        <f aca="false">TEXT(B2125,"mmm-yyyy")</f>
        <v>Dec-2024</v>
      </c>
    </row>
    <row r="2126" customFormat="false" ht="43.5" hidden="false" customHeight="true" outlineLevel="0" collapsed="false">
      <c r="A2126" s="1" t="n">
        <v>1</v>
      </c>
      <c r="B2126" s="10" t="n">
        <v>45646</v>
      </c>
      <c r="C2126" s="11" t="s">
        <v>2144</v>
      </c>
      <c r="D2126" s="1" t="s">
        <v>9</v>
      </c>
      <c r="E2126" s="1" t="s">
        <v>20</v>
      </c>
      <c r="F2126" s="1" t="str">
        <f aca="false">TEXT(B2126,"mmm-yyyy")</f>
        <v>Dec-2024</v>
      </c>
    </row>
    <row r="2127" customFormat="false" ht="28.5" hidden="false" customHeight="true" outlineLevel="0" collapsed="false">
      <c r="A2127" s="1" t="n">
        <v>5</v>
      </c>
      <c r="B2127" s="10" t="n">
        <v>45647</v>
      </c>
      <c r="C2127" s="11" t="s">
        <v>2145</v>
      </c>
      <c r="D2127" s="1" t="s">
        <v>9</v>
      </c>
      <c r="E2127" s="1" t="s">
        <v>18</v>
      </c>
      <c r="F2127" s="1" t="str">
        <f aca="false">TEXT(B2127,"mmm-yyyy")</f>
        <v>Dec-2024</v>
      </c>
    </row>
    <row r="2128" customFormat="false" ht="28.5" hidden="false" customHeight="true" outlineLevel="0" collapsed="false">
      <c r="A2128" s="1" t="n">
        <v>1</v>
      </c>
      <c r="B2128" s="10" t="n">
        <v>45653</v>
      </c>
      <c r="C2128" s="11" t="s">
        <v>2146</v>
      </c>
      <c r="D2128" s="1" t="s">
        <v>9</v>
      </c>
      <c r="E2128" s="1" t="s">
        <v>18</v>
      </c>
      <c r="F2128" s="1" t="str">
        <f aca="false">TEXT(B2128,"mmm-yyyy")</f>
        <v>Dec-2024</v>
      </c>
    </row>
    <row r="2129" customFormat="false" ht="43.5" hidden="false" customHeight="true" outlineLevel="0" collapsed="false">
      <c r="A2129" s="1" t="n">
        <v>1</v>
      </c>
      <c r="B2129" s="10" t="n">
        <v>45635</v>
      </c>
      <c r="C2129" s="11" t="s">
        <v>2147</v>
      </c>
      <c r="D2129" s="1" t="s">
        <v>9</v>
      </c>
      <c r="E2129" s="1" t="s">
        <v>20</v>
      </c>
      <c r="F2129" s="1" t="str">
        <f aca="false">TEXT(B2129,"mmm-yyyy")</f>
        <v>Dec-2024</v>
      </c>
    </row>
    <row r="2130" customFormat="false" ht="43.5" hidden="false" customHeight="true" outlineLevel="0" collapsed="false">
      <c r="A2130" s="1" t="n">
        <v>1</v>
      </c>
      <c r="B2130" s="10" t="n">
        <v>45654</v>
      </c>
      <c r="C2130" s="11" t="s">
        <v>2148</v>
      </c>
      <c r="D2130" s="1" t="s">
        <v>9</v>
      </c>
      <c r="E2130" s="1" t="s">
        <v>20</v>
      </c>
      <c r="F2130" s="1" t="str">
        <f aca="false">TEXT(B2130,"mmm-yyyy")</f>
        <v>Dec-2024</v>
      </c>
    </row>
    <row r="2131" customFormat="false" ht="14.25" hidden="false" customHeight="true" outlineLevel="0" collapsed="false">
      <c r="A2131" s="1" t="n">
        <v>4</v>
      </c>
      <c r="B2131" s="10" t="n">
        <v>45649</v>
      </c>
      <c r="C2131" s="1" t="s">
        <v>2149</v>
      </c>
      <c r="D2131" s="1" t="s">
        <v>9</v>
      </c>
      <c r="E2131" s="1" t="s">
        <v>18</v>
      </c>
      <c r="F2131" s="1" t="str">
        <f aca="false">TEXT(B2131,"mmm-yyyy")</f>
        <v>Dec-2024</v>
      </c>
    </row>
    <row r="2132" customFormat="false" ht="28.5" hidden="false" customHeight="true" outlineLevel="0" collapsed="false">
      <c r="A2132" s="1" t="n">
        <v>1</v>
      </c>
      <c r="B2132" s="10" t="n">
        <v>45645</v>
      </c>
      <c r="C2132" s="11" t="s">
        <v>2150</v>
      </c>
      <c r="D2132" s="1" t="s">
        <v>9</v>
      </c>
      <c r="E2132" s="1" t="s">
        <v>20</v>
      </c>
      <c r="F2132" s="1" t="str">
        <f aca="false">TEXT(B2132,"mmm-yyyy")</f>
        <v>Dec-2024</v>
      </c>
    </row>
    <row r="2133" customFormat="false" ht="28.5" hidden="false" customHeight="true" outlineLevel="0" collapsed="false">
      <c r="A2133" s="1" t="n">
        <v>1</v>
      </c>
      <c r="B2133" s="10" t="n">
        <v>45654</v>
      </c>
      <c r="C2133" s="11" t="s">
        <v>2151</v>
      </c>
      <c r="D2133" s="1" t="s">
        <v>9</v>
      </c>
      <c r="E2133" s="1" t="s">
        <v>32</v>
      </c>
      <c r="F2133" s="1" t="str">
        <f aca="false">TEXT(B2133,"mmm-yyyy")</f>
        <v>Dec-2024</v>
      </c>
    </row>
    <row r="2134" customFormat="false" ht="28.5" hidden="false" customHeight="true" outlineLevel="0" collapsed="false">
      <c r="A2134" s="1" t="n">
        <v>1</v>
      </c>
      <c r="B2134" s="10" t="n">
        <v>45634</v>
      </c>
      <c r="C2134" s="11" t="s">
        <v>2152</v>
      </c>
      <c r="D2134" s="1" t="s">
        <v>9</v>
      </c>
      <c r="E2134" s="1" t="s">
        <v>20</v>
      </c>
      <c r="F2134" s="1" t="str">
        <f aca="false">TEXT(B2134,"mmm-yyyy")</f>
        <v>Dec-2024</v>
      </c>
    </row>
    <row r="2135" customFormat="false" ht="43.5" hidden="false" customHeight="true" outlineLevel="0" collapsed="false">
      <c r="A2135" s="1" t="n">
        <v>1</v>
      </c>
      <c r="B2135" s="10" t="n">
        <v>45656</v>
      </c>
      <c r="C2135" s="11" t="s">
        <v>2153</v>
      </c>
      <c r="D2135" s="1" t="s">
        <v>9</v>
      </c>
      <c r="E2135" s="1" t="s">
        <v>20</v>
      </c>
      <c r="F2135" s="1" t="str">
        <f aca="false">TEXT(B2135,"mmm-yyyy")</f>
        <v>Dec-2024</v>
      </c>
    </row>
    <row r="2136" customFormat="false" ht="43.5" hidden="false" customHeight="true" outlineLevel="0" collapsed="false">
      <c r="A2136" s="1" t="n">
        <v>1</v>
      </c>
      <c r="B2136" s="10" t="n">
        <v>45645</v>
      </c>
      <c r="C2136" s="11" t="s">
        <v>2154</v>
      </c>
      <c r="D2136" s="1" t="s">
        <v>9</v>
      </c>
      <c r="E2136" s="1" t="s">
        <v>20</v>
      </c>
      <c r="F2136" s="1" t="str">
        <f aca="false">TEXT(B2136,"mmm-yyyy")</f>
        <v>Dec-2024</v>
      </c>
    </row>
    <row r="2137" customFormat="false" ht="57.75" hidden="false" customHeight="true" outlineLevel="0" collapsed="false">
      <c r="A2137" s="1" t="n">
        <v>1</v>
      </c>
      <c r="B2137" s="10" t="n">
        <v>45645</v>
      </c>
      <c r="C2137" s="11" t="s">
        <v>2155</v>
      </c>
      <c r="D2137" s="1" t="s">
        <v>9</v>
      </c>
      <c r="E2137" s="1" t="s">
        <v>32</v>
      </c>
      <c r="F2137" s="1" t="str">
        <f aca="false">TEXT(B2137,"mmm-yyyy")</f>
        <v>Dec-2024</v>
      </c>
    </row>
    <row r="2138" customFormat="false" ht="28.5" hidden="false" customHeight="true" outlineLevel="0" collapsed="false">
      <c r="A2138" s="1" t="n">
        <v>1</v>
      </c>
      <c r="B2138" s="10" t="n">
        <v>45654</v>
      </c>
      <c r="C2138" s="11" t="s">
        <v>2156</v>
      </c>
      <c r="D2138" s="1" t="s">
        <v>9</v>
      </c>
      <c r="E2138" s="1" t="s">
        <v>32</v>
      </c>
      <c r="F2138" s="1" t="str">
        <f aca="false">TEXT(B2138,"mmm-yyyy")</f>
        <v>Dec-2024</v>
      </c>
    </row>
    <row r="2139" customFormat="false" ht="43.5" hidden="false" customHeight="true" outlineLevel="0" collapsed="false">
      <c r="A2139" s="1" t="n">
        <v>1</v>
      </c>
      <c r="B2139" s="10" t="n">
        <v>45641</v>
      </c>
      <c r="C2139" s="11" t="s">
        <v>2157</v>
      </c>
      <c r="D2139" s="1" t="s">
        <v>9</v>
      </c>
      <c r="E2139" s="1" t="s">
        <v>20</v>
      </c>
      <c r="F2139" s="1" t="str">
        <f aca="false">TEXT(B2139,"mmm-yyyy")</f>
        <v>Dec-2024</v>
      </c>
    </row>
    <row r="2140" customFormat="false" ht="57.75" hidden="false" customHeight="true" outlineLevel="0" collapsed="false">
      <c r="A2140" s="1" t="n">
        <v>1</v>
      </c>
      <c r="B2140" s="10" t="n">
        <v>45654</v>
      </c>
      <c r="C2140" s="11" t="s">
        <v>2158</v>
      </c>
      <c r="D2140" s="1" t="s">
        <v>9</v>
      </c>
      <c r="E2140" s="1" t="s">
        <v>20</v>
      </c>
      <c r="F2140" s="1" t="str">
        <f aca="false">TEXT(B2140,"mmm-yyyy")</f>
        <v>Dec-2024</v>
      </c>
    </row>
    <row r="2141" customFormat="false" ht="28.5" hidden="false" customHeight="true" outlineLevel="0" collapsed="false">
      <c r="A2141" s="1" t="n">
        <v>1</v>
      </c>
      <c r="B2141" s="10" t="n">
        <v>45650</v>
      </c>
      <c r="C2141" s="11" t="s">
        <v>2159</v>
      </c>
      <c r="D2141" s="1" t="s">
        <v>9</v>
      </c>
      <c r="E2141" s="1" t="s">
        <v>32</v>
      </c>
      <c r="F2141" s="1" t="str">
        <f aca="false">TEXT(B2141,"mmm-yyyy")</f>
        <v>Dec-2024</v>
      </c>
    </row>
    <row r="2142" customFormat="false" ht="43.5" hidden="false" customHeight="true" outlineLevel="0" collapsed="false">
      <c r="A2142" s="1" t="n">
        <v>1</v>
      </c>
      <c r="B2142" s="10" t="n">
        <v>45643</v>
      </c>
      <c r="C2142" s="11" t="s">
        <v>2160</v>
      </c>
      <c r="D2142" s="1" t="s">
        <v>9</v>
      </c>
      <c r="E2142" s="1" t="s">
        <v>20</v>
      </c>
      <c r="F2142" s="1" t="str">
        <f aca="false">TEXT(B2142,"mmm-yyyy")</f>
        <v>Dec-2024</v>
      </c>
    </row>
    <row r="2143" customFormat="false" ht="28.5" hidden="false" customHeight="true" outlineLevel="0" collapsed="false">
      <c r="A2143" s="1" t="n">
        <v>1</v>
      </c>
      <c r="B2143" s="10" t="n">
        <v>45656</v>
      </c>
      <c r="C2143" s="11" t="s">
        <v>2161</v>
      </c>
      <c r="D2143" s="1" t="s">
        <v>9</v>
      </c>
      <c r="E2143" s="1" t="s">
        <v>18</v>
      </c>
      <c r="F2143" s="1" t="str">
        <f aca="false">TEXT(B2143,"mmm-yyyy")</f>
        <v>Dec-2024</v>
      </c>
    </row>
    <row r="2144" customFormat="false" ht="28.5" hidden="false" customHeight="true" outlineLevel="0" collapsed="false">
      <c r="A2144" s="1" t="n">
        <v>1</v>
      </c>
      <c r="B2144" s="10" t="n">
        <v>45639</v>
      </c>
      <c r="C2144" s="11" t="s">
        <v>2162</v>
      </c>
      <c r="D2144" s="1" t="s">
        <v>9</v>
      </c>
      <c r="E2144" s="1" t="s">
        <v>20</v>
      </c>
      <c r="F2144" s="1" t="str">
        <f aca="false">TEXT(B2144,"mmm-yyyy")</f>
        <v>Dec-2024</v>
      </c>
    </row>
    <row r="2145" customFormat="false" ht="57.75" hidden="false" customHeight="true" outlineLevel="0" collapsed="false">
      <c r="A2145" s="1" t="n">
        <v>5</v>
      </c>
      <c r="B2145" s="10" t="n">
        <v>45655</v>
      </c>
      <c r="C2145" s="11" t="s">
        <v>2163</v>
      </c>
      <c r="D2145" s="1" t="s">
        <v>9</v>
      </c>
      <c r="E2145" s="1" t="s">
        <v>18</v>
      </c>
      <c r="F2145" s="1" t="str">
        <f aca="false">TEXT(B2145,"mmm-yyyy")</f>
        <v>Dec-2024</v>
      </c>
    </row>
    <row r="2146" customFormat="false" ht="43.5" hidden="false" customHeight="true" outlineLevel="0" collapsed="false">
      <c r="A2146" s="1" t="n">
        <v>1</v>
      </c>
      <c r="B2146" s="10" t="n">
        <v>45646</v>
      </c>
      <c r="C2146" s="11" t="s">
        <v>2164</v>
      </c>
      <c r="D2146" s="1" t="s">
        <v>9</v>
      </c>
      <c r="E2146" s="1" t="s">
        <v>18</v>
      </c>
      <c r="F2146" s="1" t="str">
        <f aca="false">TEXT(B2146,"mmm-yyyy")</f>
        <v>Dec-2024</v>
      </c>
    </row>
    <row r="2147" customFormat="false" ht="43.5" hidden="false" customHeight="true" outlineLevel="0" collapsed="false">
      <c r="A2147" s="1" t="n">
        <v>1</v>
      </c>
      <c r="B2147" s="10" t="n">
        <v>45652</v>
      </c>
      <c r="C2147" s="11" t="s">
        <v>2165</v>
      </c>
      <c r="D2147" s="1" t="s">
        <v>9</v>
      </c>
      <c r="E2147" s="1" t="s">
        <v>18</v>
      </c>
      <c r="F2147" s="1" t="str">
        <f aca="false">TEXT(B2147,"mmm-yyyy")</f>
        <v>Dec-2024</v>
      </c>
    </row>
    <row r="2148" customFormat="false" ht="57.75" hidden="false" customHeight="true" outlineLevel="0" collapsed="false">
      <c r="A2148" s="1" t="n">
        <v>4</v>
      </c>
      <c r="B2148" s="10" t="n">
        <v>45645</v>
      </c>
      <c r="C2148" s="11" t="s">
        <v>2166</v>
      </c>
      <c r="D2148" s="1" t="s">
        <v>9</v>
      </c>
      <c r="E2148" s="1" t="s">
        <v>18</v>
      </c>
      <c r="F2148" s="1" t="str">
        <f aca="false">TEXT(B2148,"mmm-yyyy")</f>
        <v>Dec-2024</v>
      </c>
    </row>
    <row r="2149" customFormat="false" ht="28.5" hidden="false" customHeight="true" outlineLevel="0" collapsed="false">
      <c r="A2149" s="1" t="n">
        <v>1</v>
      </c>
      <c r="B2149" s="10" t="n">
        <v>45643</v>
      </c>
      <c r="C2149" s="11" t="s">
        <v>2167</v>
      </c>
      <c r="D2149" s="1" t="s">
        <v>9</v>
      </c>
      <c r="E2149" s="1" t="s">
        <v>20</v>
      </c>
      <c r="F2149" s="1" t="str">
        <f aca="false">TEXT(B2149,"mmm-yyyy")</f>
        <v>Dec-2024</v>
      </c>
    </row>
    <row r="2150" customFormat="false" ht="14.25" hidden="false" customHeight="true" outlineLevel="0" collapsed="false">
      <c r="A2150" s="1" t="n">
        <v>1</v>
      </c>
      <c r="B2150" s="10" t="n">
        <v>45655</v>
      </c>
      <c r="C2150" s="1" t="s">
        <v>2168</v>
      </c>
      <c r="D2150" s="1" t="s">
        <v>9</v>
      </c>
      <c r="E2150" s="1" t="s">
        <v>20</v>
      </c>
      <c r="F2150" s="1" t="str">
        <f aca="false">TEXT(B2150,"mmm-yyyy")</f>
        <v>Dec-2024</v>
      </c>
    </row>
    <row r="2151" customFormat="false" ht="28.5" hidden="false" customHeight="true" outlineLevel="0" collapsed="false">
      <c r="A2151" s="1" t="n">
        <v>1</v>
      </c>
      <c r="B2151" s="10" t="n">
        <v>45656</v>
      </c>
      <c r="C2151" s="11" t="s">
        <v>2169</v>
      </c>
      <c r="D2151" s="1" t="s">
        <v>9</v>
      </c>
      <c r="E2151" s="1" t="s">
        <v>20</v>
      </c>
      <c r="F2151" s="1" t="str">
        <f aca="false">TEXT(B2151,"mmm-yyyy")</f>
        <v>Dec-2024</v>
      </c>
    </row>
    <row r="2152" customFormat="false" ht="28.5" hidden="false" customHeight="true" outlineLevel="0" collapsed="false">
      <c r="A2152" s="1" t="n">
        <v>1</v>
      </c>
      <c r="B2152" s="10" t="n">
        <v>45643</v>
      </c>
      <c r="C2152" s="11" t="s">
        <v>2170</v>
      </c>
      <c r="D2152" s="1" t="s">
        <v>9</v>
      </c>
      <c r="E2152" s="1" t="s">
        <v>18</v>
      </c>
      <c r="F2152" s="1" t="str">
        <f aca="false">TEXT(B2152,"mmm-yyyy")</f>
        <v>Dec-2024</v>
      </c>
    </row>
    <row r="2153" customFormat="false" ht="28.5" hidden="false" customHeight="true" outlineLevel="0" collapsed="false">
      <c r="A2153" s="1" t="n">
        <v>1</v>
      </c>
      <c r="B2153" s="10" t="n">
        <v>45646</v>
      </c>
      <c r="C2153" s="11" t="s">
        <v>2171</v>
      </c>
      <c r="D2153" s="1" t="s">
        <v>9</v>
      </c>
      <c r="E2153" s="1" t="s">
        <v>20</v>
      </c>
      <c r="F2153" s="1" t="str">
        <f aca="false">TEXT(B2153,"mmm-yyyy")</f>
        <v>Dec-2024</v>
      </c>
    </row>
    <row r="2154" customFormat="false" ht="28.5" hidden="false" customHeight="true" outlineLevel="0" collapsed="false">
      <c r="A2154" s="1" t="n">
        <v>5</v>
      </c>
      <c r="B2154" s="10" t="n">
        <v>45646</v>
      </c>
      <c r="C2154" s="11" t="s">
        <v>2172</v>
      </c>
      <c r="D2154" s="1" t="s">
        <v>9</v>
      </c>
      <c r="E2154" s="1" t="s">
        <v>18</v>
      </c>
      <c r="F2154" s="1" t="str">
        <f aca="false">TEXT(B2154,"mmm-yyyy")</f>
        <v>Dec-2024</v>
      </c>
    </row>
    <row r="2155" customFormat="false" ht="28.5" hidden="false" customHeight="true" outlineLevel="0" collapsed="false">
      <c r="A2155" s="1" t="n">
        <v>5</v>
      </c>
      <c r="B2155" s="10" t="n">
        <v>45648</v>
      </c>
      <c r="C2155" s="11" t="s">
        <v>2173</v>
      </c>
      <c r="D2155" s="1" t="s">
        <v>9</v>
      </c>
      <c r="E2155" s="1" t="s">
        <v>18</v>
      </c>
      <c r="F2155" s="1" t="str">
        <f aca="false">TEXT(B2155,"mmm-yyyy")</f>
        <v>Dec-2024</v>
      </c>
    </row>
    <row r="2156" customFormat="false" ht="43.5" hidden="false" customHeight="true" outlineLevel="0" collapsed="false">
      <c r="A2156" s="1" t="n">
        <v>1</v>
      </c>
      <c r="B2156" s="10" t="n">
        <v>45639</v>
      </c>
      <c r="C2156" s="11" t="s">
        <v>2174</v>
      </c>
      <c r="D2156" s="1" t="s">
        <v>9</v>
      </c>
      <c r="E2156" s="1" t="s">
        <v>18</v>
      </c>
      <c r="F2156" s="1" t="str">
        <f aca="false">TEXT(B2156,"mmm-yyyy")</f>
        <v>Dec-2024</v>
      </c>
    </row>
    <row r="2157" customFormat="false" ht="28.5" hidden="false" customHeight="true" outlineLevel="0" collapsed="false">
      <c r="A2157" s="1" t="n">
        <v>1</v>
      </c>
      <c r="B2157" s="10" t="n">
        <v>45651</v>
      </c>
      <c r="C2157" s="11" t="s">
        <v>2175</v>
      </c>
      <c r="D2157" s="1" t="s">
        <v>9</v>
      </c>
      <c r="E2157" s="1" t="s">
        <v>18</v>
      </c>
      <c r="F2157" s="1" t="str">
        <f aca="false">TEXT(B2157,"mmm-yyyy")</f>
        <v>Dec-2024</v>
      </c>
    </row>
    <row r="2158" customFormat="false" ht="28.5" hidden="false" customHeight="true" outlineLevel="0" collapsed="false">
      <c r="A2158" s="1" t="n">
        <v>1</v>
      </c>
      <c r="B2158" s="10" t="n">
        <v>45648</v>
      </c>
      <c r="C2158" s="11" t="s">
        <v>2176</v>
      </c>
      <c r="D2158" s="1" t="s">
        <v>9</v>
      </c>
      <c r="E2158" s="1" t="s">
        <v>20</v>
      </c>
      <c r="F2158" s="1" t="str">
        <f aca="false">TEXT(B2158,"mmm-yyyy")</f>
        <v>Dec-2024</v>
      </c>
    </row>
    <row r="2159" customFormat="false" ht="43.5" hidden="false" customHeight="true" outlineLevel="0" collapsed="false">
      <c r="A2159" s="1" t="n">
        <v>1</v>
      </c>
      <c r="B2159" s="10" t="n">
        <v>45651</v>
      </c>
      <c r="C2159" s="11" t="s">
        <v>2177</v>
      </c>
      <c r="D2159" s="1" t="s">
        <v>9</v>
      </c>
      <c r="E2159" s="1" t="s">
        <v>20</v>
      </c>
      <c r="F2159" s="1" t="str">
        <f aca="false">TEXT(B2159,"mmm-yyyy")</f>
        <v>Dec-2024</v>
      </c>
    </row>
    <row r="2160" customFormat="false" ht="28.5" hidden="false" customHeight="true" outlineLevel="0" collapsed="false">
      <c r="A2160" s="1" t="n">
        <v>5</v>
      </c>
      <c r="B2160" s="10" t="n">
        <v>45652</v>
      </c>
      <c r="C2160" s="11" t="s">
        <v>2178</v>
      </c>
      <c r="D2160" s="1" t="s">
        <v>9</v>
      </c>
      <c r="E2160" s="1" t="s">
        <v>18</v>
      </c>
      <c r="F2160" s="1" t="str">
        <f aca="false">TEXT(B2160,"mmm-yyyy")</f>
        <v>Dec-2024</v>
      </c>
    </row>
    <row r="2161" customFormat="false" ht="28.5" hidden="false" customHeight="true" outlineLevel="0" collapsed="false">
      <c r="A2161" s="1" t="n">
        <v>5</v>
      </c>
      <c r="B2161" s="10" t="n">
        <v>45648</v>
      </c>
      <c r="C2161" s="11" t="s">
        <v>2179</v>
      </c>
      <c r="D2161" s="1" t="s">
        <v>9</v>
      </c>
      <c r="E2161" s="1" t="s">
        <v>18</v>
      </c>
      <c r="F2161" s="1" t="str">
        <f aca="false">TEXT(B2161,"mmm-yyyy")</f>
        <v>Dec-2024</v>
      </c>
    </row>
    <row r="2162" customFormat="false" ht="14.25" hidden="false" customHeight="true" outlineLevel="0" collapsed="false">
      <c r="A2162" s="1" t="n">
        <v>5</v>
      </c>
      <c r="B2162" s="10" t="n">
        <v>45653</v>
      </c>
      <c r="C2162" s="1" t="s">
        <v>2180</v>
      </c>
      <c r="D2162" s="1" t="s">
        <v>9</v>
      </c>
      <c r="E2162" s="1" t="s">
        <v>18</v>
      </c>
      <c r="F2162" s="1" t="str">
        <f aca="false">TEXT(B2162,"mmm-yyyy")</f>
        <v>Dec-2024</v>
      </c>
    </row>
    <row r="2163" customFormat="false" ht="14.25" hidden="false" customHeight="true" outlineLevel="0" collapsed="false">
      <c r="A2163" s="1" t="n">
        <v>5</v>
      </c>
      <c r="B2163" s="10" t="n">
        <v>45652</v>
      </c>
      <c r="C2163" s="1" t="s">
        <v>2181</v>
      </c>
      <c r="D2163" s="1" t="s">
        <v>9</v>
      </c>
      <c r="E2163" s="1" t="s">
        <v>18</v>
      </c>
      <c r="F2163" s="1" t="str">
        <f aca="false">TEXT(B2163,"mmm-yyyy")</f>
        <v>Dec-2024</v>
      </c>
    </row>
    <row r="2164" customFormat="false" ht="57.75" hidden="false" customHeight="true" outlineLevel="0" collapsed="false">
      <c r="A2164" s="1" t="n">
        <v>1</v>
      </c>
      <c r="B2164" s="10" t="n">
        <v>45640</v>
      </c>
      <c r="C2164" s="11" t="s">
        <v>2182</v>
      </c>
      <c r="D2164" s="1" t="s">
        <v>9</v>
      </c>
      <c r="E2164" s="1" t="s">
        <v>18</v>
      </c>
      <c r="F2164" s="1" t="str">
        <f aca="false">TEXT(B2164,"mmm-yyyy")</f>
        <v>Dec-2024</v>
      </c>
    </row>
    <row r="2165" customFormat="false" ht="57.75" hidden="false" customHeight="true" outlineLevel="0" collapsed="false">
      <c r="A2165" s="1" t="n">
        <v>5</v>
      </c>
      <c r="B2165" s="10" t="n">
        <v>45615</v>
      </c>
      <c r="C2165" s="11" t="s">
        <v>2183</v>
      </c>
      <c r="D2165" s="1" t="s">
        <v>9</v>
      </c>
      <c r="E2165" s="1" t="s">
        <v>18</v>
      </c>
      <c r="F2165" s="1" t="str">
        <f aca="false">TEXT(B2165,"mmm-yyyy")</f>
        <v>Nov-2024</v>
      </c>
    </row>
    <row r="2166" customFormat="false" ht="43.5" hidden="false" customHeight="true" outlineLevel="0" collapsed="false">
      <c r="A2166" s="1" t="n">
        <v>1</v>
      </c>
      <c r="B2166" s="10" t="n">
        <v>45536</v>
      </c>
      <c r="C2166" s="11" t="s">
        <v>2184</v>
      </c>
      <c r="D2166" s="1" t="s">
        <v>9</v>
      </c>
      <c r="E2166" s="1" t="s">
        <v>20</v>
      </c>
      <c r="F2166" s="1" t="str">
        <f aca="false">TEXT(B2166,"mmm-yyyy")</f>
        <v>Sep-2024</v>
      </c>
    </row>
    <row r="2167" customFormat="false" ht="72" hidden="false" customHeight="true" outlineLevel="0" collapsed="false">
      <c r="A2167" s="1" t="n">
        <v>2</v>
      </c>
      <c r="B2167" s="10" t="n">
        <v>45583</v>
      </c>
      <c r="C2167" s="11" t="s">
        <v>2185</v>
      </c>
      <c r="D2167" s="1" t="s">
        <v>9</v>
      </c>
      <c r="E2167" s="1" t="s">
        <v>18</v>
      </c>
      <c r="F2167" s="1" t="str">
        <f aca="false">TEXT(B2167,"mmm-yyyy")</f>
        <v>Oct-2024</v>
      </c>
    </row>
    <row r="2168" customFormat="false" ht="28.5" hidden="false" customHeight="true" outlineLevel="0" collapsed="false">
      <c r="A2168" s="1" t="n">
        <v>5</v>
      </c>
      <c r="B2168" s="10" t="n">
        <v>45644</v>
      </c>
      <c r="C2168" s="11" t="s">
        <v>2186</v>
      </c>
      <c r="D2168" s="1" t="s">
        <v>9</v>
      </c>
      <c r="E2168" s="1" t="s">
        <v>32</v>
      </c>
      <c r="F2168" s="1" t="str">
        <f aca="false">TEXT(B2168,"mmm-yyyy")</f>
        <v>Dec-2024</v>
      </c>
    </row>
    <row r="2169" customFormat="false" ht="14.25" hidden="false" customHeight="true" outlineLevel="0" collapsed="false">
      <c r="A2169" s="1" t="n">
        <v>5</v>
      </c>
      <c r="B2169" s="10" t="n">
        <v>45657</v>
      </c>
      <c r="C2169" s="1" t="s">
        <v>2187</v>
      </c>
      <c r="D2169" s="1" t="s">
        <v>9</v>
      </c>
      <c r="E2169" s="1" t="s">
        <v>32</v>
      </c>
      <c r="F2169" s="1" t="str">
        <f aca="false">TEXT(B2169,"mmm-yyyy")</f>
        <v>Dec-2024</v>
      </c>
    </row>
    <row r="2170" customFormat="false" ht="115.5" hidden="false" customHeight="true" outlineLevel="0" collapsed="false">
      <c r="A2170" s="1" t="n">
        <v>1</v>
      </c>
      <c r="B2170" s="10" t="n">
        <v>45597</v>
      </c>
      <c r="C2170" s="11" t="s">
        <v>2188</v>
      </c>
      <c r="D2170" s="1" t="s">
        <v>9</v>
      </c>
      <c r="E2170" s="1" t="s">
        <v>20</v>
      </c>
      <c r="F2170" s="1" t="str">
        <f aca="false">TEXT(B2170,"mmm-yyyy")</f>
        <v>Nov-2024</v>
      </c>
    </row>
    <row r="2171" customFormat="false" ht="28.5" hidden="false" customHeight="true" outlineLevel="0" collapsed="false">
      <c r="A2171" s="1" t="n">
        <v>3</v>
      </c>
      <c r="B2171" s="10" t="n">
        <v>45568</v>
      </c>
      <c r="C2171" s="11" t="s">
        <v>2189</v>
      </c>
      <c r="D2171" s="1" t="s">
        <v>9</v>
      </c>
      <c r="E2171" s="1" t="s">
        <v>18</v>
      </c>
      <c r="F2171" s="1" t="str">
        <f aca="false">TEXT(B2171,"mmm-yyyy")</f>
        <v>Oct-2024</v>
      </c>
    </row>
    <row r="2172" customFormat="false" ht="130.5" hidden="false" customHeight="true" outlineLevel="0" collapsed="false">
      <c r="A2172" s="1" t="n">
        <v>1</v>
      </c>
      <c r="B2172" s="10" t="n">
        <v>45513</v>
      </c>
      <c r="C2172" s="11" t="s">
        <v>2190</v>
      </c>
      <c r="D2172" s="1" t="s">
        <v>9</v>
      </c>
      <c r="E2172" s="1" t="s">
        <v>20</v>
      </c>
      <c r="F2172" s="1" t="str">
        <f aca="false">TEXT(B2172,"mmm-yyyy")</f>
        <v>Aug-2024</v>
      </c>
    </row>
    <row r="2173" customFormat="false" ht="72" hidden="false" customHeight="true" outlineLevel="0" collapsed="false">
      <c r="A2173" s="1" t="n">
        <v>1</v>
      </c>
      <c r="B2173" s="10" t="n">
        <v>45530</v>
      </c>
      <c r="C2173" s="11" t="s">
        <v>2191</v>
      </c>
      <c r="D2173" s="1" t="s">
        <v>9</v>
      </c>
      <c r="E2173" s="1" t="s">
        <v>20</v>
      </c>
      <c r="F2173" s="1" t="str">
        <f aca="false">TEXT(B2173,"mmm-yyyy")</f>
        <v>Aug-2024</v>
      </c>
    </row>
    <row r="2174" customFormat="false" ht="28.5" hidden="false" customHeight="true" outlineLevel="0" collapsed="false">
      <c r="A2174" s="1" t="n">
        <v>5</v>
      </c>
      <c r="B2174" s="10" t="n">
        <v>45614</v>
      </c>
      <c r="C2174" s="11" t="s">
        <v>2192</v>
      </c>
      <c r="D2174" s="1" t="s">
        <v>9</v>
      </c>
      <c r="E2174" s="1" t="s">
        <v>18</v>
      </c>
      <c r="F2174" s="1" t="str">
        <f aca="false">TEXT(B2174,"mmm-yyyy")</f>
        <v>Nov-2024</v>
      </c>
    </row>
    <row r="2175" customFormat="false" ht="43.5" hidden="false" customHeight="true" outlineLevel="0" collapsed="false">
      <c r="A2175" s="1" t="n">
        <v>1</v>
      </c>
      <c r="B2175" s="10" t="n">
        <v>45601</v>
      </c>
      <c r="C2175" s="11" t="s">
        <v>2193</v>
      </c>
      <c r="D2175" s="1" t="s">
        <v>9</v>
      </c>
      <c r="E2175" s="1" t="s">
        <v>18</v>
      </c>
      <c r="F2175" s="1" t="str">
        <f aca="false">TEXT(B2175,"mmm-yyyy")</f>
        <v>Nov-2024</v>
      </c>
    </row>
    <row r="2176" customFormat="false" ht="87" hidden="false" customHeight="true" outlineLevel="0" collapsed="false">
      <c r="A2176" s="1" t="n">
        <v>2</v>
      </c>
      <c r="B2176" s="10" t="n">
        <v>45631</v>
      </c>
      <c r="C2176" s="11" t="s">
        <v>2194</v>
      </c>
      <c r="D2176" s="1" t="s">
        <v>9</v>
      </c>
      <c r="E2176" s="1" t="s">
        <v>20</v>
      </c>
      <c r="F2176" s="1" t="str">
        <f aca="false">TEXT(B2176,"mmm-yyyy")</f>
        <v>Dec-2024</v>
      </c>
    </row>
    <row r="2177" customFormat="false" ht="72" hidden="false" customHeight="true" outlineLevel="0" collapsed="false">
      <c r="A2177" s="1" t="n">
        <v>1</v>
      </c>
      <c r="B2177" s="10" t="n">
        <v>45535</v>
      </c>
      <c r="C2177" s="11" t="s">
        <v>2195</v>
      </c>
      <c r="D2177" s="1" t="s">
        <v>9</v>
      </c>
      <c r="E2177" s="1" t="s">
        <v>20</v>
      </c>
      <c r="F2177" s="1" t="str">
        <f aca="false">TEXT(B2177,"mmm-yyyy")</f>
        <v>Aug-2024</v>
      </c>
    </row>
    <row r="2178" customFormat="false" ht="101.25" hidden="false" customHeight="true" outlineLevel="0" collapsed="false">
      <c r="A2178" s="1" t="n">
        <v>1</v>
      </c>
      <c r="B2178" s="10" t="n">
        <v>45557</v>
      </c>
      <c r="C2178" s="11" t="s">
        <v>2196</v>
      </c>
      <c r="D2178" s="1" t="s">
        <v>9</v>
      </c>
      <c r="E2178" s="1" t="s">
        <v>18</v>
      </c>
      <c r="F2178" s="1" t="str">
        <f aca="false">TEXT(B2178,"mmm-yyyy")</f>
        <v>Sep-2024</v>
      </c>
    </row>
    <row r="2179" customFormat="false" ht="43.5" hidden="false" customHeight="true" outlineLevel="0" collapsed="false">
      <c r="A2179" s="1" t="n">
        <v>1</v>
      </c>
      <c r="B2179" s="10" t="n">
        <v>45625</v>
      </c>
      <c r="C2179" s="11" t="s">
        <v>2197</v>
      </c>
      <c r="D2179" s="1" t="s">
        <v>9</v>
      </c>
      <c r="E2179" s="1" t="s">
        <v>20</v>
      </c>
      <c r="F2179" s="1" t="str">
        <f aca="false">TEXT(B2179,"mmm-yyyy")</f>
        <v>Nov-2024</v>
      </c>
    </row>
    <row r="2180" customFormat="false" ht="115.5" hidden="false" customHeight="true" outlineLevel="0" collapsed="false">
      <c r="A2180" s="1" t="n">
        <v>1</v>
      </c>
      <c r="B2180" s="10" t="n">
        <v>45505</v>
      </c>
      <c r="C2180" s="11" t="s">
        <v>2198</v>
      </c>
      <c r="D2180" s="1" t="s">
        <v>9</v>
      </c>
      <c r="E2180" s="1" t="s">
        <v>20</v>
      </c>
      <c r="F2180" s="1" t="str">
        <f aca="false">TEXT(B2180,"mmm-yyyy")</f>
        <v>Aug-2024</v>
      </c>
    </row>
    <row r="2181" customFormat="false" ht="57.75" hidden="false" customHeight="true" outlineLevel="0" collapsed="false">
      <c r="A2181" s="1" t="n">
        <v>1</v>
      </c>
      <c r="B2181" s="10" t="n">
        <v>45549</v>
      </c>
      <c r="C2181" s="11" t="s">
        <v>2199</v>
      </c>
      <c r="D2181" s="1" t="s">
        <v>9</v>
      </c>
      <c r="E2181" s="1" t="s">
        <v>20</v>
      </c>
      <c r="F2181" s="1" t="str">
        <f aca="false">TEXT(B2181,"mmm-yyyy")</f>
        <v>Sep-2024</v>
      </c>
    </row>
    <row r="2182" customFormat="false" ht="43.5" hidden="false" customHeight="true" outlineLevel="0" collapsed="false">
      <c r="A2182" s="1" t="n">
        <v>1</v>
      </c>
      <c r="B2182" s="10" t="n">
        <v>45515</v>
      </c>
      <c r="C2182" s="11" t="s">
        <v>2200</v>
      </c>
      <c r="D2182" s="1" t="s">
        <v>9</v>
      </c>
      <c r="E2182" s="1" t="s">
        <v>20</v>
      </c>
      <c r="F2182" s="1" t="str">
        <f aca="false">TEXT(B2182,"mmm-yyyy")</f>
        <v>Aug-2024</v>
      </c>
    </row>
    <row r="2183" customFormat="false" ht="72" hidden="false" customHeight="true" outlineLevel="0" collapsed="false">
      <c r="A2183" s="1" t="n">
        <v>1</v>
      </c>
      <c r="B2183" s="10" t="n">
        <v>45564</v>
      </c>
      <c r="C2183" s="11" t="s">
        <v>2201</v>
      </c>
      <c r="D2183" s="1" t="s">
        <v>9</v>
      </c>
      <c r="E2183" s="1" t="s">
        <v>20</v>
      </c>
      <c r="F2183" s="1" t="str">
        <f aca="false">TEXT(B2183,"mmm-yyyy")</f>
        <v>Sep-2024</v>
      </c>
    </row>
    <row r="2184" customFormat="false" ht="57.75" hidden="false" customHeight="true" outlineLevel="0" collapsed="false">
      <c r="A2184" s="1" t="n">
        <v>2</v>
      </c>
      <c r="B2184" s="10" t="n">
        <v>45511</v>
      </c>
      <c r="C2184" s="11" t="s">
        <v>2202</v>
      </c>
      <c r="D2184" s="1" t="s">
        <v>9</v>
      </c>
      <c r="E2184" s="1" t="s">
        <v>20</v>
      </c>
      <c r="F2184" s="1" t="str">
        <f aca="false">TEXT(B2184,"mmm-yyyy")</f>
        <v>Aug-2024</v>
      </c>
    </row>
    <row r="2185" customFormat="false" ht="43.5" hidden="false" customHeight="true" outlineLevel="0" collapsed="false">
      <c r="A2185" s="1" t="n">
        <v>1</v>
      </c>
      <c r="B2185" s="10" t="n">
        <v>45566</v>
      </c>
      <c r="C2185" s="11" t="s">
        <v>2203</v>
      </c>
      <c r="D2185" s="1" t="s">
        <v>9</v>
      </c>
      <c r="E2185" s="1" t="s">
        <v>20</v>
      </c>
      <c r="F2185" s="1" t="str">
        <f aca="false">TEXT(B2185,"mmm-yyyy")</f>
        <v>Oct-2024</v>
      </c>
    </row>
    <row r="2186" customFormat="false" ht="72" hidden="false" customHeight="true" outlineLevel="0" collapsed="false">
      <c r="A2186" s="1" t="n">
        <v>1</v>
      </c>
      <c r="B2186" s="10" t="n">
        <v>45502</v>
      </c>
      <c r="C2186" s="11" t="s">
        <v>2204</v>
      </c>
      <c r="D2186" s="1" t="s">
        <v>9</v>
      </c>
      <c r="E2186" s="1" t="s">
        <v>20</v>
      </c>
      <c r="F2186" s="1" t="str">
        <f aca="false">TEXT(B2186,"mmm-yyyy")</f>
        <v>Jul-2024</v>
      </c>
    </row>
    <row r="2187" customFormat="false" ht="57.75" hidden="false" customHeight="true" outlineLevel="0" collapsed="false">
      <c r="A2187" s="1" t="n">
        <v>1</v>
      </c>
      <c r="B2187" s="10" t="n">
        <v>45503</v>
      </c>
      <c r="C2187" s="11" t="s">
        <v>2205</v>
      </c>
      <c r="D2187" s="1" t="s">
        <v>9</v>
      </c>
      <c r="E2187" s="1" t="s">
        <v>20</v>
      </c>
      <c r="F2187" s="1" t="str">
        <f aca="false">TEXT(B2187,"mmm-yyyy")</f>
        <v>Jul-2024</v>
      </c>
    </row>
    <row r="2188" customFormat="false" ht="72" hidden="false" customHeight="true" outlineLevel="0" collapsed="false">
      <c r="A2188" s="1" t="n">
        <v>1</v>
      </c>
      <c r="B2188" s="10" t="n">
        <v>45554</v>
      </c>
      <c r="C2188" s="11" t="s">
        <v>2206</v>
      </c>
      <c r="D2188" s="1" t="s">
        <v>9</v>
      </c>
      <c r="E2188" s="1" t="s">
        <v>20</v>
      </c>
      <c r="F2188" s="1" t="str">
        <f aca="false">TEXT(B2188,"mmm-yyyy")</f>
        <v>Sep-2024</v>
      </c>
    </row>
    <row r="2189" customFormat="false" ht="115.5" hidden="false" customHeight="true" outlineLevel="0" collapsed="false">
      <c r="A2189" s="1" t="n">
        <v>1</v>
      </c>
      <c r="B2189" s="10" t="n">
        <v>45508</v>
      </c>
      <c r="C2189" s="11" t="s">
        <v>2207</v>
      </c>
      <c r="D2189" s="1" t="s">
        <v>9</v>
      </c>
      <c r="E2189" s="1" t="s">
        <v>20</v>
      </c>
      <c r="F2189" s="1" t="str">
        <f aca="false">TEXT(B2189,"mmm-yyyy")</f>
        <v>Aug-2024</v>
      </c>
    </row>
    <row r="2190" customFormat="false" ht="43.5" hidden="false" customHeight="true" outlineLevel="0" collapsed="false">
      <c r="A2190" s="1" t="n">
        <v>1</v>
      </c>
      <c r="B2190" s="10" t="n">
        <v>45626</v>
      </c>
      <c r="C2190" s="11" t="s">
        <v>2208</v>
      </c>
      <c r="D2190" s="1" t="s">
        <v>9</v>
      </c>
      <c r="E2190" s="1" t="s">
        <v>20</v>
      </c>
      <c r="F2190" s="1" t="str">
        <f aca="false">TEXT(B2190,"mmm-yyyy")</f>
        <v>Nov-2024</v>
      </c>
    </row>
    <row r="2191" customFormat="false" ht="144.75" hidden="false" customHeight="true" outlineLevel="0" collapsed="false">
      <c r="A2191" s="1" t="n">
        <v>1</v>
      </c>
      <c r="B2191" s="10" t="n">
        <v>45560</v>
      </c>
      <c r="C2191" s="11" t="s">
        <v>2209</v>
      </c>
      <c r="D2191" s="1" t="s">
        <v>9</v>
      </c>
      <c r="E2191" s="1" t="s">
        <v>20</v>
      </c>
      <c r="F2191" s="1" t="str">
        <f aca="false">TEXT(B2191,"mmm-yyyy")</f>
        <v>Sep-2024</v>
      </c>
    </row>
    <row r="2192" customFormat="false" ht="14.25" hidden="false" customHeight="true" outlineLevel="0" collapsed="false">
      <c r="A2192" s="1" t="n">
        <v>1</v>
      </c>
      <c r="B2192" s="10" t="n">
        <v>45639</v>
      </c>
      <c r="C2192" s="1" t="s">
        <v>2210</v>
      </c>
      <c r="D2192" s="1" t="s">
        <v>9</v>
      </c>
      <c r="E2192" s="1" t="s">
        <v>32</v>
      </c>
      <c r="F2192" s="1" t="str">
        <f aca="false">TEXT(B2192,"mmm-yyyy")</f>
        <v>Dec-2024</v>
      </c>
    </row>
    <row r="2193" customFormat="false" ht="115.5" hidden="false" customHeight="true" outlineLevel="0" collapsed="false">
      <c r="A2193" s="1" t="n">
        <v>1</v>
      </c>
      <c r="B2193" s="10" t="n">
        <v>45425</v>
      </c>
      <c r="C2193" s="11" t="s">
        <v>2211</v>
      </c>
      <c r="D2193" s="1" t="s">
        <v>9</v>
      </c>
      <c r="E2193" s="1" t="s">
        <v>20</v>
      </c>
      <c r="F2193" s="1" t="str">
        <f aca="false">TEXT(B2193,"mmm-yyyy")</f>
        <v>May-2024</v>
      </c>
    </row>
    <row r="2194" customFormat="false" ht="28.5" hidden="false" customHeight="true" outlineLevel="0" collapsed="false">
      <c r="A2194" s="1" t="n">
        <v>1</v>
      </c>
      <c r="B2194" s="10" t="n">
        <v>45628</v>
      </c>
      <c r="C2194" s="11" t="s">
        <v>2212</v>
      </c>
      <c r="D2194" s="1" t="s">
        <v>9</v>
      </c>
      <c r="E2194" s="1" t="s">
        <v>20</v>
      </c>
      <c r="F2194" s="1" t="str">
        <f aca="false">TEXT(B2194,"mmm-yyyy")</f>
        <v>Dec-2024</v>
      </c>
    </row>
    <row r="2195" customFormat="false" ht="57.75" hidden="false" customHeight="true" outlineLevel="0" collapsed="false">
      <c r="A2195" s="1" t="n">
        <v>1</v>
      </c>
      <c r="B2195" s="10" t="n">
        <v>45516</v>
      </c>
      <c r="C2195" s="11" t="s">
        <v>2213</v>
      </c>
      <c r="D2195" s="1" t="s">
        <v>9</v>
      </c>
      <c r="E2195" s="1" t="s">
        <v>20</v>
      </c>
      <c r="F2195" s="1" t="str">
        <f aca="false">TEXT(B2195,"mmm-yyyy")</f>
        <v>Aug-2024</v>
      </c>
    </row>
    <row r="2196" customFormat="false" ht="87" hidden="false" customHeight="true" outlineLevel="0" collapsed="false">
      <c r="A2196" s="1" t="n">
        <v>1</v>
      </c>
      <c r="B2196" s="10" t="n">
        <v>45509</v>
      </c>
      <c r="C2196" s="11" t="s">
        <v>2214</v>
      </c>
      <c r="D2196" s="1" t="s">
        <v>9</v>
      </c>
      <c r="E2196" s="1" t="s">
        <v>20</v>
      </c>
      <c r="F2196" s="1" t="str">
        <f aca="false">TEXT(B2196,"mmm-yyyy")</f>
        <v>Aug-2024</v>
      </c>
    </row>
    <row r="2197" customFormat="false" ht="72" hidden="false" customHeight="true" outlineLevel="0" collapsed="false">
      <c r="A2197" s="1" t="n">
        <v>1</v>
      </c>
      <c r="B2197" s="10" t="n">
        <v>45514</v>
      </c>
      <c r="C2197" s="11" t="s">
        <v>2215</v>
      </c>
      <c r="D2197" s="1" t="s">
        <v>9</v>
      </c>
      <c r="E2197" s="1" t="s">
        <v>20</v>
      </c>
      <c r="F2197" s="1" t="str">
        <f aca="false">TEXT(B2197,"mmm-yyyy")</f>
        <v>Aug-2024</v>
      </c>
    </row>
    <row r="2198" customFormat="false" ht="144.75" hidden="false" customHeight="true" outlineLevel="0" collapsed="false">
      <c r="A2198" s="1" t="n">
        <v>1</v>
      </c>
      <c r="B2198" s="10" t="n">
        <v>45529</v>
      </c>
      <c r="C2198" s="11" t="s">
        <v>2216</v>
      </c>
      <c r="D2198" s="1" t="s">
        <v>9</v>
      </c>
      <c r="E2198" s="1" t="s">
        <v>20</v>
      </c>
      <c r="F2198" s="1" t="str">
        <f aca="false">TEXT(B2198,"mmm-yyyy")</f>
        <v>Aug-2024</v>
      </c>
    </row>
    <row r="2199" customFormat="false" ht="115.5" hidden="false" customHeight="true" outlineLevel="0" collapsed="false">
      <c r="A2199" s="1" t="n">
        <v>1</v>
      </c>
      <c r="B2199" s="10" t="n">
        <v>45540</v>
      </c>
      <c r="C2199" s="11" t="s">
        <v>2217</v>
      </c>
      <c r="D2199" s="1" t="s">
        <v>9</v>
      </c>
      <c r="E2199" s="1" t="s">
        <v>20</v>
      </c>
      <c r="F2199" s="1" t="str">
        <f aca="false">TEXT(B2199,"mmm-yyyy")</f>
        <v>Sep-2024</v>
      </c>
    </row>
    <row r="2200" customFormat="false" ht="43.5" hidden="false" customHeight="true" outlineLevel="0" collapsed="false">
      <c r="A2200" s="1" t="n">
        <v>4</v>
      </c>
      <c r="B2200" s="10" t="n">
        <v>45589</v>
      </c>
      <c r="C2200" s="11" t="s">
        <v>2218</v>
      </c>
      <c r="D2200" s="1" t="s">
        <v>9</v>
      </c>
      <c r="E2200" s="1" t="s">
        <v>18</v>
      </c>
      <c r="F2200" s="1" t="str">
        <f aca="false">TEXT(B2200,"mmm-yyyy")</f>
        <v>Oct-2024</v>
      </c>
    </row>
    <row r="2201" customFormat="false" ht="57.75" hidden="false" customHeight="true" outlineLevel="0" collapsed="false">
      <c r="A2201" s="1" t="n">
        <v>1</v>
      </c>
      <c r="B2201" s="10" t="n">
        <v>45554</v>
      </c>
      <c r="C2201" s="11" t="s">
        <v>2219</v>
      </c>
      <c r="D2201" s="1" t="s">
        <v>9</v>
      </c>
      <c r="E2201" s="1" t="s">
        <v>20</v>
      </c>
      <c r="F2201" s="1" t="str">
        <f aca="false">TEXT(B2201,"mmm-yyyy")</f>
        <v>Sep-2024</v>
      </c>
    </row>
    <row r="2202" customFormat="false" ht="72" hidden="false" customHeight="true" outlineLevel="0" collapsed="false">
      <c r="A2202" s="1" t="n">
        <v>1</v>
      </c>
      <c r="B2202" s="10" t="n">
        <v>45567</v>
      </c>
      <c r="C2202" s="11" t="s">
        <v>2220</v>
      </c>
      <c r="D2202" s="1" t="s">
        <v>9</v>
      </c>
      <c r="E2202" s="1" t="s">
        <v>20</v>
      </c>
      <c r="F2202" s="1" t="str">
        <f aca="false">TEXT(B2202,"mmm-yyyy")</f>
        <v>Oct-2024</v>
      </c>
    </row>
    <row r="2203" customFormat="false" ht="57.75" hidden="false" customHeight="true" outlineLevel="0" collapsed="false">
      <c r="A2203" s="1" t="n">
        <v>4</v>
      </c>
      <c r="B2203" s="10" t="n">
        <v>45637</v>
      </c>
      <c r="C2203" s="11" t="s">
        <v>2221</v>
      </c>
      <c r="D2203" s="1" t="s">
        <v>9</v>
      </c>
      <c r="E2203" s="1" t="s">
        <v>18</v>
      </c>
      <c r="F2203" s="1" t="str">
        <f aca="false">TEXT(B2203,"mmm-yyyy")</f>
        <v>Dec-2024</v>
      </c>
    </row>
    <row r="2204" customFormat="false" ht="115.5" hidden="false" customHeight="true" outlineLevel="0" collapsed="false">
      <c r="A2204" s="1" t="n">
        <v>2</v>
      </c>
      <c r="B2204" s="10" t="n">
        <v>45341</v>
      </c>
      <c r="C2204" s="11" t="s">
        <v>2222</v>
      </c>
      <c r="D2204" s="1" t="s">
        <v>9</v>
      </c>
      <c r="E2204" s="1" t="s">
        <v>20</v>
      </c>
      <c r="F2204" s="1" t="str">
        <f aca="false">TEXT(B2204,"mmm-yyyy")</f>
        <v>Feb-2024</v>
      </c>
    </row>
    <row r="2205" customFormat="false" ht="28.5" hidden="false" customHeight="true" outlineLevel="0" collapsed="false">
      <c r="A2205" s="1" t="n">
        <v>1</v>
      </c>
      <c r="B2205" s="10" t="n">
        <v>45607</v>
      </c>
      <c r="C2205" s="11" t="s">
        <v>2223</v>
      </c>
      <c r="D2205" s="1" t="s">
        <v>9</v>
      </c>
      <c r="E2205" s="1" t="s">
        <v>20</v>
      </c>
      <c r="F2205" s="1" t="str">
        <f aca="false">TEXT(B2205,"mmm-yyyy")</f>
        <v>Nov-2024</v>
      </c>
    </row>
    <row r="2206" customFormat="false" ht="57.75" hidden="false" customHeight="true" outlineLevel="0" collapsed="false">
      <c r="A2206" s="1" t="n">
        <v>1</v>
      </c>
      <c r="B2206" s="10" t="n">
        <v>45500</v>
      </c>
      <c r="C2206" s="11" t="s">
        <v>2224</v>
      </c>
      <c r="D2206" s="1" t="s">
        <v>9</v>
      </c>
      <c r="E2206" s="1" t="s">
        <v>20</v>
      </c>
      <c r="F2206" s="1" t="str">
        <f aca="false">TEXT(B2206,"mmm-yyyy")</f>
        <v>Jul-2024</v>
      </c>
    </row>
    <row r="2207" customFormat="false" ht="101.25" hidden="false" customHeight="true" outlineLevel="0" collapsed="false">
      <c r="A2207" s="1" t="n">
        <v>5</v>
      </c>
      <c r="B2207" s="10" t="n">
        <v>45525</v>
      </c>
      <c r="C2207" s="11" t="s">
        <v>2225</v>
      </c>
      <c r="D2207" s="1" t="s">
        <v>9</v>
      </c>
      <c r="E2207" s="1" t="s">
        <v>18</v>
      </c>
      <c r="F2207" s="1" t="str">
        <f aca="false">TEXT(B2207,"mmm-yyyy")</f>
        <v>Aug-2024</v>
      </c>
    </row>
    <row r="2208" customFormat="false" ht="130.5" hidden="false" customHeight="true" outlineLevel="0" collapsed="false">
      <c r="A2208" s="1" t="n">
        <v>1</v>
      </c>
      <c r="B2208" s="10" t="n">
        <v>45528</v>
      </c>
      <c r="C2208" s="11" t="s">
        <v>2226</v>
      </c>
      <c r="D2208" s="1" t="s">
        <v>9</v>
      </c>
      <c r="E2208" s="1" t="s">
        <v>18</v>
      </c>
      <c r="F2208" s="1" t="str">
        <f aca="false">TEXT(B2208,"mmm-yyyy")</f>
        <v>Aug-2024</v>
      </c>
    </row>
    <row r="2209" customFormat="false" ht="57.75" hidden="false" customHeight="true" outlineLevel="0" collapsed="false">
      <c r="A2209" s="1" t="n">
        <v>1</v>
      </c>
      <c r="B2209" s="10" t="n">
        <v>45563</v>
      </c>
      <c r="C2209" s="11" t="s">
        <v>2227</v>
      </c>
      <c r="D2209" s="1" t="s">
        <v>9</v>
      </c>
      <c r="E2209" s="1" t="s">
        <v>20</v>
      </c>
      <c r="F2209" s="1" t="str">
        <f aca="false">TEXT(B2209,"mmm-yyyy")</f>
        <v>Sep-2024</v>
      </c>
    </row>
    <row r="2210" customFormat="false" ht="43.5" hidden="false" customHeight="true" outlineLevel="0" collapsed="false">
      <c r="A2210" s="1" t="n">
        <v>1</v>
      </c>
      <c r="B2210" s="10" t="n">
        <v>45629</v>
      </c>
      <c r="C2210" s="11" t="s">
        <v>2228</v>
      </c>
      <c r="D2210" s="1" t="s">
        <v>9</v>
      </c>
      <c r="E2210" s="1" t="s">
        <v>20</v>
      </c>
      <c r="F2210" s="1" t="str">
        <f aca="false">TEXT(B2210,"mmm-yyyy")</f>
        <v>Dec-2024</v>
      </c>
    </row>
    <row r="2211" customFormat="false" ht="72" hidden="false" customHeight="true" outlineLevel="0" collapsed="false">
      <c r="A2211" s="1" t="n">
        <v>1</v>
      </c>
      <c r="B2211" s="10" t="n">
        <v>45504</v>
      </c>
      <c r="C2211" s="11" t="s">
        <v>2229</v>
      </c>
      <c r="D2211" s="1" t="s">
        <v>9</v>
      </c>
      <c r="E2211" s="1" t="s">
        <v>20</v>
      </c>
      <c r="F2211" s="1" t="str">
        <f aca="false">TEXT(B2211,"mmm-yyyy")</f>
        <v>Jul-2024</v>
      </c>
    </row>
    <row r="2212" customFormat="false" ht="57.75" hidden="false" customHeight="true" outlineLevel="0" collapsed="false">
      <c r="A2212" s="1" t="n">
        <v>1</v>
      </c>
      <c r="B2212" s="10" t="n">
        <v>45508</v>
      </c>
      <c r="C2212" s="11" t="s">
        <v>2230</v>
      </c>
      <c r="D2212" s="1" t="s">
        <v>9</v>
      </c>
      <c r="E2212" s="1" t="s">
        <v>20</v>
      </c>
      <c r="F2212" s="1" t="str">
        <f aca="false">TEXT(B2212,"mmm-yyyy")</f>
        <v>Aug-2024</v>
      </c>
    </row>
    <row r="2213" customFormat="false" ht="72" hidden="false" customHeight="true" outlineLevel="0" collapsed="false">
      <c r="A2213" s="1" t="n">
        <v>1</v>
      </c>
      <c r="B2213" s="10" t="n">
        <v>45560</v>
      </c>
      <c r="C2213" s="11" t="s">
        <v>2231</v>
      </c>
      <c r="D2213" s="1" t="s">
        <v>9</v>
      </c>
      <c r="E2213" s="1" t="s">
        <v>20</v>
      </c>
      <c r="F2213" s="1" t="str">
        <f aca="false">TEXT(B2213,"mmm-yyyy")</f>
        <v>Sep-2024</v>
      </c>
    </row>
    <row r="2214" customFormat="false" ht="72" hidden="false" customHeight="true" outlineLevel="0" collapsed="false">
      <c r="A2214" s="1" t="n">
        <v>1</v>
      </c>
      <c r="B2214" s="10" t="n">
        <v>45566</v>
      </c>
      <c r="C2214" s="11" t="s">
        <v>2232</v>
      </c>
      <c r="D2214" s="1" t="s">
        <v>9</v>
      </c>
      <c r="E2214" s="1" t="s">
        <v>20</v>
      </c>
      <c r="F2214" s="1" t="str">
        <f aca="false">TEXT(B2214,"mmm-yyyy")</f>
        <v>Oct-2024</v>
      </c>
    </row>
    <row r="2215" customFormat="false" ht="101.25" hidden="false" customHeight="true" outlineLevel="0" collapsed="false">
      <c r="A2215" s="1" t="n">
        <v>1</v>
      </c>
      <c r="B2215" s="10" t="n">
        <v>45509</v>
      </c>
      <c r="C2215" s="11" t="s">
        <v>2233</v>
      </c>
      <c r="D2215" s="1" t="s">
        <v>9</v>
      </c>
      <c r="E2215" s="1" t="s">
        <v>20</v>
      </c>
      <c r="F2215" s="1" t="str">
        <f aca="false">TEXT(B2215,"mmm-yyyy")</f>
        <v>Aug-2024</v>
      </c>
    </row>
    <row r="2216" customFormat="false" ht="87" hidden="false" customHeight="true" outlineLevel="0" collapsed="false">
      <c r="A2216" s="1" t="n">
        <v>2</v>
      </c>
      <c r="B2216" s="10" t="n">
        <v>45529</v>
      </c>
      <c r="C2216" s="11" t="s">
        <v>2234</v>
      </c>
      <c r="D2216" s="1" t="s">
        <v>9</v>
      </c>
      <c r="E2216" s="1" t="s">
        <v>18</v>
      </c>
      <c r="F2216" s="1" t="str">
        <f aca="false">TEXT(B2216,"mmm-yyyy")</f>
        <v>Aug-2024</v>
      </c>
    </row>
    <row r="2217" customFormat="false" ht="28.5" hidden="false" customHeight="true" outlineLevel="0" collapsed="false">
      <c r="A2217" s="1" t="n">
        <v>1</v>
      </c>
      <c r="B2217" s="10" t="n">
        <v>45638</v>
      </c>
      <c r="C2217" s="11" t="s">
        <v>2235</v>
      </c>
      <c r="D2217" s="1" t="s">
        <v>9</v>
      </c>
      <c r="E2217" s="1" t="s">
        <v>20</v>
      </c>
      <c r="F2217" s="1" t="str">
        <f aca="false">TEXT(B2217,"mmm-yyyy")</f>
        <v>Dec-2024</v>
      </c>
    </row>
    <row r="2218" customFormat="false" ht="87" hidden="false" customHeight="true" outlineLevel="0" collapsed="false">
      <c r="A2218" s="1" t="n">
        <v>1</v>
      </c>
      <c r="B2218" s="10" t="n">
        <v>45640</v>
      </c>
      <c r="C2218" s="11" t="s">
        <v>2236</v>
      </c>
      <c r="D2218" s="1" t="s">
        <v>9</v>
      </c>
      <c r="E2218" s="1" t="s">
        <v>20</v>
      </c>
      <c r="F2218" s="1" t="str">
        <f aca="false">TEXT(B2218,"mmm-yyyy")</f>
        <v>Dec-2024</v>
      </c>
    </row>
    <row r="2219" customFormat="false" ht="28.5" hidden="false" customHeight="true" outlineLevel="0" collapsed="false">
      <c r="A2219" s="1" t="n">
        <v>5</v>
      </c>
      <c r="B2219" s="10" t="n">
        <v>45598</v>
      </c>
      <c r="C2219" s="11" t="s">
        <v>2237</v>
      </c>
      <c r="D2219" s="1" t="s">
        <v>9</v>
      </c>
      <c r="E2219" s="1" t="s">
        <v>32</v>
      </c>
      <c r="F2219" s="1" t="str">
        <f aca="false">TEXT(B2219,"mmm-yyyy")</f>
        <v>Nov-2024</v>
      </c>
    </row>
    <row r="2220" customFormat="false" ht="72" hidden="false" customHeight="true" outlineLevel="0" collapsed="false">
      <c r="A2220" s="1" t="n">
        <v>1</v>
      </c>
      <c r="B2220" s="10" t="n">
        <v>45578</v>
      </c>
      <c r="C2220" s="11" t="s">
        <v>2238</v>
      </c>
      <c r="D2220" s="1" t="s">
        <v>9</v>
      </c>
      <c r="E2220" s="1" t="s">
        <v>20</v>
      </c>
      <c r="F2220" s="1" t="str">
        <f aca="false">TEXT(B2220,"mmm-yyyy")</f>
        <v>Oct-2024</v>
      </c>
    </row>
    <row r="2221" customFormat="false" ht="72" hidden="false" customHeight="true" outlineLevel="0" collapsed="false">
      <c r="A2221" s="1" t="n">
        <v>1</v>
      </c>
      <c r="B2221" s="10" t="n">
        <v>45580</v>
      </c>
      <c r="C2221" s="11" t="s">
        <v>2239</v>
      </c>
      <c r="D2221" s="1" t="s">
        <v>9</v>
      </c>
      <c r="E2221" s="1" t="s">
        <v>20</v>
      </c>
      <c r="F2221" s="1" t="str">
        <f aca="false">TEXT(B2221,"mmm-yyyy")</f>
        <v>Oct-2024</v>
      </c>
    </row>
    <row r="2222" customFormat="false" ht="130.5" hidden="false" customHeight="true" outlineLevel="0" collapsed="false">
      <c r="A2222" s="1" t="n">
        <v>1</v>
      </c>
      <c r="B2222" s="10" t="n">
        <v>45583</v>
      </c>
      <c r="C2222" s="11" t="s">
        <v>2240</v>
      </c>
      <c r="D2222" s="1" t="s">
        <v>9</v>
      </c>
      <c r="E2222" s="1" t="s">
        <v>20</v>
      </c>
      <c r="F2222" s="1" t="str">
        <f aca="false">TEXT(B2222,"mmm-yyyy")</f>
        <v>Oct-2024</v>
      </c>
    </row>
    <row r="2223" customFormat="false" ht="115.5" hidden="false" customHeight="true" outlineLevel="0" collapsed="false">
      <c r="A2223" s="1" t="n">
        <v>1</v>
      </c>
      <c r="B2223" s="10" t="n">
        <v>45601</v>
      </c>
      <c r="C2223" s="11" t="s">
        <v>2241</v>
      </c>
      <c r="D2223" s="1" t="s">
        <v>9</v>
      </c>
      <c r="E2223" s="1" t="s">
        <v>20</v>
      </c>
      <c r="F2223" s="1" t="str">
        <f aca="false">TEXT(B2223,"mmm-yyyy")</f>
        <v>Nov-2024</v>
      </c>
    </row>
    <row r="2224" customFormat="false" ht="57.75" hidden="false" customHeight="true" outlineLevel="0" collapsed="false">
      <c r="A2224" s="1" t="n">
        <v>1</v>
      </c>
      <c r="B2224" s="10" t="n">
        <v>45585</v>
      </c>
      <c r="C2224" s="11" t="s">
        <v>2242</v>
      </c>
      <c r="D2224" s="1" t="s">
        <v>9</v>
      </c>
      <c r="E2224" s="1" t="s">
        <v>20</v>
      </c>
      <c r="F2224" s="1" t="str">
        <f aca="false">TEXT(B2224,"mmm-yyyy")</f>
        <v>Oct-2024</v>
      </c>
    </row>
    <row r="2225" customFormat="false" ht="87" hidden="false" customHeight="true" outlineLevel="0" collapsed="false">
      <c r="A2225" s="1" t="n">
        <v>1</v>
      </c>
      <c r="B2225" s="10" t="n">
        <v>45582</v>
      </c>
      <c r="C2225" s="11" t="s">
        <v>2243</v>
      </c>
      <c r="D2225" s="1" t="s">
        <v>9</v>
      </c>
      <c r="E2225" s="1" t="s">
        <v>20</v>
      </c>
      <c r="F2225" s="1" t="str">
        <f aca="false">TEXT(B2225,"mmm-yyyy")</f>
        <v>Oct-2024</v>
      </c>
    </row>
    <row r="2226" customFormat="false" ht="57.75" hidden="false" customHeight="true" outlineLevel="0" collapsed="false">
      <c r="A2226" s="1" t="n">
        <v>1</v>
      </c>
      <c r="B2226" s="10" t="n">
        <v>45571</v>
      </c>
      <c r="C2226" s="11" t="s">
        <v>2244</v>
      </c>
      <c r="D2226" s="1" t="s">
        <v>9</v>
      </c>
      <c r="E2226" s="1" t="s">
        <v>18</v>
      </c>
      <c r="F2226" s="1" t="str">
        <f aca="false">TEXT(B2226,"mmm-yyyy")</f>
        <v>Oct-2024</v>
      </c>
    </row>
    <row r="2227" customFormat="false" ht="72" hidden="false" customHeight="true" outlineLevel="0" collapsed="false">
      <c r="A2227" s="1" t="n">
        <v>1</v>
      </c>
      <c r="B2227" s="10" t="n">
        <v>45571</v>
      </c>
      <c r="C2227" s="11" t="s">
        <v>2245</v>
      </c>
      <c r="D2227" s="1" t="s">
        <v>9</v>
      </c>
      <c r="E2227" s="1" t="s">
        <v>20</v>
      </c>
      <c r="F2227" s="1" t="str">
        <f aca="false">TEXT(B2227,"mmm-yyyy")</f>
        <v>Oct-2024</v>
      </c>
    </row>
    <row r="2228" customFormat="false" ht="57.75" hidden="false" customHeight="true" outlineLevel="0" collapsed="false">
      <c r="A2228" s="1" t="n">
        <v>1</v>
      </c>
      <c r="B2228" s="10" t="n">
        <v>45569</v>
      </c>
      <c r="C2228" s="11" t="s">
        <v>2246</v>
      </c>
      <c r="D2228" s="1" t="s">
        <v>9</v>
      </c>
      <c r="E2228" s="1" t="s">
        <v>20</v>
      </c>
      <c r="F2228" s="1" t="str">
        <f aca="false">TEXT(B2228,"mmm-yyyy")</f>
        <v>Oct-2024</v>
      </c>
    </row>
    <row r="2229" customFormat="false" ht="43.5" hidden="false" customHeight="true" outlineLevel="0" collapsed="false">
      <c r="A2229" s="1" t="n">
        <v>5</v>
      </c>
      <c r="B2229" s="10" t="n">
        <v>45568</v>
      </c>
      <c r="C2229" s="11" t="s">
        <v>2247</v>
      </c>
      <c r="D2229" s="1" t="s">
        <v>9</v>
      </c>
      <c r="E2229" s="1" t="s">
        <v>18</v>
      </c>
      <c r="F2229" s="1" t="str">
        <f aca="false">TEXT(B2229,"mmm-yyyy")</f>
        <v>Oct-2024</v>
      </c>
    </row>
    <row r="2230" customFormat="false" ht="72" hidden="false" customHeight="true" outlineLevel="0" collapsed="false">
      <c r="A2230" s="1" t="n">
        <v>1</v>
      </c>
      <c r="B2230" s="10" t="n">
        <v>45573</v>
      </c>
      <c r="C2230" s="11" t="s">
        <v>2248</v>
      </c>
      <c r="D2230" s="1" t="s">
        <v>9</v>
      </c>
      <c r="E2230" s="1" t="s">
        <v>20</v>
      </c>
      <c r="F2230" s="1" t="str">
        <f aca="false">TEXT(B2230,"mmm-yyyy")</f>
        <v>Oct-2024</v>
      </c>
    </row>
    <row r="2231" customFormat="false" ht="43.5" hidden="false" customHeight="true" outlineLevel="0" collapsed="false">
      <c r="A2231" s="1" t="n">
        <v>1</v>
      </c>
      <c r="B2231" s="10" t="n">
        <v>45573</v>
      </c>
      <c r="C2231" s="11" t="s">
        <v>2249</v>
      </c>
      <c r="D2231" s="1" t="s">
        <v>9</v>
      </c>
      <c r="E2231" s="1" t="s">
        <v>20</v>
      </c>
      <c r="F2231" s="1" t="str">
        <f aca="false">TEXT(B2231,"mmm-yyyy")</f>
        <v>Oct-2024</v>
      </c>
    </row>
    <row r="2232" customFormat="false" ht="57.75" hidden="false" customHeight="true" outlineLevel="0" collapsed="false">
      <c r="A2232" s="1" t="n">
        <v>1</v>
      </c>
      <c r="B2232" s="10" t="n">
        <v>45576</v>
      </c>
      <c r="C2232" s="11" t="s">
        <v>2250</v>
      </c>
      <c r="D2232" s="1" t="s">
        <v>9</v>
      </c>
      <c r="E2232" s="1" t="s">
        <v>20</v>
      </c>
      <c r="F2232" s="1" t="str">
        <f aca="false">TEXT(B2232,"mmm-yyyy")</f>
        <v>Oct-2024</v>
      </c>
    </row>
    <row r="2233" customFormat="false" ht="72" hidden="false" customHeight="true" outlineLevel="0" collapsed="false">
      <c r="A2233" s="1" t="n">
        <v>1</v>
      </c>
      <c r="B2233" s="10" t="n">
        <v>45581</v>
      </c>
      <c r="C2233" s="11" t="s">
        <v>2251</v>
      </c>
      <c r="D2233" s="1" t="s">
        <v>9</v>
      </c>
      <c r="E2233" s="1" t="s">
        <v>20</v>
      </c>
      <c r="F2233" s="1" t="str">
        <f aca="false">TEXT(B2233,"mmm-yyyy")</f>
        <v>Oct-2024</v>
      </c>
    </row>
    <row r="2234" customFormat="false" ht="101.25" hidden="false" customHeight="true" outlineLevel="0" collapsed="false">
      <c r="A2234" s="1" t="n">
        <v>3</v>
      </c>
      <c r="B2234" s="10" t="n">
        <v>45574</v>
      </c>
      <c r="C2234" s="11" t="s">
        <v>2252</v>
      </c>
      <c r="D2234" s="1" t="s">
        <v>9</v>
      </c>
      <c r="E2234" s="1" t="s">
        <v>18</v>
      </c>
      <c r="F2234" s="1" t="str">
        <f aca="false">TEXT(B2234,"mmm-yyyy")</f>
        <v>Oct-2024</v>
      </c>
    </row>
    <row r="2235" customFormat="false" ht="28.5" hidden="false" customHeight="true" outlineLevel="0" collapsed="false">
      <c r="A2235" s="1" t="n">
        <v>4</v>
      </c>
      <c r="B2235" s="10" t="n">
        <v>45587</v>
      </c>
      <c r="C2235" s="11" t="s">
        <v>2253</v>
      </c>
      <c r="D2235" s="1" t="s">
        <v>9</v>
      </c>
      <c r="E2235" s="1" t="s">
        <v>20</v>
      </c>
      <c r="F2235" s="1" t="str">
        <f aca="false">TEXT(B2235,"mmm-yyyy")</f>
        <v>Oct-2024</v>
      </c>
    </row>
    <row r="2236" customFormat="false" ht="72" hidden="false" customHeight="true" outlineLevel="0" collapsed="false">
      <c r="A2236" s="1" t="n">
        <v>1</v>
      </c>
      <c r="B2236" s="10" t="n">
        <v>45576</v>
      </c>
      <c r="C2236" s="11" t="s">
        <v>2254</v>
      </c>
      <c r="D2236" s="1" t="s">
        <v>9</v>
      </c>
      <c r="E2236" s="1" t="s">
        <v>20</v>
      </c>
      <c r="F2236" s="1" t="str">
        <f aca="false">TEXT(B2236,"mmm-yyyy")</f>
        <v>Oct-2024</v>
      </c>
    </row>
    <row r="2237" customFormat="false" ht="57.75" hidden="false" customHeight="true" outlineLevel="0" collapsed="false">
      <c r="A2237" s="1" t="n">
        <v>1</v>
      </c>
      <c r="B2237" s="10" t="n">
        <v>45585</v>
      </c>
      <c r="C2237" s="11" t="s">
        <v>2255</v>
      </c>
      <c r="D2237" s="1" t="s">
        <v>9</v>
      </c>
      <c r="E2237" s="1" t="s">
        <v>18</v>
      </c>
      <c r="F2237" s="1" t="str">
        <f aca="false">TEXT(B2237,"mmm-yyyy")</f>
        <v>Oct-2024</v>
      </c>
    </row>
    <row r="2238" customFormat="false" ht="57.75" hidden="false" customHeight="true" outlineLevel="0" collapsed="false">
      <c r="A2238" s="1" t="n">
        <v>2</v>
      </c>
      <c r="B2238" s="10" t="n">
        <v>45580</v>
      </c>
      <c r="C2238" s="11" t="s">
        <v>2256</v>
      </c>
      <c r="D2238" s="1" t="s">
        <v>9</v>
      </c>
      <c r="E2238" s="1" t="s">
        <v>18</v>
      </c>
      <c r="F2238" s="1" t="str">
        <f aca="false">TEXT(B2238,"mmm-yyyy")</f>
        <v>Oct-2024</v>
      </c>
    </row>
    <row r="2239" customFormat="false" ht="57.75" hidden="false" customHeight="true" outlineLevel="0" collapsed="false">
      <c r="A2239" s="1" t="n">
        <v>1</v>
      </c>
      <c r="B2239" s="10" t="n">
        <v>45577</v>
      </c>
      <c r="C2239" s="11" t="s">
        <v>2257</v>
      </c>
      <c r="D2239" s="1" t="s">
        <v>9</v>
      </c>
      <c r="E2239" s="1" t="s">
        <v>20</v>
      </c>
      <c r="F2239" s="1" t="str">
        <f aca="false">TEXT(B2239,"mmm-yyyy")</f>
        <v>Oct-2024</v>
      </c>
    </row>
    <row r="2240" customFormat="false" ht="72" hidden="false" customHeight="true" outlineLevel="0" collapsed="false">
      <c r="A2240" s="1" t="n">
        <v>1</v>
      </c>
      <c r="B2240" s="10" t="n">
        <v>45579</v>
      </c>
      <c r="C2240" s="11" t="s">
        <v>2258</v>
      </c>
      <c r="D2240" s="1" t="s">
        <v>9</v>
      </c>
      <c r="E2240" s="1" t="s">
        <v>20</v>
      </c>
      <c r="F2240" s="1" t="str">
        <f aca="false">TEXT(B2240,"mmm-yyyy")</f>
        <v>Oct-2024</v>
      </c>
    </row>
    <row r="2241" customFormat="false" ht="43.5" hidden="false" customHeight="true" outlineLevel="0" collapsed="false">
      <c r="A2241" s="1" t="n">
        <v>1</v>
      </c>
      <c r="B2241" s="10" t="n">
        <v>45570</v>
      </c>
      <c r="C2241" s="11" t="s">
        <v>2259</v>
      </c>
      <c r="D2241" s="1" t="s">
        <v>9</v>
      </c>
      <c r="E2241" s="1" t="s">
        <v>20</v>
      </c>
      <c r="F2241" s="1" t="str">
        <f aca="false">TEXT(B2241,"mmm-yyyy")</f>
        <v>Oct-2024</v>
      </c>
    </row>
    <row r="2242" customFormat="false" ht="130.5" hidden="false" customHeight="true" outlineLevel="0" collapsed="false">
      <c r="A2242" s="1" t="n">
        <v>1</v>
      </c>
      <c r="B2242" s="10" t="n">
        <v>45579</v>
      </c>
      <c r="C2242" s="11" t="s">
        <v>2260</v>
      </c>
      <c r="D2242" s="1" t="s">
        <v>9</v>
      </c>
      <c r="E2242" s="1" t="s">
        <v>20</v>
      </c>
      <c r="F2242" s="1" t="str">
        <f aca="false">TEXT(B2242,"mmm-yyyy")</f>
        <v>Oct-2024</v>
      </c>
    </row>
    <row r="2243" customFormat="false" ht="57.75" hidden="false" customHeight="true" outlineLevel="0" collapsed="false">
      <c r="A2243" s="1" t="n">
        <v>1</v>
      </c>
      <c r="B2243" s="10" t="n">
        <v>45585</v>
      </c>
      <c r="C2243" s="11" t="s">
        <v>2261</v>
      </c>
      <c r="D2243" s="1" t="s">
        <v>9</v>
      </c>
      <c r="E2243" s="1" t="s">
        <v>32</v>
      </c>
      <c r="F2243" s="1" t="str">
        <f aca="false">TEXT(B2243,"mmm-yyyy")</f>
        <v>Oct-2024</v>
      </c>
    </row>
    <row r="2244" customFormat="false" ht="43.5" hidden="false" customHeight="true" outlineLevel="0" collapsed="false">
      <c r="A2244" s="1" t="n">
        <v>5</v>
      </c>
      <c r="B2244" s="10" t="n">
        <v>45580</v>
      </c>
      <c r="C2244" s="11" t="s">
        <v>2262</v>
      </c>
      <c r="D2244" s="1" t="s">
        <v>9</v>
      </c>
      <c r="E2244" s="1" t="s">
        <v>18</v>
      </c>
      <c r="F2244" s="1" t="str">
        <f aca="false">TEXT(B2244,"mmm-yyyy")</f>
        <v>Oct-2024</v>
      </c>
    </row>
    <row r="2245" customFormat="false" ht="72" hidden="false" customHeight="true" outlineLevel="0" collapsed="false">
      <c r="A2245" s="1" t="n">
        <v>1</v>
      </c>
      <c r="B2245" s="10" t="n">
        <v>45573</v>
      </c>
      <c r="C2245" s="11" t="s">
        <v>2263</v>
      </c>
      <c r="D2245" s="1" t="s">
        <v>9</v>
      </c>
      <c r="E2245" s="1" t="s">
        <v>20</v>
      </c>
      <c r="F2245" s="1" t="str">
        <f aca="false">TEXT(B2245,"mmm-yyyy")</f>
        <v>Oct-2024</v>
      </c>
    </row>
    <row r="2246" customFormat="false" ht="57.75" hidden="false" customHeight="true" outlineLevel="0" collapsed="false">
      <c r="A2246" s="1" t="n">
        <v>1</v>
      </c>
      <c r="B2246" s="10" t="n">
        <v>45569</v>
      </c>
      <c r="C2246" s="11" t="s">
        <v>2264</v>
      </c>
      <c r="D2246" s="1" t="s">
        <v>9</v>
      </c>
      <c r="E2246" s="1" t="s">
        <v>18</v>
      </c>
      <c r="F2246" s="1" t="str">
        <f aca="false">TEXT(B2246,"mmm-yyyy")</f>
        <v>Oct-2024</v>
      </c>
    </row>
    <row r="2247" customFormat="false" ht="57.75" hidden="false" customHeight="true" outlineLevel="0" collapsed="false">
      <c r="A2247" s="1" t="n">
        <v>5</v>
      </c>
      <c r="B2247" s="10" t="n">
        <v>45588</v>
      </c>
      <c r="C2247" s="11" t="s">
        <v>2265</v>
      </c>
      <c r="D2247" s="1" t="s">
        <v>9</v>
      </c>
      <c r="E2247" s="1" t="s">
        <v>18</v>
      </c>
      <c r="F2247" s="1" t="str">
        <f aca="false">TEXT(B2247,"mmm-yyyy")</f>
        <v>Oct-2024</v>
      </c>
    </row>
    <row r="2248" customFormat="false" ht="57.75" hidden="false" customHeight="true" outlineLevel="0" collapsed="false">
      <c r="A2248" s="1" t="n">
        <v>1</v>
      </c>
      <c r="B2248" s="10" t="n">
        <v>45576</v>
      </c>
      <c r="C2248" s="11" t="s">
        <v>2266</v>
      </c>
      <c r="D2248" s="1" t="s">
        <v>9</v>
      </c>
      <c r="E2248" s="1" t="s">
        <v>20</v>
      </c>
      <c r="F2248" s="1" t="str">
        <f aca="false">TEXT(B2248,"mmm-yyyy")</f>
        <v>Oct-2024</v>
      </c>
    </row>
    <row r="2249" customFormat="false" ht="144.75" hidden="false" customHeight="true" outlineLevel="0" collapsed="false">
      <c r="A2249" s="1" t="n">
        <v>1</v>
      </c>
      <c r="B2249" s="10" t="n">
        <v>45616</v>
      </c>
      <c r="C2249" s="11" t="s">
        <v>2267</v>
      </c>
      <c r="D2249" s="1" t="s">
        <v>9</v>
      </c>
      <c r="E2249" s="1" t="s">
        <v>20</v>
      </c>
      <c r="F2249" s="1" t="str">
        <f aca="false">TEXT(B2249,"mmm-yyyy")</f>
        <v>Nov-2024</v>
      </c>
    </row>
    <row r="2250" customFormat="false" ht="43.5" hidden="false" customHeight="true" outlineLevel="0" collapsed="false">
      <c r="A2250" s="1" t="n">
        <v>1</v>
      </c>
      <c r="B2250" s="10" t="n">
        <v>45580</v>
      </c>
      <c r="C2250" s="11" t="s">
        <v>2268</v>
      </c>
      <c r="D2250" s="1" t="s">
        <v>9</v>
      </c>
      <c r="E2250" s="1" t="s">
        <v>18</v>
      </c>
      <c r="F2250" s="1" t="str">
        <f aca="false">TEXT(B2250,"mmm-yyyy")</f>
        <v>Oct-2024</v>
      </c>
    </row>
    <row r="2251" customFormat="false" ht="130.5" hidden="false" customHeight="true" outlineLevel="0" collapsed="false">
      <c r="A2251" s="1" t="n">
        <v>1</v>
      </c>
      <c r="B2251" s="10" t="n">
        <v>45576</v>
      </c>
      <c r="C2251" s="11" t="s">
        <v>2269</v>
      </c>
      <c r="D2251" s="1" t="s">
        <v>9</v>
      </c>
      <c r="E2251" s="1" t="s">
        <v>20</v>
      </c>
      <c r="F2251" s="1" t="str">
        <f aca="false">TEXT(B2251,"mmm-yyyy")</f>
        <v>Oct-2024</v>
      </c>
    </row>
    <row r="2252" customFormat="false" ht="57.75" hidden="false" customHeight="true" outlineLevel="0" collapsed="false">
      <c r="A2252" s="1" t="n">
        <v>1</v>
      </c>
      <c r="B2252" s="10" t="n">
        <v>45580</v>
      </c>
      <c r="C2252" s="11" t="s">
        <v>2270</v>
      </c>
      <c r="D2252" s="1" t="s">
        <v>9</v>
      </c>
      <c r="E2252" s="1" t="s">
        <v>20</v>
      </c>
      <c r="F2252" s="1" t="str">
        <f aca="false">TEXT(B2252,"mmm-yyyy")</f>
        <v>Oct-2024</v>
      </c>
    </row>
    <row r="2253" customFormat="false" ht="72" hidden="false" customHeight="true" outlineLevel="0" collapsed="false">
      <c r="A2253" s="1" t="n">
        <v>1</v>
      </c>
      <c r="B2253" s="10" t="n">
        <v>45583</v>
      </c>
      <c r="C2253" s="11" t="s">
        <v>2271</v>
      </c>
      <c r="D2253" s="1" t="s">
        <v>9</v>
      </c>
      <c r="E2253" s="1" t="s">
        <v>20</v>
      </c>
      <c r="F2253" s="1" t="str">
        <f aca="false">TEXT(B2253,"mmm-yyyy")</f>
        <v>Oct-2024</v>
      </c>
    </row>
    <row r="2254" customFormat="false" ht="87" hidden="false" customHeight="true" outlineLevel="0" collapsed="false">
      <c r="A2254" s="1" t="n">
        <v>5</v>
      </c>
      <c r="B2254" s="10" t="n">
        <v>45577</v>
      </c>
      <c r="C2254" s="11" t="s">
        <v>2272</v>
      </c>
      <c r="D2254" s="1" t="s">
        <v>9</v>
      </c>
      <c r="E2254" s="1" t="s">
        <v>18</v>
      </c>
      <c r="F2254" s="1" t="str">
        <f aca="false">TEXT(B2254,"mmm-yyyy")</f>
        <v>Oct-2024</v>
      </c>
    </row>
    <row r="2255" customFormat="false" ht="43.5" hidden="false" customHeight="true" outlineLevel="0" collapsed="false">
      <c r="A2255" s="1" t="n">
        <v>1</v>
      </c>
      <c r="B2255" s="10" t="n">
        <v>45575</v>
      </c>
      <c r="C2255" s="11" t="s">
        <v>2273</v>
      </c>
      <c r="D2255" s="1" t="s">
        <v>9</v>
      </c>
      <c r="E2255" s="1" t="s">
        <v>32</v>
      </c>
      <c r="F2255" s="1" t="str">
        <f aca="false">TEXT(B2255,"mmm-yyyy")</f>
        <v>Oct-2024</v>
      </c>
    </row>
    <row r="2256" customFormat="false" ht="43.5" hidden="false" customHeight="true" outlineLevel="0" collapsed="false">
      <c r="A2256" s="1" t="n">
        <v>1</v>
      </c>
      <c r="B2256" s="10" t="n">
        <v>45575</v>
      </c>
      <c r="C2256" s="11" t="s">
        <v>2274</v>
      </c>
      <c r="D2256" s="1" t="s">
        <v>9</v>
      </c>
      <c r="E2256" s="1" t="s">
        <v>20</v>
      </c>
      <c r="F2256" s="1" t="str">
        <f aca="false">TEXT(B2256,"mmm-yyyy")</f>
        <v>Oct-2024</v>
      </c>
    </row>
    <row r="2257" customFormat="false" ht="43.5" hidden="false" customHeight="true" outlineLevel="0" collapsed="false">
      <c r="A2257" s="1" t="n">
        <v>1</v>
      </c>
      <c r="B2257" s="10" t="n">
        <v>45582</v>
      </c>
      <c r="C2257" s="11" t="s">
        <v>2275</v>
      </c>
      <c r="D2257" s="1" t="s">
        <v>9</v>
      </c>
      <c r="E2257" s="1" t="s">
        <v>20</v>
      </c>
      <c r="F2257" s="1" t="str">
        <f aca="false">TEXT(B2257,"mmm-yyyy")</f>
        <v>Oct-2024</v>
      </c>
    </row>
    <row r="2258" customFormat="false" ht="57.75" hidden="false" customHeight="true" outlineLevel="0" collapsed="false">
      <c r="A2258" s="1" t="n">
        <v>4</v>
      </c>
      <c r="B2258" s="10" t="n">
        <v>45578</v>
      </c>
      <c r="C2258" s="11" t="s">
        <v>2276</v>
      </c>
      <c r="D2258" s="1" t="s">
        <v>9</v>
      </c>
      <c r="E2258" s="1" t="s">
        <v>20</v>
      </c>
      <c r="F2258" s="1" t="str">
        <f aca="false">TEXT(B2258,"mmm-yyyy")</f>
        <v>Oct-2024</v>
      </c>
    </row>
    <row r="2259" customFormat="false" ht="57.75" hidden="false" customHeight="true" outlineLevel="0" collapsed="false">
      <c r="A2259" s="1" t="n">
        <v>1</v>
      </c>
      <c r="B2259" s="10" t="n">
        <v>45612</v>
      </c>
      <c r="C2259" s="11" t="s">
        <v>2277</v>
      </c>
      <c r="D2259" s="1" t="s">
        <v>9</v>
      </c>
      <c r="E2259" s="1" t="s">
        <v>20</v>
      </c>
      <c r="F2259" s="1" t="str">
        <f aca="false">TEXT(B2259,"mmm-yyyy")</f>
        <v>Nov-2024</v>
      </c>
    </row>
    <row r="2260" customFormat="false" ht="43.5" hidden="false" customHeight="true" outlineLevel="0" collapsed="false">
      <c r="A2260" s="1" t="n">
        <v>1</v>
      </c>
      <c r="B2260" s="10" t="n">
        <v>45589</v>
      </c>
      <c r="C2260" s="11" t="s">
        <v>2278</v>
      </c>
      <c r="D2260" s="1" t="s">
        <v>9</v>
      </c>
      <c r="E2260" s="1" t="s">
        <v>18</v>
      </c>
      <c r="F2260" s="1" t="str">
        <f aca="false">TEXT(B2260,"mmm-yyyy")</f>
        <v>Oct-2024</v>
      </c>
    </row>
    <row r="2261" customFormat="false" ht="72" hidden="false" customHeight="true" outlineLevel="0" collapsed="false">
      <c r="A2261" s="1" t="n">
        <v>1</v>
      </c>
      <c r="B2261" s="10" t="n">
        <v>45645</v>
      </c>
      <c r="C2261" s="11" t="s">
        <v>2279</v>
      </c>
      <c r="D2261" s="1" t="s">
        <v>9</v>
      </c>
      <c r="E2261" s="1" t="s">
        <v>20</v>
      </c>
      <c r="F2261" s="1" t="str">
        <f aca="false">TEXT(B2261,"mmm-yyyy")</f>
        <v>Dec-2024</v>
      </c>
    </row>
    <row r="2262" customFormat="false" ht="28.5" hidden="false" customHeight="true" outlineLevel="0" collapsed="false">
      <c r="A2262" s="1" t="n">
        <v>1</v>
      </c>
      <c r="B2262" s="10" t="n">
        <v>45603</v>
      </c>
      <c r="C2262" s="11" t="s">
        <v>2280</v>
      </c>
      <c r="D2262" s="1" t="s">
        <v>9</v>
      </c>
      <c r="E2262" s="1" t="s">
        <v>20</v>
      </c>
      <c r="F2262" s="1" t="str">
        <f aca="false">TEXT(B2262,"mmm-yyyy")</f>
        <v>Nov-2024</v>
      </c>
    </row>
    <row r="2263" customFormat="false" ht="43.5" hidden="false" customHeight="true" outlineLevel="0" collapsed="false">
      <c r="A2263" s="1" t="n">
        <v>5</v>
      </c>
      <c r="B2263" s="10" t="n">
        <v>45646</v>
      </c>
      <c r="C2263" s="11" t="s">
        <v>2281</v>
      </c>
      <c r="D2263" s="1" t="s">
        <v>9</v>
      </c>
      <c r="E2263" s="1" t="s">
        <v>32</v>
      </c>
      <c r="F2263" s="1" t="str">
        <f aca="false">TEXT(B2263,"mmm-yyyy")</f>
        <v>Dec-2024</v>
      </c>
    </row>
    <row r="2264" customFormat="false" ht="14.25" hidden="false" customHeight="true" outlineLevel="0" collapsed="false">
      <c r="A2264" s="1" t="n">
        <v>4</v>
      </c>
      <c r="B2264" s="10" t="n">
        <v>45646</v>
      </c>
      <c r="C2264" s="1" t="s">
        <v>2282</v>
      </c>
      <c r="D2264" s="1" t="s">
        <v>9</v>
      </c>
      <c r="E2264" s="1" t="s">
        <v>18</v>
      </c>
      <c r="F2264" s="1" t="str">
        <f aca="false">TEXT(B2264,"mmm-yyyy")</f>
        <v>Dec-2024</v>
      </c>
    </row>
    <row r="2265" customFormat="false" ht="28.5" hidden="false" customHeight="true" outlineLevel="0" collapsed="false">
      <c r="A2265" s="1" t="n">
        <v>2</v>
      </c>
      <c r="B2265" s="10" t="n">
        <v>45613</v>
      </c>
      <c r="C2265" s="11" t="s">
        <v>2283</v>
      </c>
      <c r="D2265" s="1" t="s">
        <v>9</v>
      </c>
      <c r="E2265" s="1" t="s">
        <v>20</v>
      </c>
      <c r="F2265" s="1" t="str">
        <f aca="false">TEXT(B2265,"mmm-yyyy")</f>
        <v>Nov-2024</v>
      </c>
    </row>
    <row r="2266" customFormat="false" ht="28.5" hidden="false" customHeight="true" outlineLevel="0" collapsed="false">
      <c r="A2266" s="1" t="n">
        <v>5</v>
      </c>
      <c r="B2266" s="10" t="n">
        <v>45654</v>
      </c>
      <c r="C2266" s="11" t="s">
        <v>2284</v>
      </c>
      <c r="D2266" s="1" t="s">
        <v>9</v>
      </c>
      <c r="E2266" s="1" t="s">
        <v>18</v>
      </c>
      <c r="F2266" s="1" t="str">
        <f aca="false">TEXT(B2266,"mmm-yyyy")</f>
        <v>Dec-2024</v>
      </c>
    </row>
    <row r="2267" customFormat="false" ht="28.5" hidden="false" customHeight="true" outlineLevel="0" collapsed="false">
      <c r="A2267" s="1" t="n">
        <v>1</v>
      </c>
      <c r="B2267" s="10" t="n">
        <v>45646</v>
      </c>
      <c r="C2267" s="11" t="s">
        <v>2285</v>
      </c>
      <c r="D2267" s="1" t="s">
        <v>9</v>
      </c>
      <c r="E2267" s="1" t="s">
        <v>20</v>
      </c>
      <c r="F2267" s="1" t="str">
        <f aca="false">TEXT(B2267,"mmm-yyyy")</f>
        <v>Dec-2024</v>
      </c>
    </row>
    <row r="2268" customFormat="false" ht="43.5" hidden="false" customHeight="true" outlineLevel="0" collapsed="false">
      <c r="A2268" s="1" t="n">
        <v>1</v>
      </c>
      <c r="B2268" s="10" t="n">
        <v>45640</v>
      </c>
      <c r="C2268" s="11" t="s">
        <v>2286</v>
      </c>
      <c r="D2268" s="1" t="s">
        <v>9</v>
      </c>
      <c r="E2268" s="1" t="s">
        <v>18</v>
      </c>
      <c r="F2268" s="1" t="str">
        <f aca="false">TEXT(B2268,"mmm-yyyy")</f>
        <v>Dec-2024</v>
      </c>
    </row>
    <row r="2269" customFormat="false" ht="43.5" hidden="false" customHeight="true" outlineLevel="0" collapsed="false">
      <c r="A2269" s="1" t="n">
        <v>1</v>
      </c>
      <c r="B2269" s="10" t="n">
        <v>45582</v>
      </c>
      <c r="C2269" s="11" t="s">
        <v>2287</v>
      </c>
      <c r="D2269" s="1" t="s">
        <v>9</v>
      </c>
      <c r="E2269" s="1" t="s">
        <v>20</v>
      </c>
      <c r="F2269" s="1" t="str">
        <f aca="false">TEXT(B2269,"mmm-yyyy")</f>
        <v>Oct-2024</v>
      </c>
    </row>
    <row r="2270" customFormat="false" ht="43.5" hidden="false" customHeight="true" outlineLevel="0" collapsed="false">
      <c r="A2270" s="1" t="n">
        <v>1</v>
      </c>
      <c r="B2270" s="10" t="n">
        <v>45630</v>
      </c>
      <c r="C2270" s="11" t="s">
        <v>2288</v>
      </c>
      <c r="D2270" s="1" t="s">
        <v>9</v>
      </c>
      <c r="E2270" s="1" t="s">
        <v>20</v>
      </c>
      <c r="F2270" s="1" t="str">
        <f aca="false">TEXT(B2270,"mmm-yyyy")</f>
        <v>Dec-2024</v>
      </c>
    </row>
    <row r="2271" customFormat="false" ht="130.5" hidden="false" customHeight="true" outlineLevel="0" collapsed="false">
      <c r="A2271" s="1" t="n">
        <v>1</v>
      </c>
      <c r="B2271" s="10" t="n">
        <v>45634</v>
      </c>
      <c r="C2271" s="11" t="s">
        <v>2289</v>
      </c>
      <c r="D2271" s="1" t="s">
        <v>9</v>
      </c>
      <c r="E2271" s="1" t="s">
        <v>20</v>
      </c>
      <c r="F2271" s="1" t="str">
        <f aca="false">TEXT(B2271,"mmm-yyyy")</f>
        <v>Dec-2024</v>
      </c>
    </row>
    <row r="2272" customFormat="false" ht="28.5" hidden="false" customHeight="true" outlineLevel="0" collapsed="false">
      <c r="A2272" s="1" t="n">
        <v>5</v>
      </c>
      <c r="B2272" s="10" t="n">
        <v>45636</v>
      </c>
      <c r="C2272" s="11" t="s">
        <v>2290</v>
      </c>
      <c r="D2272" s="1" t="s">
        <v>9</v>
      </c>
      <c r="E2272" s="1" t="s">
        <v>18</v>
      </c>
      <c r="F2272" s="1" t="str">
        <f aca="false">TEXT(B2272,"mmm-yyyy")</f>
        <v>Dec-2024</v>
      </c>
    </row>
    <row r="2273" customFormat="false" ht="43.5" hidden="false" customHeight="true" outlineLevel="0" collapsed="false">
      <c r="A2273" s="1" t="n">
        <v>1</v>
      </c>
      <c r="B2273" s="10" t="n">
        <v>45628</v>
      </c>
      <c r="C2273" s="11" t="s">
        <v>2291</v>
      </c>
      <c r="D2273" s="1" t="s">
        <v>9</v>
      </c>
      <c r="E2273" s="1" t="s">
        <v>20</v>
      </c>
      <c r="F2273" s="1" t="str">
        <f aca="false">TEXT(B2273,"mmm-yyyy")</f>
        <v>Dec-2024</v>
      </c>
    </row>
    <row r="2274" customFormat="false" ht="28.5" hidden="false" customHeight="true" outlineLevel="0" collapsed="false">
      <c r="A2274" s="1" t="n">
        <v>3</v>
      </c>
      <c r="B2274" s="10" t="n">
        <v>45630</v>
      </c>
      <c r="C2274" s="11" t="s">
        <v>2292</v>
      </c>
      <c r="D2274" s="1" t="s">
        <v>9</v>
      </c>
      <c r="E2274" s="1" t="s">
        <v>18</v>
      </c>
      <c r="F2274" s="1" t="str">
        <f aca="false">TEXT(B2274,"mmm-yyyy")</f>
        <v>Dec-2024</v>
      </c>
    </row>
    <row r="2275" customFormat="false" ht="28.5" hidden="false" customHeight="true" outlineLevel="0" collapsed="false">
      <c r="A2275" s="1" t="n">
        <v>4</v>
      </c>
      <c r="B2275" s="10" t="n">
        <v>45639</v>
      </c>
      <c r="C2275" s="11" t="s">
        <v>2293</v>
      </c>
      <c r="D2275" s="1" t="s">
        <v>9</v>
      </c>
      <c r="E2275" s="1" t="s">
        <v>18</v>
      </c>
      <c r="F2275" s="1" t="str">
        <f aca="false">TEXT(B2275,"mmm-yyyy")</f>
        <v>Dec-2024</v>
      </c>
    </row>
    <row r="2276" customFormat="false" ht="43.5" hidden="false" customHeight="true" outlineLevel="0" collapsed="false">
      <c r="A2276" s="1" t="n">
        <v>5</v>
      </c>
      <c r="B2276" s="10" t="n">
        <v>45631</v>
      </c>
      <c r="C2276" s="11" t="s">
        <v>2294</v>
      </c>
      <c r="D2276" s="1" t="s">
        <v>9</v>
      </c>
      <c r="E2276" s="1" t="s">
        <v>18</v>
      </c>
      <c r="F2276" s="1" t="str">
        <f aca="false">TEXT(B2276,"mmm-yyyy")</f>
        <v>Dec-2024</v>
      </c>
    </row>
    <row r="2277" customFormat="false" ht="43.5" hidden="false" customHeight="true" outlineLevel="0" collapsed="false">
      <c r="A2277" s="1" t="n">
        <v>5</v>
      </c>
      <c r="B2277" s="10" t="n">
        <v>45635</v>
      </c>
      <c r="C2277" s="11" t="s">
        <v>2295</v>
      </c>
      <c r="D2277" s="1" t="s">
        <v>9</v>
      </c>
      <c r="E2277" s="1" t="s">
        <v>18</v>
      </c>
      <c r="F2277" s="1" t="str">
        <f aca="false">TEXT(B2277,"mmm-yyyy")</f>
        <v>Dec-2024</v>
      </c>
    </row>
    <row r="2278" customFormat="false" ht="28.5" hidden="false" customHeight="true" outlineLevel="0" collapsed="false">
      <c r="A2278" s="1" t="n">
        <v>1</v>
      </c>
      <c r="B2278" s="10" t="n">
        <v>45631</v>
      </c>
      <c r="C2278" s="11" t="s">
        <v>2296</v>
      </c>
      <c r="D2278" s="1" t="s">
        <v>9</v>
      </c>
      <c r="E2278" s="1" t="s">
        <v>20</v>
      </c>
      <c r="F2278" s="1" t="str">
        <f aca="false">TEXT(B2278,"mmm-yyyy")</f>
        <v>Dec-2024</v>
      </c>
    </row>
    <row r="2279" customFormat="false" ht="43.5" hidden="false" customHeight="true" outlineLevel="0" collapsed="false">
      <c r="A2279" s="1" t="n">
        <v>5</v>
      </c>
      <c r="B2279" s="10" t="n">
        <v>45632</v>
      </c>
      <c r="C2279" s="11" t="s">
        <v>2297</v>
      </c>
      <c r="D2279" s="1" t="s">
        <v>9</v>
      </c>
      <c r="E2279" s="1" t="s">
        <v>18</v>
      </c>
      <c r="F2279" s="1" t="str">
        <f aca="false">TEXT(B2279,"mmm-yyyy")</f>
        <v>Dec-2024</v>
      </c>
    </row>
    <row r="2280" customFormat="false" ht="14.25" hidden="false" customHeight="true" outlineLevel="0" collapsed="false">
      <c r="A2280" s="1" t="n">
        <v>5</v>
      </c>
      <c r="B2280" s="10" t="n">
        <v>45630</v>
      </c>
      <c r="C2280" s="1" t="s">
        <v>2298</v>
      </c>
      <c r="D2280" s="1" t="s">
        <v>9</v>
      </c>
      <c r="E2280" s="1" t="s">
        <v>18</v>
      </c>
      <c r="F2280" s="1" t="str">
        <f aca="false">TEXT(B2280,"mmm-yyyy")</f>
        <v>Dec-2024</v>
      </c>
    </row>
    <row r="2281" customFormat="false" ht="43.5" hidden="false" customHeight="true" outlineLevel="0" collapsed="false">
      <c r="A2281" s="1" t="n">
        <v>5</v>
      </c>
      <c r="B2281" s="10" t="n">
        <v>45634</v>
      </c>
      <c r="C2281" s="11" t="s">
        <v>2299</v>
      </c>
      <c r="D2281" s="1" t="s">
        <v>9</v>
      </c>
      <c r="E2281" s="1" t="s">
        <v>18</v>
      </c>
      <c r="F2281" s="1" t="str">
        <f aca="false">TEXT(B2281,"mmm-yyyy")</f>
        <v>Dec-2024</v>
      </c>
    </row>
    <row r="2282" customFormat="false" ht="87" hidden="false" customHeight="true" outlineLevel="0" collapsed="false">
      <c r="A2282" s="1" t="n">
        <v>1</v>
      </c>
      <c r="B2282" s="10" t="n">
        <v>45633</v>
      </c>
      <c r="C2282" s="11" t="s">
        <v>2300</v>
      </c>
      <c r="D2282" s="1" t="s">
        <v>9</v>
      </c>
      <c r="E2282" s="1" t="s">
        <v>18</v>
      </c>
      <c r="F2282" s="1" t="str">
        <f aca="false">TEXT(B2282,"mmm-yyyy")</f>
        <v>Dec-2024</v>
      </c>
    </row>
    <row r="2283" customFormat="false" ht="28.5" hidden="false" customHeight="true" outlineLevel="0" collapsed="false">
      <c r="A2283" s="1" t="n">
        <v>5</v>
      </c>
      <c r="B2283" s="10" t="n">
        <v>45636</v>
      </c>
      <c r="C2283" s="11" t="s">
        <v>2301</v>
      </c>
      <c r="D2283" s="1" t="s">
        <v>9</v>
      </c>
      <c r="E2283" s="1" t="s">
        <v>18</v>
      </c>
      <c r="F2283" s="1" t="str">
        <f aca="false">TEXT(B2283,"mmm-yyyy")</f>
        <v>Dec-2024</v>
      </c>
    </row>
    <row r="2284" customFormat="false" ht="130.5" hidden="false" customHeight="true" outlineLevel="0" collapsed="false">
      <c r="A2284" s="1" t="n">
        <v>1</v>
      </c>
      <c r="B2284" s="10" t="n">
        <v>45637</v>
      </c>
      <c r="C2284" s="11" t="s">
        <v>2302</v>
      </c>
      <c r="D2284" s="1" t="s">
        <v>9</v>
      </c>
      <c r="E2284" s="1" t="s">
        <v>20</v>
      </c>
      <c r="F2284" s="1" t="str">
        <f aca="false">TEXT(B2284,"mmm-yyyy")</f>
        <v>Dec-2024</v>
      </c>
    </row>
    <row r="2285" customFormat="false" ht="57.75" hidden="false" customHeight="true" outlineLevel="0" collapsed="false">
      <c r="A2285" s="1" t="n">
        <v>1</v>
      </c>
      <c r="B2285" s="10" t="n">
        <v>45630</v>
      </c>
      <c r="C2285" s="11" t="s">
        <v>2303</v>
      </c>
      <c r="D2285" s="1" t="s">
        <v>9</v>
      </c>
      <c r="E2285" s="1" t="s">
        <v>20</v>
      </c>
      <c r="F2285" s="1" t="str">
        <f aca="false">TEXT(B2285,"mmm-yyyy")</f>
        <v>Dec-2024</v>
      </c>
    </row>
    <row r="2286" customFormat="false" ht="28.5" hidden="false" customHeight="true" outlineLevel="0" collapsed="false">
      <c r="A2286" s="1" t="n">
        <v>1</v>
      </c>
      <c r="B2286" s="10" t="n">
        <v>45632</v>
      </c>
      <c r="C2286" s="11" t="s">
        <v>2304</v>
      </c>
      <c r="D2286" s="1" t="s">
        <v>9</v>
      </c>
      <c r="E2286" s="1" t="s">
        <v>20</v>
      </c>
      <c r="F2286" s="1" t="str">
        <f aca="false">TEXT(B2286,"mmm-yyyy")</f>
        <v>Dec-2024</v>
      </c>
    </row>
    <row r="2287" customFormat="false" ht="28.5" hidden="false" customHeight="true" outlineLevel="0" collapsed="false">
      <c r="A2287" s="1" t="n">
        <v>5</v>
      </c>
      <c r="B2287" s="10" t="n">
        <v>45630</v>
      </c>
      <c r="C2287" s="11" t="s">
        <v>2305</v>
      </c>
      <c r="D2287" s="1" t="s">
        <v>9</v>
      </c>
      <c r="E2287" s="1" t="s">
        <v>18</v>
      </c>
      <c r="F2287" s="1" t="str">
        <f aca="false">TEXT(B2287,"mmm-yyyy")</f>
        <v>Dec-2024</v>
      </c>
    </row>
    <row r="2288" customFormat="false" ht="28.5" hidden="false" customHeight="true" outlineLevel="0" collapsed="false">
      <c r="A2288" s="1" t="n">
        <v>1</v>
      </c>
      <c r="B2288" s="10" t="n">
        <v>45638</v>
      </c>
      <c r="C2288" s="11" t="s">
        <v>2306</v>
      </c>
      <c r="D2288" s="1" t="s">
        <v>9</v>
      </c>
      <c r="E2288" s="1" t="s">
        <v>32</v>
      </c>
      <c r="F2288" s="1" t="str">
        <f aca="false">TEXT(B2288,"mmm-yyyy")</f>
        <v>Dec-2024</v>
      </c>
    </row>
    <row r="2289" customFormat="false" ht="43.5" hidden="false" customHeight="true" outlineLevel="0" collapsed="false">
      <c r="A2289" s="1" t="n">
        <v>1</v>
      </c>
      <c r="B2289" s="10" t="n">
        <v>45634</v>
      </c>
      <c r="C2289" s="11" t="s">
        <v>2307</v>
      </c>
      <c r="D2289" s="1" t="s">
        <v>9</v>
      </c>
      <c r="E2289" s="1" t="s">
        <v>20</v>
      </c>
      <c r="F2289" s="1" t="str">
        <f aca="false">TEXT(B2289,"mmm-yyyy")</f>
        <v>Dec-2024</v>
      </c>
    </row>
    <row r="2290" customFormat="false" ht="28.5" hidden="false" customHeight="true" outlineLevel="0" collapsed="false">
      <c r="A2290" s="1" t="n">
        <v>1</v>
      </c>
      <c r="B2290" s="10" t="n">
        <v>45629</v>
      </c>
      <c r="C2290" s="11" t="s">
        <v>2308</v>
      </c>
      <c r="D2290" s="1" t="s">
        <v>9</v>
      </c>
      <c r="E2290" s="1" t="s">
        <v>20</v>
      </c>
      <c r="F2290" s="1" t="str">
        <f aca="false">TEXT(B2290,"mmm-yyyy")</f>
        <v>Dec-2024</v>
      </c>
    </row>
    <row r="2291" customFormat="false" ht="72" hidden="false" customHeight="true" outlineLevel="0" collapsed="false">
      <c r="A2291" s="1" t="n">
        <v>1</v>
      </c>
      <c r="B2291" s="10" t="n">
        <v>45635</v>
      </c>
      <c r="C2291" s="11" t="s">
        <v>2309</v>
      </c>
      <c r="D2291" s="1" t="s">
        <v>9</v>
      </c>
      <c r="E2291" s="1" t="s">
        <v>20</v>
      </c>
      <c r="F2291" s="1" t="str">
        <f aca="false">TEXT(B2291,"mmm-yyyy")</f>
        <v>Dec-2024</v>
      </c>
    </row>
    <row r="2292" customFormat="false" ht="28.5" hidden="false" customHeight="true" outlineLevel="0" collapsed="false">
      <c r="A2292" s="1" t="n">
        <v>1</v>
      </c>
      <c r="B2292" s="10" t="n">
        <v>45629</v>
      </c>
      <c r="C2292" s="11" t="s">
        <v>2310</v>
      </c>
      <c r="D2292" s="1" t="s">
        <v>9</v>
      </c>
      <c r="E2292" s="1" t="s">
        <v>20</v>
      </c>
      <c r="F2292" s="1" t="str">
        <f aca="false">TEXT(B2292,"mmm-yyyy")</f>
        <v>Dec-2024</v>
      </c>
    </row>
    <row r="2293" customFormat="false" ht="28.5" hidden="false" customHeight="true" outlineLevel="0" collapsed="false">
      <c r="A2293" s="1" t="n">
        <v>1</v>
      </c>
      <c r="B2293" s="10" t="n">
        <v>45636</v>
      </c>
      <c r="C2293" s="11" t="s">
        <v>2311</v>
      </c>
      <c r="D2293" s="1" t="s">
        <v>9</v>
      </c>
      <c r="E2293" s="1" t="s">
        <v>20</v>
      </c>
      <c r="F2293" s="1" t="str">
        <f aca="false">TEXT(B2293,"mmm-yyyy")</f>
        <v>Dec-2024</v>
      </c>
    </row>
    <row r="2294" customFormat="false" ht="28.5" hidden="false" customHeight="true" outlineLevel="0" collapsed="false">
      <c r="A2294" s="1" t="n">
        <v>1</v>
      </c>
      <c r="B2294" s="10" t="n">
        <v>45638</v>
      </c>
      <c r="C2294" s="11" t="s">
        <v>2312</v>
      </c>
      <c r="D2294" s="1" t="s">
        <v>9</v>
      </c>
      <c r="E2294" s="1" t="s">
        <v>20</v>
      </c>
      <c r="F2294" s="1" t="str">
        <f aca="false">TEXT(B2294,"mmm-yyyy")</f>
        <v>Dec-2024</v>
      </c>
    </row>
    <row r="2295" customFormat="false" ht="28.5" hidden="false" customHeight="true" outlineLevel="0" collapsed="false">
      <c r="A2295" s="1" t="n">
        <v>5</v>
      </c>
      <c r="B2295" s="10" t="n">
        <v>45634</v>
      </c>
      <c r="C2295" s="11" t="s">
        <v>2313</v>
      </c>
      <c r="D2295" s="1" t="s">
        <v>9</v>
      </c>
      <c r="E2295" s="1" t="s">
        <v>18</v>
      </c>
      <c r="F2295" s="1" t="str">
        <f aca="false">TEXT(B2295,"mmm-yyyy")</f>
        <v>Dec-2024</v>
      </c>
    </row>
    <row r="2296" customFormat="false" ht="14.25" hidden="false" customHeight="true" outlineLevel="0" collapsed="false">
      <c r="A2296" s="1" t="n">
        <v>5</v>
      </c>
      <c r="B2296" s="10" t="n">
        <v>45637</v>
      </c>
      <c r="C2296" s="1" t="s">
        <v>2314</v>
      </c>
      <c r="D2296" s="1" t="s">
        <v>9</v>
      </c>
      <c r="E2296" s="1" t="s">
        <v>18</v>
      </c>
      <c r="F2296" s="1" t="str">
        <f aca="false">TEXT(B2296,"mmm-yyyy")</f>
        <v>Dec-2024</v>
      </c>
    </row>
    <row r="2297" customFormat="false" ht="28.5" hidden="false" customHeight="true" outlineLevel="0" collapsed="false">
      <c r="A2297" s="1" t="n">
        <v>2</v>
      </c>
      <c r="B2297" s="10" t="n">
        <v>45637</v>
      </c>
      <c r="C2297" s="11" t="s">
        <v>2315</v>
      </c>
      <c r="D2297" s="1" t="s">
        <v>9</v>
      </c>
      <c r="E2297" s="1" t="s">
        <v>18</v>
      </c>
      <c r="F2297" s="1" t="str">
        <f aca="false">TEXT(B2297,"mmm-yyyy")</f>
        <v>Dec-2024</v>
      </c>
    </row>
    <row r="2298" customFormat="false" ht="28.5" hidden="false" customHeight="true" outlineLevel="0" collapsed="false">
      <c r="A2298" s="1" t="n">
        <v>1</v>
      </c>
      <c r="B2298" s="10" t="n">
        <v>45634</v>
      </c>
      <c r="C2298" s="11" t="s">
        <v>2316</v>
      </c>
      <c r="D2298" s="1" t="s">
        <v>9</v>
      </c>
      <c r="E2298" s="1" t="s">
        <v>32</v>
      </c>
      <c r="F2298" s="1" t="str">
        <f aca="false">TEXT(B2298,"mmm-yyyy")</f>
        <v>Dec-2024</v>
      </c>
    </row>
    <row r="2299" customFormat="false" ht="28.5" hidden="false" customHeight="true" outlineLevel="0" collapsed="false">
      <c r="A2299" s="1" t="n">
        <v>5</v>
      </c>
      <c r="B2299" s="10" t="n">
        <v>45630</v>
      </c>
      <c r="C2299" s="11" t="s">
        <v>2317</v>
      </c>
      <c r="D2299" s="1" t="s">
        <v>9</v>
      </c>
      <c r="E2299" s="1" t="s">
        <v>32</v>
      </c>
      <c r="F2299" s="1" t="str">
        <f aca="false">TEXT(B2299,"mmm-yyyy")</f>
        <v>Dec-2024</v>
      </c>
    </row>
    <row r="2300" customFormat="false" ht="28.5" hidden="false" customHeight="true" outlineLevel="0" collapsed="false">
      <c r="A2300" s="1" t="n">
        <v>1</v>
      </c>
      <c r="B2300" s="10" t="n">
        <v>45631</v>
      </c>
      <c r="C2300" s="11" t="s">
        <v>2318</v>
      </c>
      <c r="D2300" s="1" t="s">
        <v>9</v>
      </c>
      <c r="E2300" s="1" t="s">
        <v>20</v>
      </c>
      <c r="F2300" s="1" t="str">
        <f aca="false">TEXT(B2300,"mmm-yyyy")</f>
        <v>Dec-2024</v>
      </c>
    </row>
    <row r="2301" customFormat="false" ht="28.5" hidden="false" customHeight="true" outlineLevel="0" collapsed="false">
      <c r="A2301" s="1" t="n">
        <v>1</v>
      </c>
      <c r="B2301" s="10" t="n">
        <v>45649</v>
      </c>
      <c r="C2301" s="11" t="s">
        <v>2319</v>
      </c>
      <c r="D2301" s="1" t="s">
        <v>9</v>
      </c>
      <c r="E2301" s="1" t="s">
        <v>20</v>
      </c>
      <c r="F2301" s="1" t="str">
        <f aca="false">TEXT(B2301,"mmm-yyyy")</f>
        <v>Dec-2024</v>
      </c>
    </row>
    <row r="2302" customFormat="false" ht="28.5" hidden="false" customHeight="true" outlineLevel="0" collapsed="false">
      <c r="A2302" s="1" t="n">
        <v>5</v>
      </c>
      <c r="B2302" s="10" t="n">
        <v>45656</v>
      </c>
      <c r="C2302" s="11" t="s">
        <v>2320</v>
      </c>
      <c r="D2302" s="1" t="s">
        <v>9</v>
      </c>
      <c r="E2302" s="1" t="s">
        <v>18</v>
      </c>
      <c r="F2302" s="1" t="str">
        <f aca="false">TEXT(B2302,"mmm-yyyy")</f>
        <v>Dec-2024</v>
      </c>
    </row>
    <row r="2303" customFormat="false" ht="130.5" hidden="false" customHeight="true" outlineLevel="0" collapsed="false">
      <c r="A2303" s="1" t="n">
        <v>1</v>
      </c>
      <c r="B2303" s="10" t="n">
        <v>45482</v>
      </c>
      <c r="C2303" s="11" t="s">
        <v>2321</v>
      </c>
      <c r="D2303" s="1" t="s">
        <v>9</v>
      </c>
      <c r="E2303" s="1" t="s">
        <v>18</v>
      </c>
      <c r="F2303" s="1" t="str">
        <f aca="false">TEXT(B2303,"mmm-yyyy")</f>
        <v>Jul-2024</v>
      </c>
    </row>
    <row r="2304" customFormat="false" ht="14.25" hidden="false" customHeight="true" outlineLevel="0" collapsed="false">
      <c r="A2304" s="1" t="n">
        <v>1</v>
      </c>
      <c r="B2304" s="10" t="n">
        <v>45648</v>
      </c>
      <c r="C2304" s="1" t="s">
        <v>2322</v>
      </c>
      <c r="D2304" s="1" t="s">
        <v>9</v>
      </c>
      <c r="E2304" s="1" t="s">
        <v>20</v>
      </c>
      <c r="F2304" s="1" t="str">
        <f aca="false">TEXT(B2304,"mmm-yyyy")</f>
        <v>Dec-2024</v>
      </c>
    </row>
    <row r="2305" customFormat="false" ht="43.5" hidden="false" customHeight="true" outlineLevel="0" collapsed="false">
      <c r="A2305" s="1" t="n">
        <v>1</v>
      </c>
      <c r="B2305" s="10" t="n">
        <v>45587</v>
      </c>
      <c r="C2305" s="11" t="s">
        <v>2323</v>
      </c>
      <c r="D2305" s="1" t="s">
        <v>9</v>
      </c>
      <c r="E2305" s="1" t="s">
        <v>20</v>
      </c>
      <c r="F2305" s="1" t="str">
        <f aca="false">TEXT(B2305,"mmm-yyyy")</f>
        <v>Oct-2024</v>
      </c>
    </row>
    <row r="2306" customFormat="false" ht="115.5" hidden="false" customHeight="true" outlineLevel="0" collapsed="false">
      <c r="A2306" s="1" t="n">
        <v>1</v>
      </c>
      <c r="B2306" s="10" t="n">
        <v>45488</v>
      </c>
      <c r="C2306" s="11" t="s">
        <v>2324</v>
      </c>
      <c r="D2306" s="1" t="s">
        <v>9</v>
      </c>
      <c r="E2306" s="1" t="s">
        <v>20</v>
      </c>
      <c r="F2306" s="1" t="str">
        <f aca="false">TEXT(B2306,"mmm-yyyy")</f>
        <v>Jul-2024</v>
      </c>
    </row>
    <row r="2307" customFormat="false" ht="43.5" hidden="false" customHeight="true" outlineLevel="0" collapsed="false">
      <c r="A2307" s="1" t="n">
        <v>1</v>
      </c>
      <c r="B2307" s="10" t="n">
        <v>45647</v>
      </c>
      <c r="C2307" s="11" t="s">
        <v>2325</v>
      </c>
      <c r="D2307" s="1" t="s">
        <v>9</v>
      </c>
      <c r="E2307" s="1" t="s">
        <v>18</v>
      </c>
      <c r="F2307" s="1" t="str">
        <f aca="false">TEXT(B2307,"mmm-yyyy")</f>
        <v>Dec-2024</v>
      </c>
    </row>
    <row r="2308" customFormat="false" ht="130.5" hidden="false" customHeight="true" outlineLevel="0" collapsed="false">
      <c r="A2308" s="1" t="n">
        <v>1</v>
      </c>
      <c r="B2308" s="10" t="n">
        <v>45537</v>
      </c>
      <c r="C2308" s="11" t="s">
        <v>2326</v>
      </c>
      <c r="D2308" s="1" t="s">
        <v>9</v>
      </c>
      <c r="E2308" s="1" t="s">
        <v>18</v>
      </c>
      <c r="F2308" s="1" t="str">
        <f aca="false">TEXT(B2308,"mmm-yyyy")</f>
        <v>Sep-2024</v>
      </c>
    </row>
    <row r="2309" customFormat="false" ht="43.5" hidden="false" customHeight="true" outlineLevel="0" collapsed="false">
      <c r="A2309" s="1" t="n">
        <v>1</v>
      </c>
      <c r="B2309" s="10" t="n">
        <v>45628</v>
      </c>
      <c r="C2309" s="11" t="s">
        <v>2327</v>
      </c>
      <c r="D2309" s="1" t="s">
        <v>9</v>
      </c>
      <c r="E2309" s="1" t="s">
        <v>20</v>
      </c>
      <c r="F2309" s="1" t="str">
        <f aca="false">TEXT(B2309,"mmm-yyyy")</f>
        <v>Dec-2024</v>
      </c>
    </row>
    <row r="2310" customFormat="false" ht="28.5" hidden="false" customHeight="true" outlineLevel="0" collapsed="false">
      <c r="A2310" s="1" t="n">
        <v>1</v>
      </c>
      <c r="B2310" s="10" t="n">
        <v>45595</v>
      </c>
      <c r="C2310" s="11" t="s">
        <v>2328</v>
      </c>
      <c r="D2310" s="1" t="s">
        <v>9</v>
      </c>
      <c r="E2310" s="1" t="s">
        <v>20</v>
      </c>
      <c r="F2310" s="1" t="str">
        <f aca="false">TEXT(B2310,"mmm-yyyy")</f>
        <v>Oct-2024</v>
      </c>
    </row>
    <row r="2311" customFormat="false" ht="101.25" hidden="false" customHeight="true" outlineLevel="0" collapsed="false">
      <c r="A2311" s="1" t="n">
        <v>1</v>
      </c>
      <c r="B2311" s="10" t="n">
        <v>45601</v>
      </c>
      <c r="C2311" s="11" t="s">
        <v>2329</v>
      </c>
      <c r="D2311" s="1" t="s">
        <v>9</v>
      </c>
      <c r="E2311" s="1" t="s">
        <v>20</v>
      </c>
      <c r="F2311" s="1" t="str">
        <f aca="false">TEXT(B2311,"mmm-yyyy")</f>
        <v>Nov-2024</v>
      </c>
    </row>
    <row r="2312" customFormat="false" ht="28.5" hidden="false" customHeight="true" outlineLevel="0" collapsed="false">
      <c r="A2312" s="1" t="n">
        <v>5</v>
      </c>
      <c r="B2312" s="10" t="n">
        <v>45619</v>
      </c>
      <c r="C2312" s="11" t="s">
        <v>2330</v>
      </c>
      <c r="D2312" s="1" t="s">
        <v>9</v>
      </c>
      <c r="E2312" s="1" t="s">
        <v>18</v>
      </c>
      <c r="F2312" s="1" t="str">
        <f aca="false">TEXT(B2312,"mmm-yyyy")</f>
        <v>Nov-2024</v>
      </c>
    </row>
    <row r="2313" customFormat="false" ht="28.5" hidden="false" customHeight="true" outlineLevel="0" collapsed="false">
      <c r="A2313" s="1" t="n">
        <v>1</v>
      </c>
      <c r="B2313" s="10" t="n">
        <v>45594</v>
      </c>
      <c r="C2313" s="11" t="s">
        <v>2331</v>
      </c>
      <c r="D2313" s="1" t="s">
        <v>9</v>
      </c>
      <c r="E2313" s="1" t="s">
        <v>20</v>
      </c>
      <c r="F2313" s="1" t="str">
        <f aca="false">TEXT(B2313,"mmm-yyyy")</f>
        <v>Oct-2024</v>
      </c>
    </row>
    <row r="2314" customFormat="false" ht="28.5" hidden="false" customHeight="true" outlineLevel="0" collapsed="false">
      <c r="A2314" s="1" t="n">
        <v>1</v>
      </c>
      <c r="B2314" s="10" t="n">
        <v>45591</v>
      </c>
      <c r="C2314" s="11" t="s">
        <v>2332</v>
      </c>
      <c r="D2314" s="1" t="s">
        <v>9</v>
      </c>
      <c r="E2314" s="1" t="s">
        <v>20</v>
      </c>
      <c r="F2314" s="1" t="str">
        <f aca="false">TEXT(B2314,"mmm-yyyy")</f>
        <v>Oct-2024</v>
      </c>
    </row>
    <row r="2315" customFormat="false" ht="43.5" hidden="false" customHeight="true" outlineLevel="0" collapsed="false">
      <c r="A2315" s="1" t="n">
        <v>1</v>
      </c>
      <c r="B2315" s="10" t="n">
        <v>45598</v>
      </c>
      <c r="C2315" s="11" t="s">
        <v>2333</v>
      </c>
      <c r="D2315" s="1" t="s">
        <v>9</v>
      </c>
      <c r="E2315" s="1" t="s">
        <v>20</v>
      </c>
      <c r="F2315" s="1" t="str">
        <f aca="false">TEXT(B2315,"mmm-yyyy")</f>
        <v>Nov-2024</v>
      </c>
    </row>
    <row r="2316" customFormat="false" ht="28.5" hidden="false" customHeight="true" outlineLevel="0" collapsed="false">
      <c r="A2316" s="1" t="n">
        <v>1</v>
      </c>
      <c r="B2316" s="10" t="n">
        <v>45606</v>
      </c>
      <c r="C2316" s="11" t="s">
        <v>2334</v>
      </c>
      <c r="D2316" s="1" t="s">
        <v>9</v>
      </c>
      <c r="E2316" s="1" t="s">
        <v>20</v>
      </c>
      <c r="F2316" s="1" t="str">
        <f aca="false">TEXT(B2316,"mmm-yyyy")</f>
        <v>Nov-2024</v>
      </c>
    </row>
    <row r="2317" customFormat="false" ht="28.5" hidden="false" customHeight="true" outlineLevel="0" collapsed="false">
      <c r="A2317" s="1" t="n">
        <v>3</v>
      </c>
      <c r="B2317" s="10" t="n">
        <v>45598</v>
      </c>
      <c r="C2317" s="11" t="s">
        <v>2335</v>
      </c>
      <c r="D2317" s="1" t="s">
        <v>9</v>
      </c>
      <c r="E2317" s="1" t="s">
        <v>18</v>
      </c>
      <c r="F2317" s="1" t="str">
        <f aca="false">TEXT(B2317,"mmm-yyyy")</f>
        <v>Nov-2024</v>
      </c>
    </row>
    <row r="2318" customFormat="false" ht="28.5" hidden="false" customHeight="true" outlineLevel="0" collapsed="false">
      <c r="A2318" s="1" t="n">
        <v>5</v>
      </c>
      <c r="B2318" s="10" t="n">
        <v>45604</v>
      </c>
      <c r="C2318" s="11" t="s">
        <v>2336</v>
      </c>
      <c r="D2318" s="1" t="s">
        <v>9</v>
      </c>
      <c r="E2318" s="1" t="s">
        <v>20</v>
      </c>
      <c r="F2318" s="1" t="str">
        <f aca="false">TEXT(B2318,"mmm-yyyy")</f>
        <v>Nov-2024</v>
      </c>
    </row>
    <row r="2319" customFormat="false" ht="72" hidden="false" customHeight="true" outlineLevel="0" collapsed="false">
      <c r="A2319" s="1" t="n">
        <v>1</v>
      </c>
      <c r="B2319" s="10" t="n">
        <v>45607</v>
      </c>
      <c r="C2319" s="11" t="s">
        <v>2337</v>
      </c>
      <c r="D2319" s="1" t="s">
        <v>9</v>
      </c>
      <c r="E2319" s="1" t="s">
        <v>18</v>
      </c>
      <c r="F2319" s="1" t="str">
        <f aca="false">TEXT(B2319,"mmm-yyyy")</f>
        <v>Nov-2024</v>
      </c>
    </row>
    <row r="2320" customFormat="false" ht="43.5" hidden="false" customHeight="true" outlineLevel="0" collapsed="false">
      <c r="A2320" s="1" t="n">
        <v>5</v>
      </c>
      <c r="B2320" s="10" t="n">
        <v>45605</v>
      </c>
      <c r="C2320" s="11" t="s">
        <v>2338</v>
      </c>
      <c r="D2320" s="1" t="s">
        <v>9</v>
      </c>
      <c r="E2320" s="1" t="s">
        <v>18</v>
      </c>
      <c r="F2320" s="1" t="str">
        <f aca="false">TEXT(B2320,"mmm-yyyy")</f>
        <v>Nov-2024</v>
      </c>
    </row>
    <row r="2321" customFormat="false" ht="28.5" hidden="false" customHeight="true" outlineLevel="0" collapsed="false">
      <c r="A2321" s="1" t="n">
        <v>5</v>
      </c>
      <c r="B2321" s="10" t="n">
        <v>45607</v>
      </c>
      <c r="C2321" s="11" t="s">
        <v>2339</v>
      </c>
      <c r="D2321" s="1" t="s">
        <v>9</v>
      </c>
      <c r="E2321" s="1" t="s">
        <v>18</v>
      </c>
      <c r="F2321" s="1" t="str">
        <f aca="false">TEXT(B2321,"mmm-yyyy")</f>
        <v>Nov-2024</v>
      </c>
    </row>
    <row r="2322" customFormat="false" ht="28.5" hidden="false" customHeight="true" outlineLevel="0" collapsed="false">
      <c r="A2322" s="1" t="n">
        <v>4</v>
      </c>
      <c r="B2322" s="10" t="n">
        <v>45588</v>
      </c>
      <c r="C2322" s="11" t="s">
        <v>2340</v>
      </c>
      <c r="D2322" s="1" t="s">
        <v>9</v>
      </c>
      <c r="E2322" s="1" t="s">
        <v>18</v>
      </c>
      <c r="F2322" s="1" t="str">
        <f aca="false">TEXT(B2322,"mmm-yyyy")</f>
        <v>Oct-2024</v>
      </c>
    </row>
    <row r="2323" customFormat="false" ht="28.5" hidden="false" customHeight="true" outlineLevel="0" collapsed="false">
      <c r="A2323" s="1" t="n">
        <v>1</v>
      </c>
      <c r="B2323" s="10" t="n">
        <v>45609</v>
      </c>
      <c r="C2323" s="11" t="s">
        <v>2341</v>
      </c>
      <c r="D2323" s="1" t="s">
        <v>9</v>
      </c>
      <c r="E2323" s="1" t="s">
        <v>20</v>
      </c>
      <c r="F2323" s="1" t="str">
        <f aca="false">TEXT(B2323,"mmm-yyyy")</f>
        <v>Nov-2024</v>
      </c>
    </row>
    <row r="2324" customFormat="false" ht="43.5" hidden="false" customHeight="true" outlineLevel="0" collapsed="false">
      <c r="A2324" s="1" t="n">
        <v>1</v>
      </c>
      <c r="B2324" s="10" t="n">
        <v>45599</v>
      </c>
      <c r="C2324" s="11" t="s">
        <v>2342</v>
      </c>
      <c r="D2324" s="1" t="s">
        <v>9</v>
      </c>
      <c r="E2324" s="1" t="s">
        <v>20</v>
      </c>
      <c r="F2324" s="1" t="str">
        <f aca="false">TEXT(B2324,"mmm-yyyy")</f>
        <v>Nov-2024</v>
      </c>
    </row>
    <row r="2325" customFormat="false" ht="28.5" hidden="false" customHeight="true" outlineLevel="0" collapsed="false">
      <c r="A2325" s="1" t="n">
        <v>5</v>
      </c>
      <c r="B2325" s="10" t="n">
        <v>45617</v>
      </c>
      <c r="C2325" s="11" t="s">
        <v>2343</v>
      </c>
      <c r="D2325" s="1" t="s">
        <v>9</v>
      </c>
      <c r="E2325" s="1" t="s">
        <v>18</v>
      </c>
      <c r="F2325" s="1" t="str">
        <f aca="false">TEXT(B2325,"mmm-yyyy")</f>
        <v>Nov-2024</v>
      </c>
    </row>
    <row r="2326" customFormat="false" ht="28.5" hidden="false" customHeight="true" outlineLevel="0" collapsed="false">
      <c r="A2326" s="1" t="n">
        <v>1</v>
      </c>
      <c r="B2326" s="10" t="n">
        <v>45611</v>
      </c>
      <c r="C2326" s="11" t="s">
        <v>2344</v>
      </c>
      <c r="D2326" s="1" t="s">
        <v>9</v>
      </c>
      <c r="E2326" s="1" t="s">
        <v>20</v>
      </c>
      <c r="F2326" s="1" t="str">
        <f aca="false">TEXT(B2326,"mmm-yyyy")</f>
        <v>Nov-2024</v>
      </c>
    </row>
    <row r="2327" customFormat="false" ht="43.5" hidden="false" customHeight="true" outlineLevel="0" collapsed="false">
      <c r="A2327" s="1" t="n">
        <v>1</v>
      </c>
      <c r="B2327" s="10" t="n">
        <v>45604</v>
      </c>
      <c r="C2327" s="11" t="s">
        <v>2345</v>
      </c>
      <c r="D2327" s="1" t="s">
        <v>9</v>
      </c>
      <c r="E2327" s="1" t="s">
        <v>20</v>
      </c>
      <c r="F2327" s="1" t="str">
        <f aca="false">TEXT(B2327,"mmm-yyyy")</f>
        <v>Nov-2024</v>
      </c>
    </row>
    <row r="2328" customFormat="false" ht="43.5" hidden="false" customHeight="true" outlineLevel="0" collapsed="false">
      <c r="A2328" s="1" t="n">
        <v>1</v>
      </c>
      <c r="B2328" s="10" t="n">
        <v>45598</v>
      </c>
      <c r="C2328" s="11" t="s">
        <v>2346</v>
      </c>
      <c r="D2328" s="1" t="s">
        <v>9</v>
      </c>
      <c r="E2328" s="1" t="s">
        <v>20</v>
      </c>
      <c r="F2328" s="1" t="str">
        <f aca="false">TEXT(B2328,"mmm-yyyy")</f>
        <v>Nov-2024</v>
      </c>
    </row>
    <row r="2329" customFormat="false" ht="43.5" hidden="false" customHeight="true" outlineLevel="0" collapsed="false">
      <c r="A2329" s="1" t="n">
        <v>1</v>
      </c>
      <c r="B2329" s="10" t="n">
        <v>45608</v>
      </c>
      <c r="C2329" s="11" t="s">
        <v>2347</v>
      </c>
      <c r="D2329" s="1" t="s">
        <v>9</v>
      </c>
      <c r="E2329" s="1" t="s">
        <v>20</v>
      </c>
      <c r="F2329" s="1" t="str">
        <f aca="false">TEXT(B2329,"mmm-yyyy")</f>
        <v>Nov-2024</v>
      </c>
    </row>
    <row r="2330" customFormat="false" ht="28.5" hidden="false" customHeight="true" outlineLevel="0" collapsed="false">
      <c r="A2330" s="1" t="n">
        <v>1</v>
      </c>
      <c r="B2330" s="10" t="n">
        <v>45604</v>
      </c>
      <c r="C2330" s="11" t="s">
        <v>2348</v>
      </c>
      <c r="D2330" s="1" t="s">
        <v>9</v>
      </c>
      <c r="E2330" s="1" t="s">
        <v>20</v>
      </c>
      <c r="F2330" s="1" t="str">
        <f aca="false">TEXT(B2330,"mmm-yyyy")</f>
        <v>Nov-2024</v>
      </c>
    </row>
    <row r="2331" customFormat="false" ht="28.5" hidden="false" customHeight="true" outlineLevel="0" collapsed="false">
      <c r="A2331" s="1" t="n">
        <v>1</v>
      </c>
      <c r="B2331" s="10" t="n">
        <v>45607</v>
      </c>
      <c r="C2331" s="11" t="s">
        <v>2349</v>
      </c>
      <c r="D2331" s="1" t="s">
        <v>9</v>
      </c>
      <c r="E2331" s="1" t="s">
        <v>20</v>
      </c>
      <c r="F2331" s="1" t="str">
        <f aca="false">TEXT(B2331,"mmm-yyyy")</f>
        <v>Nov-2024</v>
      </c>
    </row>
    <row r="2332" customFormat="false" ht="57.75" hidden="false" customHeight="true" outlineLevel="0" collapsed="false">
      <c r="A2332" s="1" t="n">
        <v>1</v>
      </c>
      <c r="B2332" s="10" t="n">
        <v>45591</v>
      </c>
      <c r="C2332" s="11" t="s">
        <v>2350</v>
      </c>
      <c r="D2332" s="1" t="s">
        <v>9</v>
      </c>
      <c r="E2332" s="1" t="s">
        <v>20</v>
      </c>
      <c r="F2332" s="1" t="str">
        <f aca="false">TEXT(B2332,"mmm-yyyy")</f>
        <v>Oct-2024</v>
      </c>
    </row>
    <row r="2333" customFormat="false" ht="43.5" hidden="false" customHeight="true" outlineLevel="0" collapsed="false">
      <c r="A2333" s="1" t="n">
        <v>1</v>
      </c>
      <c r="B2333" s="10" t="n">
        <v>45593</v>
      </c>
      <c r="C2333" s="11" t="s">
        <v>2351</v>
      </c>
      <c r="D2333" s="1" t="s">
        <v>9</v>
      </c>
      <c r="E2333" s="1" t="s">
        <v>20</v>
      </c>
      <c r="F2333" s="1" t="str">
        <f aca="false">TEXT(B2333,"mmm-yyyy")</f>
        <v>Oct-2024</v>
      </c>
    </row>
    <row r="2334" customFormat="false" ht="130.5" hidden="false" customHeight="true" outlineLevel="0" collapsed="false">
      <c r="A2334" s="1" t="n">
        <v>1</v>
      </c>
      <c r="B2334" s="10" t="n">
        <v>45626</v>
      </c>
      <c r="C2334" s="11" t="s">
        <v>2352</v>
      </c>
      <c r="D2334" s="1" t="s">
        <v>9</v>
      </c>
      <c r="E2334" s="1" t="s">
        <v>18</v>
      </c>
      <c r="F2334" s="1" t="str">
        <f aca="false">TEXT(B2334,"mmm-yyyy")</f>
        <v>Nov-2024</v>
      </c>
    </row>
    <row r="2335" customFormat="false" ht="57.75" hidden="false" customHeight="true" outlineLevel="0" collapsed="false">
      <c r="A2335" s="1" t="n">
        <v>2</v>
      </c>
      <c r="B2335" s="10" t="n">
        <v>45618</v>
      </c>
      <c r="C2335" s="11" t="s">
        <v>2353</v>
      </c>
      <c r="D2335" s="1" t="s">
        <v>9</v>
      </c>
      <c r="E2335" s="1" t="s">
        <v>20</v>
      </c>
      <c r="F2335" s="1" t="str">
        <f aca="false">TEXT(B2335,"mmm-yyyy")</f>
        <v>Nov-2024</v>
      </c>
    </row>
    <row r="2336" customFormat="false" ht="28.5" hidden="false" customHeight="true" outlineLevel="0" collapsed="false">
      <c r="A2336" s="1" t="n">
        <v>1</v>
      </c>
      <c r="B2336" s="10" t="n">
        <v>45591</v>
      </c>
      <c r="C2336" s="11" t="s">
        <v>2354</v>
      </c>
      <c r="D2336" s="1" t="s">
        <v>9</v>
      </c>
      <c r="E2336" s="1" t="s">
        <v>20</v>
      </c>
      <c r="F2336" s="1" t="str">
        <f aca="false">TEXT(B2336,"mmm-yyyy")</f>
        <v>Oct-2024</v>
      </c>
    </row>
    <row r="2337" customFormat="false" ht="28.5" hidden="false" customHeight="true" outlineLevel="0" collapsed="false">
      <c r="A2337" s="1" t="n">
        <v>5</v>
      </c>
      <c r="B2337" s="10" t="n">
        <v>45591</v>
      </c>
      <c r="C2337" s="11" t="s">
        <v>2355</v>
      </c>
      <c r="D2337" s="1" t="s">
        <v>9</v>
      </c>
      <c r="E2337" s="1" t="s">
        <v>32</v>
      </c>
      <c r="F2337" s="1" t="str">
        <f aca="false">TEXT(B2337,"mmm-yyyy")</f>
        <v>Oct-2024</v>
      </c>
    </row>
    <row r="2338" customFormat="false" ht="28.5" hidden="false" customHeight="true" outlineLevel="0" collapsed="false">
      <c r="A2338" s="1" t="n">
        <v>1</v>
      </c>
      <c r="B2338" s="10" t="n">
        <v>45599</v>
      </c>
      <c r="C2338" s="11" t="s">
        <v>2356</v>
      </c>
      <c r="D2338" s="1" t="s">
        <v>9</v>
      </c>
      <c r="E2338" s="1" t="s">
        <v>20</v>
      </c>
      <c r="F2338" s="1" t="str">
        <f aca="false">TEXT(B2338,"mmm-yyyy")</f>
        <v>Nov-2024</v>
      </c>
    </row>
    <row r="2339" customFormat="false" ht="28.5" hidden="false" customHeight="true" outlineLevel="0" collapsed="false">
      <c r="A2339" s="1" t="n">
        <v>1</v>
      </c>
      <c r="B2339" s="10" t="n">
        <v>45617</v>
      </c>
      <c r="C2339" s="11" t="s">
        <v>2357</v>
      </c>
      <c r="D2339" s="1" t="s">
        <v>9</v>
      </c>
      <c r="E2339" s="1" t="s">
        <v>20</v>
      </c>
      <c r="F2339" s="1" t="str">
        <f aca="false">TEXT(B2339,"mmm-yyyy")</f>
        <v>Nov-2024</v>
      </c>
    </row>
    <row r="2340" customFormat="false" ht="28.5" hidden="false" customHeight="true" outlineLevel="0" collapsed="false">
      <c r="A2340" s="1" t="n">
        <v>1</v>
      </c>
      <c r="B2340" s="10" t="n">
        <v>45623</v>
      </c>
      <c r="C2340" s="11" t="s">
        <v>2358</v>
      </c>
      <c r="D2340" s="1" t="s">
        <v>9</v>
      </c>
      <c r="E2340" s="1" t="s">
        <v>20</v>
      </c>
      <c r="F2340" s="1" t="str">
        <f aca="false">TEXT(B2340,"mmm-yyyy")</f>
        <v>Nov-2024</v>
      </c>
    </row>
    <row r="2341" customFormat="false" ht="28.5" hidden="false" customHeight="true" outlineLevel="0" collapsed="false">
      <c r="A2341" s="1" t="n">
        <v>5</v>
      </c>
      <c r="B2341" s="10" t="n">
        <v>45646</v>
      </c>
      <c r="C2341" s="11" t="s">
        <v>2359</v>
      </c>
      <c r="D2341" s="1" t="s">
        <v>9</v>
      </c>
      <c r="E2341" s="1" t="s">
        <v>18</v>
      </c>
      <c r="F2341" s="1" t="str">
        <f aca="false">TEXT(B2341,"mmm-yyyy")</f>
        <v>Dec-2024</v>
      </c>
    </row>
    <row r="2342" customFormat="false" ht="43.5" hidden="false" customHeight="true" outlineLevel="0" collapsed="false">
      <c r="A2342" s="1" t="n">
        <v>1</v>
      </c>
      <c r="B2342" s="10" t="n">
        <v>45606</v>
      </c>
      <c r="C2342" s="11" t="s">
        <v>2360</v>
      </c>
      <c r="D2342" s="1" t="s">
        <v>9</v>
      </c>
      <c r="E2342" s="1" t="s">
        <v>20</v>
      </c>
      <c r="F2342" s="1" t="str">
        <f aca="false">TEXT(B2342,"mmm-yyyy")</f>
        <v>Nov-2024</v>
      </c>
    </row>
    <row r="2343" customFormat="false" ht="28.5" hidden="false" customHeight="true" outlineLevel="0" collapsed="false">
      <c r="A2343" s="1" t="n">
        <v>1</v>
      </c>
      <c r="B2343" s="10" t="n">
        <v>45622</v>
      </c>
      <c r="C2343" s="11" t="s">
        <v>2361</v>
      </c>
      <c r="D2343" s="1" t="s">
        <v>9</v>
      </c>
      <c r="E2343" s="1" t="s">
        <v>20</v>
      </c>
      <c r="F2343" s="1" t="str">
        <f aca="false">TEXT(B2343,"mmm-yyyy")</f>
        <v>Nov-2024</v>
      </c>
    </row>
    <row r="2344" customFormat="false" ht="43.5" hidden="false" customHeight="true" outlineLevel="0" collapsed="false">
      <c r="A2344" s="1" t="n">
        <v>1</v>
      </c>
      <c r="B2344" s="10" t="n">
        <v>45613</v>
      </c>
      <c r="C2344" s="11" t="s">
        <v>2362</v>
      </c>
      <c r="D2344" s="1" t="s">
        <v>9</v>
      </c>
      <c r="E2344" s="1" t="s">
        <v>20</v>
      </c>
      <c r="F2344" s="1" t="str">
        <f aca="false">TEXT(B2344,"mmm-yyyy")</f>
        <v>Nov-2024</v>
      </c>
    </row>
    <row r="2345" customFormat="false" ht="28.5" hidden="false" customHeight="true" outlineLevel="0" collapsed="false">
      <c r="A2345" s="1" t="n">
        <v>4</v>
      </c>
      <c r="B2345" s="10" t="n">
        <v>45602</v>
      </c>
      <c r="C2345" s="11" t="s">
        <v>2363</v>
      </c>
      <c r="D2345" s="1" t="s">
        <v>9</v>
      </c>
      <c r="E2345" s="1" t="s">
        <v>18</v>
      </c>
      <c r="F2345" s="1" t="str">
        <f aca="false">TEXT(B2345,"mmm-yyyy")</f>
        <v>Nov-2024</v>
      </c>
    </row>
    <row r="2346" customFormat="false" ht="57.75" hidden="false" customHeight="true" outlineLevel="0" collapsed="false">
      <c r="A2346" s="1" t="n">
        <v>1</v>
      </c>
      <c r="B2346" s="10" t="n">
        <v>45597</v>
      </c>
      <c r="C2346" s="11" t="s">
        <v>2364</v>
      </c>
      <c r="D2346" s="1" t="s">
        <v>9</v>
      </c>
      <c r="E2346" s="1" t="s">
        <v>20</v>
      </c>
      <c r="F2346" s="1" t="str">
        <f aca="false">TEXT(B2346,"mmm-yyyy")</f>
        <v>Nov-2024</v>
      </c>
    </row>
    <row r="2347" customFormat="false" ht="28.5" hidden="false" customHeight="true" outlineLevel="0" collapsed="false">
      <c r="A2347" s="1" t="n">
        <v>1</v>
      </c>
      <c r="B2347" s="10" t="n">
        <v>45590</v>
      </c>
      <c r="C2347" s="11" t="s">
        <v>2365</v>
      </c>
      <c r="D2347" s="1" t="s">
        <v>9</v>
      </c>
      <c r="E2347" s="1" t="s">
        <v>20</v>
      </c>
      <c r="F2347" s="1" t="str">
        <f aca="false">TEXT(B2347,"mmm-yyyy")</f>
        <v>Oct-2024</v>
      </c>
    </row>
    <row r="2348" customFormat="false" ht="28.5" hidden="false" customHeight="true" outlineLevel="0" collapsed="false">
      <c r="A2348" s="1" t="n">
        <v>3</v>
      </c>
      <c r="B2348" s="10" t="n">
        <v>45626</v>
      </c>
      <c r="C2348" s="11" t="s">
        <v>2366</v>
      </c>
      <c r="D2348" s="1" t="s">
        <v>9</v>
      </c>
      <c r="E2348" s="1" t="s">
        <v>20</v>
      </c>
      <c r="F2348" s="1" t="str">
        <f aca="false">TEXT(B2348,"mmm-yyyy")</f>
        <v>Nov-2024</v>
      </c>
    </row>
    <row r="2349" customFormat="false" ht="57.75" hidden="false" customHeight="true" outlineLevel="0" collapsed="false">
      <c r="A2349" s="1" t="n">
        <v>1</v>
      </c>
      <c r="B2349" s="10" t="n">
        <v>45599</v>
      </c>
      <c r="C2349" s="11" t="s">
        <v>2367</v>
      </c>
      <c r="D2349" s="1" t="s">
        <v>9</v>
      </c>
      <c r="E2349" s="1" t="s">
        <v>20</v>
      </c>
      <c r="F2349" s="1" t="str">
        <f aca="false">TEXT(B2349,"mmm-yyyy")</f>
        <v>Nov-2024</v>
      </c>
    </row>
    <row r="2350" customFormat="false" ht="28.5" hidden="false" customHeight="true" outlineLevel="0" collapsed="false">
      <c r="A2350" s="1" t="n">
        <v>5</v>
      </c>
      <c r="B2350" s="10" t="n">
        <v>45625</v>
      </c>
      <c r="C2350" s="11" t="s">
        <v>2368</v>
      </c>
      <c r="D2350" s="1" t="s">
        <v>9</v>
      </c>
      <c r="E2350" s="1" t="s">
        <v>18</v>
      </c>
      <c r="F2350" s="1" t="str">
        <f aca="false">TEXT(B2350,"mmm-yyyy")</f>
        <v>Nov-2024</v>
      </c>
    </row>
    <row r="2351" customFormat="false" ht="28.5" hidden="false" customHeight="true" outlineLevel="0" collapsed="false">
      <c r="A2351" s="1" t="n">
        <v>1</v>
      </c>
      <c r="B2351" s="10" t="n">
        <v>45593</v>
      </c>
      <c r="C2351" s="11" t="s">
        <v>2369</v>
      </c>
      <c r="D2351" s="1" t="s">
        <v>9</v>
      </c>
      <c r="E2351" s="1" t="s">
        <v>20</v>
      </c>
      <c r="F2351" s="1" t="str">
        <f aca="false">TEXT(B2351,"mmm-yyyy")</f>
        <v>Oct-2024</v>
      </c>
    </row>
    <row r="2352" customFormat="false" ht="57.75" hidden="false" customHeight="true" outlineLevel="0" collapsed="false">
      <c r="A2352" s="1" t="n">
        <v>1</v>
      </c>
      <c r="B2352" s="10" t="n">
        <v>45603</v>
      </c>
      <c r="C2352" s="11" t="s">
        <v>2370</v>
      </c>
      <c r="D2352" s="1" t="s">
        <v>9</v>
      </c>
      <c r="E2352" s="1" t="s">
        <v>32</v>
      </c>
      <c r="F2352" s="1" t="str">
        <f aca="false">TEXT(B2352,"mmm-yyyy")</f>
        <v>Nov-2024</v>
      </c>
    </row>
    <row r="2353" customFormat="false" ht="28.5" hidden="false" customHeight="true" outlineLevel="0" collapsed="false">
      <c r="A2353" s="1" t="n">
        <v>1</v>
      </c>
      <c r="B2353" s="10" t="n">
        <v>45588</v>
      </c>
      <c r="C2353" s="11" t="s">
        <v>2371</v>
      </c>
      <c r="D2353" s="1" t="s">
        <v>9</v>
      </c>
      <c r="E2353" s="1" t="s">
        <v>20</v>
      </c>
      <c r="F2353" s="1" t="str">
        <f aca="false">TEXT(B2353,"mmm-yyyy")</f>
        <v>Oct-2024</v>
      </c>
    </row>
    <row r="2354" customFormat="false" ht="72" hidden="false" customHeight="true" outlineLevel="0" collapsed="false">
      <c r="A2354" s="1" t="n">
        <v>1</v>
      </c>
      <c r="B2354" s="10" t="n">
        <v>45611</v>
      </c>
      <c r="C2354" s="11" t="s">
        <v>2372</v>
      </c>
      <c r="D2354" s="1" t="s">
        <v>9</v>
      </c>
      <c r="E2354" s="1" t="s">
        <v>20</v>
      </c>
      <c r="F2354" s="1" t="str">
        <f aca="false">TEXT(B2354,"mmm-yyyy")</f>
        <v>Nov-2024</v>
      </c>
    </row>
    <row r="2355" customFormat="false" ht="28.5" hidden="false" customHeight="true" outlineLevel="0" collapsed="false">
      <c r="A2355" s="1" t="n">
        <v>4</v>
      </c>
      <c r="B2355" s="10" t="n">
        <v>45614</v>
      </c>
      <c r="C2355" s="11" t="s">
        <v>2373</v>
      </c>
      <c r="D2355" s="1" t="s">
        <v>9</v>
      </c>
      <c r="E2355" s="1" t="s">
        <v>18</v>
      </c>
      <c r="F2355" s="1" t="str">
        <f aca="false">TEXT(B2355,"mmm-yyyy")</f>
        <v>Nov-2024</v>
      </c>
    </row>
    <row r="2356" customFormat="false" ht="28.5" hidden="false" customHeight="true" outlineLevel="0" collapsed="false">
      <c r="A2356" s="1" t="n">
        <v>5</v>
      </c>
      <c r="B2356" s="10" t="n">
        <v>45614</v>
      </c>
      <c r="C2356" s="11" t="s">
        <v>2374</v>
      </c>
      <c r="D2356" s="1" t="s">
        <v>9</v>
      </c>
      <c r="E2356" s="1" t="s">
        <v>18</v>
      </c>
      <c r="F2356" s="1" t="str">
        <f aca="false">TEXT(B2356,"mmm-yyyy")</f>
        <v>Nov-2024</v>
      </c>
    </row>
    <row r="2357" customFormat="false" ht="28.5" hidden="false" customHeight="true" outlineLevel="0" collapsed="false">
      <c r="A2357" s="1" t="n">
        <v>2</v>
      </c>
      <c r="B2357" s="10" t="n">
        <v>45604</v>
      </c>
      <c r="C2357" s="11" t="s">
        <v>2375</v>
      </c>
      <c r="D2357" s="1" t="s">
        <v>9</v>
      </c>
      <c r="E2357" s="1" t="s">
        <v>18</v>
      </c>
      <c r="F2357" s="1" t="str">
        <f aca="false">TEXT(B2357,"mmm-yyyy")</f>
        <v>Nov-2024</v>
      </c>
    </row>
    <row r="2358" customFormat="false" ht="28.5" hidden="false" customHeight="true" outlineLevel="0" collapsed="false">
      <c r="A2358" s="1" t="n">
        <v>1</v>
      </c>
      <c r="B2358" s="10" t="n">
        <v>45591</v>
      </c>
      <c r="C2358" s="11" t="s">
        <v>2376</v>
      </c>
      <c r="D2358" s="1" t="s">
        <v>9</v>
      </c>
      <c r="E2358" s="1" t="s">
        <v>20</v>
      </c>
      <c r="F2358" s="1" t="str">
        <f aca="false">TEXT(B2358,"mmm-yyyy")</f>
        <v>Oct-2024</v>
      </c>
    </row>
    <row r="2359" customFormat="false" ht="28.5" hidden="false" customHeight="true" outlineLevel="0" collapsed="false">
      <c r="A2359" s="1" t="n">
        <v>4</v>
      </c>
      <c r="B2359" s="10" t="n">
        <v>45582</v>
      </c>
      <c r="C2359" s="11" t="s">
        <v>2377</v>
      </c>
      <c r="D2359" s="1" t="s">
        <v>9</v>
      </c>
      <c r="E2359" s="1" t="s">
        <v>18</v>
      </c>
      <c r="F2359" s="1" t="str">
        <f aca="false">TEXT(B2359,"mmm-yyyy")</f>
        <v>Oct-2024</v>
      </c>
    </row>
    <row r="2360" customFormat="false" ht="101.25" hidden="false" customHeight="true" outlineLevel="0" collapsed="false">
      <c r="A2360" s="1" t="n">
        <v>1</v>
      </c>
      <c r="B2360" s="10" t="n">
        <v>45640</v>
      </c>
      <c r="C2360" s="11" t="s">
        <v>2378</v>
      </c>
      <c r="D2360" s="1" t="s">
        <v>9</v>
      </c>
      <c r="E2360" s="1" t="s">
        <v>18</v>
      </c>
      <c r="F2360" s="1" t="str">
        <f aca="false">TEXT(B2360,"mmm-yyyy")</f>
        <v>Dec-2024</v>
      </c>
    </row>
    <row r="2361" customFormat="false" ht="28.5" hidden="false" customHeight="true" outlineLevel="0" collapsed="false">
      <c r="A2361" s="1" t="n">
        <v>5</v>
      </c>
      <c r="B2361" s="10" t="n">
        <v>45619</v>
      </c>
      <c r="C2361" s="11" t="s">
        <v>2379</v>
      </c>
      <c r="D2361" s="1" t="s">
        <v>9</v>
      </c>
      <c r="E2361" s="1" t="s">
        <v>18</v>
      </c>
      <c r="F2361" s="1" t="str">
        <f aca="false">TEXT(B2361,"mmm-yyyy")</f>
        <v>Nov-2024</v>
      </c>
    </row>
    <row r="2362" customFormat="false" ht="28.5" hidden="false" customHeight="true" outlineLevel="0" collapsed="false">
      <c r="A2362" s="1" t="n">
        <v>5</v>
      </c>
      <c r="B2362" s="10" t="n">
        <v>45627</v>
      </c>
      <c r="C2362" s="11" t="s">
        <v>2380</v>
      </c>
      <c r="D2362" s="1" t="s">
        <v>9</v>
      </c>
      <c r="E2362" s="1" t="s">
        <v>18</v>
      </c>
      <c r="F2362" s="1" t="str">
        <f aca="false">TEXT(B2362,"mmm-yyyy")</f>
        <v>Dec-2024</v>
      </c>
    </row>
    <row r="2363" customFormat="false" ht="28.5" hidden="false" customHeight="true" outlineLevel="0" collapsed="false">
      <c r="A2363" s="1" t="n">
        <v>1</v>
      </c>
      <c r="B2363" s="10" t="n">
        <v>45612</v>
      </c>
      <c r="C2363" s="11" t="s">
        <v>2381</v>
      </c>
      <c r="D2363" s="1" t="s">
        <v>9</v>
      </c>
      <c r="E2363" s="1" t="s">
        <v>20</v>
      </c>
      <c r="F2363" s="1" t="str">
        <f aca="false">TEXT(B2363,"mmm-yyyy")</f>
        <v>Nov-2024</v>
      </c>
    </row>
    <row r="2364" customFormat="false" ht="28.5" hidden="false" customHeight="true" outlineLevel="0" collapsed="false">
      <c r="A2364" s="1" t="n">
        <v>5</v>
      </c>
      <c r="B2364" s="10" t="n">
        <v>45589</v>
      </c>
      <c r="C2364" s="11" t="s">
        <v>2382</v>
      </c>
      <c r="D2364" s="1" t="s">
        <v>9</v>
      </c>
      <c r="E2364" s="1" t="s">
        <v>18</v>
      </c>
      <c r="F2364" s="1" t="str">
        <f aca="false">TEXT(B2364,"mmm-yyyy")</f>
        <v>Oct-2024</v>
      </c>
    </row>
    <row r="2365" customFormat="false" ht="43.5" hidden="false" customHeight="true" outlineLevel="0" collapsed="false">
      <c r="A2365" s="1" t="n">
        <v>1</v>
      </c>
      <c r="B2365" s="10" t="n">
        <v>45614</v>
      </c>
      <c r="C2365" s="11" t="s">
        <v>2383</v>
      </c>
      <c r="D2365" s="1" t="s">
        <v>9</v>
      </c>
      <c r="E2365" s="1" t="s">
        <v>20</v>
      </c>
      <c r="F2365" s="1" t="str">
        <f aca="false">TEXT(B2365,"mmm-yyyy")</f>
        <v>Nov-2024</v>
      </c>
    </row>
    <row r="2366" customFormat="false" ht="28.5" hidden="false" customHeight="true" outlineLevel="0" collapsed="false">
      <c r="A2366" s="1" t="n">
        <v>1</v>
      </c>
      <c r="B2366" s="10" t="n">
        <v>45621</v>
      </c>
      <c r="C2366" s="11" t="s">
        <v>2384</v>
      </c>
      <c r="D2366" s="1" t="s">
        <v>9</v>
      </c>
      <c r="E2366" s="1" t="s">
        <v>20</v>
      </c>
      <c r="F2366" s="1" t="str">
        <f aca="false">TEXT(B2366,"mmm-yyyy")</f>
        <v>Nov-2024</v>
      </c>
    </row>
    <row r="2367" customFormat="false" ht="28.5" hidden="false" customHeight="true" outlineLevel="0" collapsed="false">
      <c r="A2367" s="1" t="n">
        <v>5</v>
      </c>
      <c r="B2367" s="10" t="n">
        <v>45600</v>
      </c>
      <c r="C2367" s="11" t="s">
        <v>2385</v>
      </c>
      <c r="D2367" s="1" t="s">
        <v>9</v>
      </c>
      <c r="E2367" s="1" t="s">
        <v>18</v>
      </c>
      <c r="F2367" s="1" t="str">
        <f aca="false">TEXT(B2367,"mmm-yyyy")</f>
        <v>Nov-2024</v>
      </c>
    </row>
    <row r="2368" customFormat="false" ht="28.5" hidden="false" customHeight="true" outlineLevel="0" collapsed="false">
      <c r="A2368" s="1" t="n">
        <v>5</v>
      </c>
      <c r="B2368" s="10" t="n">
        <v>45612</v>
      </c>
      <c r="C2368" s="11" t="s">
        <v>2386</v>
      </c>
      <c r="D2368" s="1" t="s">
        <v>9</v>
      </c>
      <c r="E2368" s="1" t="s">
        <v>18</v>
      </c>
      <c r="F2368" s="1" t="str">
        <f aca="false">TEXT(B2368,"mmm-yyyy")</f>
        <v>Nov-2024</v>
      </c>
    </row>
    <row r="2369" customFormat="false" ht="43.5" hidden="false" customHeight="true" outlineLevel="0" collapsed="false">
      <c r="A2369" s="1" t="n">
        <v>1</v>
      </c>
      <c r="B2369" s="10" t="n">
        <v>45592</v>
      </c>
      <c r="C2369" s="11" t="s">
        <v>2387</v>
      </c>
      <c r="D2369" s="1" t="s">
        <v>9</v>
      </c>
      <c r="E2369" s="1" t="s">
        <v>20</v>
      </c>
      <c r="F2369" s="1" t="str">
        <f aca="false">TEXT(B2369,"mmm-yyyy")</f>
        <v>Oct-2024</v>
      </c>
    </row>
    <row r="2370" customFormat="false" ht="28.5" hidden="false" customHeight="true" outlineLevel="0" collapsed="false">
      <c r="A2370" s="1" t="n">
        <v>1</v>
      </c>
      <c r="B2370" s="10" t="n">
        <v>45602</v>
      </c>
      <c r="C2370" s="11" t="s">
        <v>2388</v>
      </c>
      <c r="D2370" s="1" t="s">
        <v>9</v>
      </c>
      <c r="E2370" s="1" t="s">
        <v>18</v>
      </c>
      <c r="F2370" s="1" t="str">
        <f aca="false">TEXT(B2370,"mmm-yyyy")</f>
        <v>Nov-2024</v>
      </c>
    </row>
    <row r="2371" customFormat="false" ht="57.75" hidden="false" customHeight="true" outlineLevel="0" collapsed="false">
      <c r="A2371" s="1" t="n">
        <v>1</v>
      </c>
      <c r="B2371" s="10" t="n">
        <v>45619</v>
      </c>
      <c r="C2371" s="11" t="s">
        <v>2389</v>
      </c>
      <c r="D2371" s="1" t="s">
        <v>9</v>
      </c>
      <c r="E2371" s="1" t="s">
        <v>20</v>
      </c>
      <c r="F2371" s="1" t="str">
        <f aca="false">TEXT(B2371,"mmm-yyyy")</f>
        <v>Nov-2024</v>
      </c>
    </row>
    <row r="2372" customFormat="false" ht="28.5" hidden="false" customHeight="true" outlineLevel="0" collapsed="false">
      <c r="A2372" s="1" t="n">
        <v>1</v>
      </c>
      <c r="B2372" s="10" t="n">
        <v>45606</v>
      </c>
      <c r="C2372" s="11" t="s">
        <v>2390</v>
      </c>
      <c r="D2372" s="1" t="s">
        <v>9</v>
      </c>
      <c r="E2372" s="1" t="s">
        <v>20</v>
      </c>
      <c r="F2372" s="1" t="str">
        <f aca="false">TEXT(B2372,"mmm-yyyy")</f>
        <v>Nov-2024</v>
      </c>
    </row>
    <row r="2373" customFormat="false" ht="28.5" hidden="false" customHeight="true" outlineLevel="0" collapsed="false">
      <c r="A2373" s="1" t="n">
        <v>1</v>
      </c>
      <c r="B2373" s="10" t="n">
        <v>45593</v>
      </c>
      <c r="C2373" s="11" t="s">
        <v>2391</v>
      </c>
      <c r="D2373" s="1" t="s">
        <v>9</v>
      </c>
      <c r="E2373" s="1" t="s">
        <v>20</v>
      </c>
      <c r="F2373" s="1" t="str">
        <f aca="false">TEXT(B2373,"mmm-yyyy")</f>
        <v>Oct-2024</v>
      </c>
    </row>
    <row r="2374" customFormat="false" ht="28.5" hidden="false" customHeight="true" outlineLevel="0" collapsed="false">
      <c r="A2374" s="1" t="n">
        <v>1</v>
      </c>
      <c r="B2374" s="10" t="n">
        <v>45593</v>
      </c>
      <c r="C2374" s="11" t="s">
        <v>2392</v>
      </c>
      <c r="D2374" s="1" t="s">
        <v>9</v>
      </c>
      <c r="E2374" s="1" t="s">
        <v>20</v>
      </c>
      <c r="F2374" s="1" t="str">
        <f aca="false">TEXT(B2374,"mmm-yyyy")</f>
        <v>Oct-2024</v>
      </c>
    </row>
    <row r="2375" customFormat="false" ht="43.5" hidden="false" customHeight="true" outlineLevel="0" collapsed="false">
      <c r="A2375" s="1" t="n">
        <v>1</v>
      </c>
      <c r="B2375" s="10" t="n">
        <v>45617</v>
      </c>
      <c r="C2375" s="11" t="s">
        <v>2393</v>
      </c>
      <c r="D2375" s="1" t="s">
        <v>9</v>
      </c>
      <c r="E2375" s="1" t="s">
        <v>20</v>
      </c>
      <c r="F2375" s="1" t="str">
        <f aca="false">TEXT(B2375,"mmm-yyyy")</f>
        <v>Nov-2024</v>
      </c>
    </row>
    <row r="2376" customFormat="false" ht="115.5" hidden="false" customHeight="true" outlineLevel="0" collapsed="false">
      <c r="A2376" s="1" t="n">
        <v>1</v>
      </c>
      <c r="B2376" s="10" t="n">
        <v>45604</v>
      </c>
      <c r="C2376" s="11" t="s">
        <v>2394</v>
      </c>
      <c r="D2376" s="1" t="s">
        <v>9</v>
      </c>
      <c r="E2376" s="1" t="s">
        <v>18</v>
      </c>
      <c r="F2376" s="1" t="str">
        <f aca="false">TEXT(B2376,"mmm-yyyy")</f>
        <v>Nov-2024</v>
      </c>
    </row>
    <row r="2377" customFormat="false" ht="28.5" hidden="false" customHeight="true" outlineLevel="0" collapsed="false">
      <c r="A2377" s="1" t="n">
        <v>5</v>
      </c>
      <c r="B2377" s="10" t="n">
        <v>45592</v>
      </c>
      <c r="C2377" s="11" t="s">
        <v>2395</v>
      </c>
      <c r="D2377" s="1" t="s">
        <v>9</v>
      </c>
      <c r="E2377" s="1" t="s">
        <v>18</v>
      </c>
      <c r="F2377" s="1" t="str">
        <f aca="false">TEXT(B2377,"mmm-yyyy")</f>
        <v>Oct-2024</v>
      </c>
    </row>
    <row r="2378" customFormat="false" ht="14.25" hidden="false" customHeight="true" outlineLevel="0" collapsed="false">
      <c r="A2378" s="1" t="n">
        <v>1</v>
      </c>
      <c r="B2378" s="10" t="n">
        <v>45624</v>
      </c>
      <c r="C2378" s="1" t="s">
        <v>2396</v>
      </c>
      <c r="D2378" s="1" t="s">
        <v>9</v>
      </c>
      <c r="E2378" s="1" t="s">
        <v>20</v>
      </c>
      <c r="F2378" s="1" t="str">
        <f aca="false">TEXT(B2378,"mmm-yyyy")</f>
        <v>Nov-2024</v>
      </c>
    </row>
    <row r="2379" customFormat="false" ht="14.25" hidden="false" customHeight="true" outlineLevel="0" collapsed="false">
      <c r="A2379" s="1" t="n">
        <v>5</v>
      </c>
      <c r="B2379" s="10" t="n">
        <v>45588</v>
      </c>
      <c r="C2379" s="1" t="s">
        <v>2397</v>
      </c>
      <c r="D2379" s="1" t="s">
        <v>9</v>
      </c>
      <c r="E2379" s="1" t="s">
        <v>32</v>
      </c>
      <c r="F2379" s="1" t="str">
        <f aca="false">TEXT(B2379,"mmm-yyyy")</f>
        <v>Oct-2024</v>
      </c>
    </row>
    <row r="2380" customFormat="false" ht="130.5" hidden="false" customHeight="true" outlineLevel="0" collapsed="false">
      <c r="A2380" s="1" t="n">
        <v>1</v>
      </c>
      <c r="B2380" s="10" t="n">
        <v>45607</v>
      </c>
      <c r="C2380" s="11" t="s">
        <v>2398</v>
      </c>
      <c r="D2380" s="1" t="s">
        <v>9</v>
      </c>
      <c r="E2380" s="1" t="s">
        <v>20</v>
      </c>
      <c r="F2380" s="1" t="str">
        <f aca="false">TEXT(B2380,"mmm-yyyy")</f>
        <v>Nov-2024</v>
      </c>
    </row>
    <row r="2381" customFormat="false" ht="28.5" hidden="false" customHeight="true" outlineLevel="0" collapsed="false">
      <c r="A2381" s="1" t="n">
        <v>2</v>
      </c>
      <c r="B2381" s="10" t="n">
        <v>45600</v>
      </c>
      <c r="C2381" s="11" t="s">
        <v>2399</v>
      </c>
      <c r="D2381" s="1" t="s">
        <v>9</v>
      </c>
      <c r="E2381" s="1" t="s">
        <v>20</v>
      </c>
      <c r="F2381" s="1" t="str">
        <f aca="false">TEXT(B2381,"mmm-yyyy")</f>
        <v>Nov-2024</v>
      </c>
    </row>
    <row r="2382" customFormat="false" ht="28.5" hidden="false" customHeight="true" outlineLevel="0" collapsed="false">
      <c r="A2382" s="1" t="n">
        <v>1</v>
      </c>
      <c r="B2382" s="10" t="n">
        <v>45611</v>
      </c>
      <c r="C2382" s="11" t="s">
        <v>2400</v>
      </c>
      <c r="D2382" s="1" t="s">
        <v>9</v>
      </c>
      <c r="E2382" s="1" t="s">
        <v>20</v>
      </c>
      <c r="F2382" s="1" t="str">
        <f aca="false">TEXT(B2382,"mmm-yyyy")</f>
        <v>Nov-2024</v>
      </c>
    </row>
    <row r="2383" customFormat="false" ht="87" hidden="false" customHeight="true" outlineLevel="0" collapsed="false">
      <c r="A2383" s="1" t="n">
        <v>1</v>
      </c>
      <c r="B2383" s="10" t="n">
        <v>45604</v>
      </c>
      <c r="C2383" s="11" t="s">
        <v>2401</v>
      </c>
      <c r="D2383" s="1" t="s">
        <v>9</v>
      </c>
      <c r="E2383" s="1" t="s">
        <v>20</v>
      </c>
      <c r="F2383" s="1" t="str">
        <f aca="false">TEXT(B2383,"mmm-yyyy")</f>
        <v>Nov-2024</v>
      </c>
    </row>
    <row r="2384" customFormat="false" ht="14.25" hidden="false" customHeight="true" outlineLevel="0" collapsed="false">
      <c r="A2384" s="1" t="n">
        <v>2</v>
      </c>
      <c r="B2384" s="10" t="n">
        <v>45601</v>
      </c>
      <c r="C2384" s="1" t="s">
        <v>2402</v>
      </c>
      <c r="D2384" s="1" t="s">
        <v>9</v>
      </c>
      <c r="E2384" s="1" t="s">
        <v>32</v>
      </c>
      <c r="F2384" s="1" t="str">
        <f aca="false">TEXT(B2384,"mmm-yyyy")</f>
        <v>Nov-2024</v>
      </c>
    </row>
    <row r="2385" customFormat="false" ht="43.5" hidden="false" customHeight="true" outlineLevel="0" collapsed="false">
      <c r="A2385" s="1" t="n">
        <v>5</v>
      </c>
      <c r="B2385" s="10" t="n">
        <v>45614</v>
      </c>
      <c r="C2385" s="11" t="s">
        <v>2403</v>
      </c>
      <c r="D2385" s="1" t="s">
        <v>9</v>
      </c>
      <c r="E2385" s="1" t="s">
        <v>18</v>
      </c>
      <c r="F2385" s="1" t="str">
        <f aca="false">TEXT(B2385,"mmm-yyyy")</f>
        <v>Nov-2024</v>
      </c>
    </row>
    <row r="2386" customFormat="false" ht="28.5" hidden="false" customHeight="true" outlineLevel="0" collapsed="false">
      <c r="A2386" s="1" t="n">
        <v>1</v>
      </c>
      <c r="B2386" s="10" t="n">
        <v>45606</v>
      </c>
      <c r="C2386" s="11" t="s">
        <v>2404</v>
      </c>
      <c r="D2386" s="1" t="s">
        <v>9</v>
      </c>
      <c r="E2386" s="1" t="s">
        <v>18</v>
      </c>
      <c r="F2386" s="1" t="str">
        <f aca="false">TEXT(B2386,"mmm-yyyy")</f>
        <v>Nov-2024</v>
      </c>
    </row>
    <row r="2387" customFormat="false" ht="28.5" hidden="false" customHeight="true" outlineLevel="0" collapsed="false">
      <c r="A2387" s="1" t="n">
        <v>1</v>
      </c>
      <c r="B2387" s="10" t="n">
        <v>45601</v>
      </c>
      <c r="C2387" s="11" t="s">
        <v>2405</v>
      </c>
      <c r="D2387" s="1" t="s">
        <v>9</v>
      </c>
      <c r="E2387" s="1" t="s">
        <v>20</v>
      </c>
      <c r="F2387" s="1" t="str">
        <f aca="false">TEXT(B2387,"mmm-yyyy")</f>
        <v>Nov-2024</v>
      </c>
    </row>
    <row r="2388" customFormat="false" ht="28.5" hidden="false" customHeight="true" outlineLevel="0" collapsed="false">
      <c r="A2388" s="1" t="n">
        <v>1</v>
      </c>
      <c r="B2388" s="10" t="n">
        <v>45621</v>
      </c>
      <c r="C2388" s="11" t="s">
        <v>2406</v>
      </c>
      <c r="D2388" s="1" t="s">
        <v>9</v>
      </c>
      <c r="E2388" s="1" t="s">
        <v>20</v>
      </c>
      <c r="F2388" s="1" t="str">
        <f aca="false">TEXT(B2388,"mmm-yyyy")</f>
        <v>Nov-2024</v>
      </c>
    </row>
    <row r="2389" customFormat="false" ht="72" hidden="false" customHeight="true" outlineLevel="0" collapsed="false">
      <c r="A2389" s="1" t="n">
        <v>1</v>
      </c>
      <c r="B2389" s="10" t="n">
        <v>45613</v>
      </c>
      <c r="C2389" s="11" t="s">
        <v>2407</v>
      </c>
      <c r="D2389" s="1" t="s">
        <v>9</v>
      </c>
      <c r="E2389" s="1" t="s">
        <v>20</v>
      </c>
      <c r="F2389" s="1" t="str">
        <f aca="false">TEXT(B2389,"mmm-yyyy")</f>
        <v>Nov-2024</v>
      </c>
    </row>
    <row r="2390" customFormat="false" ht="14.25" hidden="false" customHeight="true" outlineLevel="0" collapsed="false">
      <c r="A2390" s="1" t="n">
        <v>5</v>
      </c>
      <c r="B2390" s="10" t="n">
        <v>45604</v>
      </c>
      <c r="C2390" s="1" t="s">
        <v>2408</v>
      </c>
      <c r="D2390" s="1" t="s">
        <v>9</v>
      </c>
      <c r="E2390" s="1" t="s">
        <v>18</v>
      </c>
      <c r="F2390" s="1" t="str">
        <f aca="false">TEXT(B2390,"mmm-yyyy")</f>
        <v>Nov-2024</v>
      </c>
    </row>
    <row r="2391" customFormat="false" ht="101.25" hidden="false" customHeight="true" outlineLevel="0" collapsed="false">
      <c r="A2391" s="1" t="n">
        <v>1</v>
      </c>
      <c r="B2391" s="10" t="n">
        <v>45621</v>
      </c>
      <c r="C2391" s="11" t="s">
        <v>2409</v>
      </c>
      <c r="D2391" s="1" t="s">
        <v>9</v>
      </c>
      <c r="E2391" s="1" t="s">
        <v>18</v>
      </c>
      <c r="F2391" s="1" t="str">
        <f aca="false">TEXT(B2391,"mmm-yyyy")</f>
        <v>Nov-2024</v>
      </c>
    </row>
    <row r="2392" customFormat="false" ht="72" hidden="false" customHeight="true" outlineLevel="0" collapsed="false">
      <c r="A2392" s="1" t="n">
        <v>1</v>
      </c>
      <c r="B2392" s="10" t="n">
        <v>45624</v>
      </c>
      <c r="C2392" s="11" t="s">
        <v>2410</v>
      </c>
      <c r="D2392" s="1" t="s">
        <v>9</v>
      </c>
      <c r="E2392" s="1" t="s">
        <v>20</v>
      </c>
      <c r="F2392" s="1" t="str">
        <f aca="false">TEXT(B2392,"mmm-yyyy")</f>
        <v>Nov-2024</v>
      </c>
    </row>
    <row r="2393" customFormat="false" ht="28.5" hidden="false" customHeight="true" outlineLevel="0" collapsed="false">
      <c r="A2393" s="1" t="n">
        <v>1</v>
      </c>
      <c r="B2393" s="10" t="n">
        <v>45599</v>
      </c>
      <c r="C2393" s="11" t="s">
        <v>2411</v>
      </c>
      <c r="D2393" s="1" t="s">
        <v>9</v>
      </c>
      <c r="E2393" s="1" t="s">
        <v>20</v>
      </c>
      <c r="F2393" s="1" t="str">
        <f aca="false">TEXT(B2393,"mmm-yyyy")</f>
        <v>Nov-2024</v>
      </c>
    </row>
    <row r="2394" customFormat="false" ht="28.5" hidden="false" customHeight="true" outlineLevel="0" collapsed="false">
      <c r="A2394" s="1" t="n">
        <v>4</v>
      </c>
      <c r="B2394" s="10" t="n">
        <v>45597</v>
      </c>
      <c r="C2394" s="11" t="s">
        <v>2412</v>
      </c>
      <c r="D2394" s="1" t="s">
        <v>9</v>
      </c>
      <c r="E2394" s="1" t="s">
        <v>18</v>
      </c>
      <c r="F2394" s="1" t="str">
        <f aca="false">TEXT(B2394,"mmm-yyyy")</f>
        <v>Nov-2024</v>
      </c>
    </row>
    <row r="2395" customFormat="false" ht="72" hidden="false" customHeight="true" outlineLevel="0" collapsed="false">
      <c r="A2395" s="1" t="n">
        <v>1</v>
      </c>
      <c r="B2395" s="10" t="n">
        <v>45603</v>
      </c>
      <c r="C2395" s="11" t="s">
        <v>2413</v>
      </c>
      <c r="D2395" s="1" t="s">
        <v>9</v>
      </c>
      <c r="E2395" s="1" t="s">
        <v>20</v>
      </c>
      <c r="F2395" s="1" t="str">
        <f aca="false">TEXT(B2395,"mmm-yyyy")</f>
        <v>Nov-2024</v>
      </c>
    </row>
    <row r="2396" customFormat="false" ht="28.5" hidden="false" customHeight="true" outlineLevel="0" collapsed="false">
      <c r="A2396" s="1" t="n">
        <v>1</v>
      </c>
      <c r="B2396" s="10" t="n">
        <v>45593</v>
      </c>
      <c r="C2396" s="11" t="s">
        <v>2414</v>
      </c>
      <c r="D2396" s="1" t="s">
        <v>9</v>
      </c>
      <c r="E2396" s="1" t="s">
        <v>20</v>
      </c>
      <c r="F2396" s="1" t="str">
        <f aca="false">TEXT(B2396,"mmm-yyyy")</f>
        <v>Oct-2024</v>
      </c>
    </row>
    <row r="2397" customFormat="false" ht="28.5" hidden="false" customHeight="true" outlineLevel="0" collapsed="false">
      <c r="A2397" s="1" t="n">
        <v>3</v>
      </c>
      <c r="B2397" s="10" t="n">
        <v>45591</v>
      </c>
      <c r="C2397" s="11" t="s">
        <v>2415</v>
      </c>
      <c r="D2397" s="1" t="s">
        <v>9</v>
      </c>
      <c r="E2397" s="1" t="s">
        <v>18</v>
      </c>
      <c r="F2397" s="1" t="str">
        <f aca="false">TEXT(B2397,"mmm-yyyy")</f>
        <v>Oct-2024</v>
      </c>
    </row>
    <row r="2398" customFormat="false" ht="14.25" hidden="false" customHeight="true" outlineLevel="0" collapsed="false">
      <c r="A2398" s="1" t="n">
        <v>5</v>
      </c>
      <c r="B2398" s="10" t="n">
        <v>45600</v>
      </c>
      <c r="C2398" s="1" t="s">
        <v>2416</v>
      </c>
      <c r="D2398" s="1" t="s">
        <v>9</v>
      </c>
      <c r="E2398" s="1" t="s">
        <v>18</v>
      </c>
      <c r="F2398" s="1" t="str">
        <f aca="false">TEXT(B2398,"mmm-yyyy")</f>
        <v>Nov-2024</v>
      </c>
    </row>
    <row r="2399" customFormat="false" ht="72" hidden="false" customHeight="true" outlineLevel="0" collapsed="false">
      <c r="A2399" s="1" t="n">
        <v>1</v>
      </c>
      <c r="B2399" s="10" t="n">
        <v>45603</v>
      </c>
      <c r="C2399" s="11" t="s">
        <v>2417</v>
      </c>
      <c r="D2399" s="1" t="s">
        <v>9</v>
      </c>
      <c r="E2399" s="1" t="s">
        <v>20</v>
      </c>
      <c r="F2399" s="1" t="str">
        <f aca="false">TEXT(B2399,"mmm-yyyy")</f>
        <v>Nov-2024</v>
      </c>
    </row>
    <row r="2400" customFormat="false" ht="57.75" hidden="false" customHeight="true" outlineLevel="0" collapsed="false">
      <c r="A2400" s="1" t="n">
        <v>1</v>
      </c>
      <c r="B2400" s="10" t="n">
        <v>45614</v>
      </c>
      <c r="C2400" s="11" t="s">
        <v>2418</v>
      </c>
      <c r="D2400" s="1" t="s">
        <v>9</v>
      </c>
      <c r="E2400" s="1" t="s">
        <v>18</v>
      </c>
      <c r="F2400" s="1" t="str">
        <f aca="false">TEXT(B2400,"mmm-yyyy")</f>
        <v>Nov-2024</v>
      </c>
    </row>
    <row r="2401" customFormat="false" ht="28.5" hidden="false" customHeight="true" outlineLevel="0" collapsed="false">
      <c r="A2401" s="1" t="n">
        <v>1</v>
      </c>
      <c r="B2401" s="10" t="n">
        <v>45625</v>
      </c>
      <c r="C2401" s="11" t="s">
        <v>2419</v>
      </c>
      <c r="D2401" s="1" t="s">
        <v>9</v>
      </c>
      <c r="E2401" s="1" t="s">
        <v>32</v>
      </c>
      <c r="F2401" s="1" t="str">
        <f aca="false">TEXT(B2401,"mmm-yyyy")</f>
        <v>Nov-2024</v>
      </c>
    </row>
    <row r="2402" customFormat="false" ht="28.5" hidden="false" customHeight="true" outlineLevel="0" collapsed="false">
      <c r="A2402" s="1" t="n">
        <v>1</v>
      </c>
      <c r="B2402" s="10" t="n">
        <v>45612</v>
      </c>
      <c r="C2402" s="11" t="s">
        <v>2420</v>
      </c>
      <c r="D2402" s="1" t="s">
        <v>9</v>
      </c>
      <c r="E2402" s="1" t="s">
        <v>20</v>
      </c>
      <c r="F2402" s="1" t="str">
        <f aca="false">TEXT(B2402,"mmm-yyyy")</f>
        <v>Nov-2024</v>
      </c>
    </row>
    <row r="2403" customFormat="false" ht="28.5" hidden="false" customHeight="true" outlineLevel="0" collapsed="false">
      <c r="A2403" s="1" t="n">
        <v>5</v>
      </c>
      <c r="B2403" s="10" t="n">
        <v>45613</v>
      </c>
      <c r="C2403" s="11" t="s">
        <v>2421</v>
      </c>
      <c r="D2403" s="1" t="s">
        <v>9</v>
      </c>
      <c r="E2403" s="1" t="s">
        <v>18</v>
      </c>
      <c r="F2403" s="1" t="str">
        <f aca="false">TEXT(B2403,"mmm-yyyy")</f>
        <v>Nov-2024</v>
      </c>
    </row>
    <row r="2404" customFormat="false" ht="14.25" hidden="false" customHeight="true" outlineLevel="0" collapsed="false">
      <c r="A2404" s="1" t="n">
        <v>1</v>
      </c>
      <c r="B2404" s="10" t="n">
        <v>45623</v>
      </c>
      <c r="C2404" s="1" t="s">
        <v>2422</v>
      </c>
      <c r="D2404" s="1" t="s">
        <v>9</v>
      </c>
      <c r="E2404" s="1" t="s">
        <v>20</v>
      </c>
      <c r="F2404" s="1" t="str">
        <f aca="false">TEXT(B2404,"mmm-yyyy")</f>
        <v>Nov-2024</v>
      </c>
    </row>
    <row r="2405" customFormat="false" ht="28.5" hidden="false" customHeight="true" outlineLevel="0" collapsed="false">
      <c r="A2405" s="1" t="n">
        <v>5</v>
      </c>
      <c r="B2405" s="10" t="n">
        <v>45604</v>
      </c>
      <c r="C2405" s="11" t="s">
        <v>2423</v>
      </c>
      <c r="D2405" s="1" t="s">
        <v>9</v>
      </c>
      <c r="E2405" s="1" t="s">
        <v>18</v>
      </c>
      <c r="F2405" s="1" t="str">
        <f aca="false">TEXT(B2405,"mmm-yyyy")</f>
        <v>Nov-2024</v>
      </c>
    </row>
    <row r="2406" customFormat="false" ht="28.5" hidden="false" customHeight="true" outlineLevel="0" collapsed="false">
      <c r="A2406" s="1" t="n">
        <v>1</v>
      </c>
      <c r="B2406" s="10" t="n">
        <v>45604</v>
      </c>
      <c r="C2406" s="11" t="s">
        <v>2424</v>
      </c>
      <c r="D2406" s="1" t="s">
        <v>9</v>
      </c>
      <c r="E2406" s="1" t="s">
        <v>20</v>
      </c>
      <c r="F2406" s="1" t="str">
        <f aca="false">TEXT(B2406,"mmm-yyyy")</f>
        <v>Nov-2024</v>
      </c>
    </row>
    <row r="2407" customFormat="false" ht="28.5" hidden="false" customHeight="true" outlineLevel="0" collapsed="false">
      <c r="A2407" s="1" t="n">
        <v>2</v>
      </c>
      <c r="B2407" s="10" t="n">
        <v>45623</v>
      </c>
      <c r="C2407" s="11" t="s">
        <v>2425</v>
      </c>
      <c r="D2407" s="1" t="s">
        <v>9</v>
      </c>
      <c r="E2407" s="1" t="s">
        <v>20</v>
      </c>
      <c r="F2407" s="1" t="str">
        <f aca="false">TEXT(B2407,"mmm-yyyy")</f>
        <v>Nov-2024</v>
      </c>
    </row>
    <row r="2408" customFormat="false" ht="43.5" hidden="false" customHeight="true" outlineLevel="0" collapsed="false">
      <c r="A2408" s="1" t="n">
        <v>1</v>
      </c>
      <c r="B2408" s="10" t="n">
        <v>45580</v>
      </c>
      <c r="C2408" s="11" t="s">
        <v>2426</v>
      </c>
      <c r="D2408" s="1" t="s">
        <v>9</v>
      </c>
      <c r="E2408" s="1" t="s">
        <v>20</v>
      </c>
      <c r="F2408" s="1" t="str">
        <f aca="false">TEXT(B2408,"mmm-yyyy")</f>
        <v>Oct-2024</v>
      </c>
    </row>
    <row r="2409" customFormat="false" ht="43.5" hidden="false" customHeight="true" outlineLevel="0" collapsed="false">
      <c r="A2409" s="1" t="n">
        <v>3</v>
      </c>
      <c r="B2409" s="10" t="n">
        <v>45597</v>
      </c>
      <c r="C2409" s="11" t="s">
        <v>2427</v>
      </c>
      <c r="D2409" s="1" t="s">
        <v>9</v>
      </c>
      <c r="E2409" s="1" t="s">
        <v>20</v>
      </c>
      <c r="F2409" s="1" t="str">
        <f aca="false">TEXT(B2409,"mmm-yyyy")</f>
        <v>Nov-2024</v>
      </c>
    </row>
    <row r="2410" customFormat="false" ht="28.5" hidden="false" customHeight="true" outlineLevel="0" collapsed="false">
      <c r="A2410" s="1" t="n">
        <v>2</v>
      </c>
      <c r="B2410" s="10" t="n">
        <v>45595</v>
      </c>
      <c r="C2410" s="11" t="s">
        <v>2428</v>
      </c>
      <c r="D2410" s="1" t="s">
        <v>9</v>
      </c>
      <c r="E2410" s="1" t="s">
        <v>20</v>
      </c>
      <c r="F2410" s="1" t="str">
        <f aca="false">TEXT(B2410,"mmm-yyyy")</f>
        <v>Oct-2024</v>
      </c>
    </row>
    <row r="2411" customFormat="false" ht="28.5" hidden="false" customHeight="true" outlineLevel="0" collapsed="false">
      <c r="A2411" s="1" t="n">
        <v>1</v>
      </c>
      <c r="B2411" s="10" t="n">
        <v>45594</v>
      </c>
      <c r="C2411" s="11" t="s">
        <v>2429</v>
      </c>
      <c r="D2411" s="1" t="s">
        <v>9</v>
      </c>
      <c r="E2411" s="1" t="s">
        <v>20</v>
      </c>
      <c r="F2411" s="1" t="str">
        <f aca="false">TEXT(B2411,"mmm-yyyy")</f>
        <v>Oct-2024</v>
      </c>
    </row>
    <row r="2412" customFormat="false" ht="28.5" hidden="false" customHeight="true" outlineLevel="0" collapsed="false">
      <c r="A2412" s="1" t="n">
        <v>1</v>
      </c>
      <c r="B2412" s="10" t="n">
        <v>45601</v>
      </c>
      <c r="C2412" s="11" t="s">
        <v>2430</v>
      </c>
      <c r="D2412" s="1" t="s">
        <v>9</v>
      </c>
      <c r="E2412" s="1" t="s">
        <v>20</v>
      </c>
      <c r="F2412" s="1" t="str">
        <f aca="false">TEXT(B2412,"mmm-yyyy")</f>
        <v>Nov-2024</v>
      </c>
    </row>
    <row r="2413" customFormat="false" ht="115.5" hidden="false" customHeight="true" outlineLevel="0" collapsed="false">
      <c r="A2413" s="1" t="n">
        <v>1</v>
      </c>
      <c r="B2413" s="10" t="n">
        <v>45625</v>
      </c>
      <c r="C2413" s="11" t="s">
        <v>2431</v>
      </c>
      <c r="D2413" s="1" t="s">
        <v>9</v>
      </c>
      <c r="E2413" s="1" t="s">
        <v>18</v>
      </c>
      <c r="F2413" s="1" t="str">
        <f aca="false">TEXT(B2413,"mmm-yyyy")</f>
        <v>Nov-2024</v>
      </c>
    </row>
    <row r="2414" customFormat="false" ht="28.5" hidden="false" customHeight="true" outlineLevel="0" collapsed="false">
      <c r="A2414" s="1" t="n">
        <v>3</v>
      </c>
      <c r="B2414" s="10" t="n">
        <v>45611</v>
      </c>
      <c r="C2414" s="11" t="s">
        <v>2432</v>
      </c>
      <c r="D2414" s="1" t="s">
        <v>9</v>
      </c>
      <c r="E2414" s="1" t="s">
        <v>32</v>
      </c>
      <c r="F2414" s="1" t="str">
        <f aca="false">TEXT(B2414,"mmm-yyyy")</f>
        <v>Nov-2024</v>
      </c>
    </row>
    <row r="2415" customFormat="false" ht="28.5" hidden="false" customHeight="true" outlineLevel="0" collapsed="false">
      <c r="A2415" s="1" t="n">
        <v>2</v>
      </c>
      <c r="B2415" s="10" t="n">
        <v>45604</v>
      </c>
      <c r="C2415" s="11" t="s">
        <v>2433</v>
      </c>
      <c r="D2415" s="1" t="s">
        <v>9</v>
      </c>
      <c r="E2415" s="1" t="s">
        <v>32</v>
      </c>
      <c r="F2415" s="1" t="str">
        <f aca="false">TEXT(B2415,"mmm-yyyy")</f>
        <v>Nov-2024</v>
      </c>
    </row>
    <row r="2416" customFormat="false" ht="28.5" hidden="false" customHeight="true" outlineLevel="0" collapsed="false">
      <c r="A2416" s="1" t="n">
        <v>5</v>
      </c>
      <c r="B2416" s="10" t="n">
        <v>45622</v>
      </c>
      <c r="C2416" s="11" t="s">
        <v>2434</v>
      </c>
      <c r="D2416" s="1" t="s">
        <v>9</v>
      </c>
      <c r="E2416" s="1" t="s">
        <v>18</v>
      </c>
      <c r="F2416" s="1" t="str">
        <f aca="false">TEXT(B2416,"mmm-yyyy")</f>
        <v>Nov-2024</v>
      </c>
    </row>
    <row r="2417" customFormat="false" ht="72" hidden="false" customHeight="true" outlineLevel="0" collapsed="false">
      <c r="A2417" s="1" t="n">
        <v>1</v>
      </c>
      <c r="B2417" s="10" t="n">
        <v>45614</v>
      </c>
      <c r="C2417" s="11" t="s">
        <v>2435</v>
      </c>
      <c r="D2417" s="1" t="s">
        <v>9</v>
      </c>
      <c r="E2417" s="1" t="s">
        <v>18</v>
      </c>
      <c r="F2417" s="1" t="str">
        <f aca="false">TEXT(B2417,"mmm-yyyy")</f>
        <v>Nov-2024</v>
      </c>
    </row>
    <row r="2418" customFormat="false" ht="28.5" hidden="false" customHeight="true" outlineLevel="0" collapsed="false">
      <c r="A2418" s="1" t="n">
        <v>1</v>
      </c>
      <c r="B2418" s="10" t="n">
        <v>45604</v>
      </c>
      <c r="C2418" s="11" t="s">
        <v>2436</v>
      </c>
      <c r="D2418" s="1" t="s">
        <v>9</v>
      </c>
      <c r="E2418" s="1" t="s">
        <v>20</v>
      </c>
      <c r="F2418" s="1" t="str">
        <f aca="false">TEXT(B2418,"mmm-yyyy")</f>
        <v>Nov-2024</v>
      </c>
    </row>
    <row r="2419" customFormat="false" ht="28.5" hidden="false" customHeight="true" outlineLevel="0" collapsed="false">
      <c r="A2419" s="1" t="n">
        <v>1</v>
      </c>
      <c r="B2419" s="10" t="n">
        <v>45612</v>
      </c>
      <c r="C2419" s="11" t="s">
        <v>2437</v>
      </c>
      <c r="D2419" s="1" t="s">
        <v>9</v>
      </c>
      <c r="E2419" s="1" t="s">
        <v>20</v>
      </c>
      <c r="F2419" s="1" t="str">
        <f aca="false">TEXT(B2419,"mmm-yyyy")</f>
        <v>Nov-2024</v>
      </c>
    </row>
    <row r="2420" customFormat="false" ht="115.5" hidden="false" customHeight="true" outlineLevel="0" collapsed="false">
      <c r="A2420" s="1" t="n">
        <v>1</v>
      </c>
      <c r="B2420" s="10" t="n">
        <v>45482</v>
      </c>
      <c r="C2420" s="11" t="s">
        <v>2438</v>
      </c>
      <c r="D2420" s="1" t="s">
        <v>9</v>
      </c>
      <c r="E2420" s="1" t="s">
        <v>18</v>
      </c>
      <c r="F2420" s="1" t="str">
        <f aca="false">TEXT(B2420,"mmm-yyyy")</f>
        <v>Jul-2024</v>
      </c>
    </row>
    <row r="2421" customFormat="false" ht="130.5" hidden="false" customHeight="true" outlineLevel="0" collapsed="false">
      <c r="A2421" s="1" t="n">
        <v>1</v>
      </c>
      <c r="B2421" s="10" t="n">
        <v>45602</v>
      </c>
      <c r="C2421" s="11" t="s">
        <v>2439</v>
      </c>
      <c r="D2421" s="1" t="s">
        <v>9</v>
      </c>
      <c r="E2421" s="1" t="s">
        <v>20</v>
      </c>
      <c r="F2421" s="1" t="str">
        <f aca="false">TEXT(B2421,"mmm-yyyy")</f>
        <v>Nov-2024</v>
      </c>
    </row>
    <row r="2422" customFormat="false" ht="57.75" hidden="false" customHeight="true" outlineLevel="0" collapsed="false">
      <c r="A2422" s="1" t="n">
        <v>1</v>
      </c>
      <c r="B2422" s="10" t="n">
        <v>45589</v>
      </c>
      <c r="C2422" s="11" t="s">
        <v>2440</v>
      </c>
      <c r="D2422" s="1" t="s">
        <v>9</v>
      </c>
      <c r="E2422" s="1" t="s">
        <v>32</v>
      </c>
      <c r="F2422" s="1" t="str">
        <f aca="false">TEXT(B2422,"mmm-yyyy")</f>
        <v>Oct-2024</v>
      </c>
    </row>
    <row r="2423" customFormat="false" ht="28.5" hidden="false" customHeight="true" outlineLevel="0" collapsed="false">
      <c r="A2423" s="1" t="n">
        <v>5</v>
      </c>
      <c r="B2423" s="10" t="n">
        <v>45650</v>
      </c>
      <c r="C2423" s="11" t="s">
        <v>2441</v>
      </c>
      <c r="D2423" s="1" t="s">
        <v>9</v>
      </c>
      <c r="E2423" s="1" t="s">
        <v>18</v>
      </c>
      <c r="F2423" s="1" t="str">
        <f aca="false">TEXT(B2423,"mmm-yyyy")</f>
        <v>Dec-2024</v>
      </c>
    </row>
    <row r="2424" customFormat="false" ht="130.5" hidden="false" customHeight="true" outlineLevel="0" collapsed="false">
      <c r="A2424" s="1" t="n">
        <v>1</v>
      </c>
      <c r="B2424" s="10" t="n">
        <v>45638</v>
      </c>
      <c r="C2424" s="11" t="s">
        <v>2442</v>
      </c>
      <c r="D2424" s="1" t="s">
        <v>9</v>
      </c>
      <c r="E2424" s="1" t="s">
        <v>18</v>
      </c>
      <c r="F2424" s="1" t="str">
        <f aca="false">TEXT(B2424,"mmm-yyyy")</f>
        <v>Dec-2024</v>
      </c>
    </row>
    <row r="2425" customFormat="false" ht="101.25" hidden="false" customHeight="true" outlineLevel="0" collapsed="false">
      <c r="A2425" s="1" t="n">
        <v>1</v>
      </c>
      <c r="B2425" s="10" t="n">
        <v>45654</v>
      </c>
      <c r="C2425" s="11" t="s">
        <v>2443</v>
      </c>
      <c r="D2425" s="1" t="s">
        <v>9</v>
      </c>
      <c r="E2425" s="1" t="s">
        <v>20</v>
      </c>
      <c r="F2425" s="1" t="str">
        <f aca="false">TEXT(B2425,"mmm-yyyy")</f>
        <v>Dec-2024</v>
      </c>
    </row>
    <row r="2426" customFormat="false" ht="72" hidden="false" customHeight="true" outlineLevel="0" collapsed="false">
      <c r="A2426" s="1" t="n">
        <v>1</v>
      </c>
      <c r="B2426" s="10" t="n">
        <v>45639</v>
      </c>
      <c r="C2426" s="11" t="s">
        <v>2444</v>
      </c>
      <c r="D2426" s="1" t="s">
        <v>9</v>
      </c>
      <c r="E2426" s="1" t="s">
        <v>20</v>
      </c>
      <c r="F2426" s="1" t="str">
        <f aca="false">TEXT(B2426,"mmm-yyyy")</f>
        <v>Dec-2024</v>
      </c>
    </row>
    <row r="2427" customFormat="false" ht="115.5" hidden="false" customHeight="true" outlineLevel="0" collapsed="false">
      <c r="A2427" s="1" t="n">
        <v>1</v>
      </c>
      <c r="B2427" s="10" t="n">
        <v>45645</v>
      </c>
      <c r="C2427" s="11" t="s">
        <v>2445</v>
      </c>
      <c r="D2427" s="1" t="s">
        <v>9</v>
      </c>
      <c r="E2427" s="1" t="s">
        <v>32</v>
      </c>
      <c r="F2427" s="1" t="str">
        <f aca="false">TEXT(B2427,"mmm-yyyy")</f>
        <v>Dec-2024</v>
      </c>
    </row>
    <row r="2428" customFormat="false" ht="101.25" hidden="false" customHeight="true" outlineLevel="0" collapsed="false">
      <c r="A2428" s="1" t="n">
        <v>1</v>
      </c>
      <c r="B2428" s="10" t="n">
        <v>45495</v>
      </c>
      <c r="C2428" s="11" t="s">
        <v>2446</v>
      </c>
      <c r="D2428" s="1" t="s">
        <v>9</v>
      </c>
      <c r="E2428" s="1" t="s">
        <v>20</v>
      </c>
      <c r="F2428" s="1" t="str">
        <f aca="false">TEXT(B2428,"mmm-yyyy")</f>
        <v>Jul-2024</v>
      </c>
    </row>
    <row r="2429" customFormat="false" ht="72" hidden="false" customHeight="true" outlineLevel="0" collapsed="false">
      <c r="A2429" s="1" t="n">
        <v>1</v>
      </c>
      <c r="B2429" s="10" t="n">
        <v>45632</v>
      </c>
      <c r="C2429" s="11" t="s">
        <v>2447</v>
      </c>
      <c r="D2429" s="1" t="s">
        <v>9</v>
      </c>
      <c r="E2429" s="1" t="s">
        <v>20</v>
      </c>
      <c r="F2429" s="1" t="str">
        <f aca="false">TEXT(B2429,"mmm-yyyy")</f>
        <v>Dec-2024</v>
      </c>
    </row>
    <row r="2430" customFormat="false" ht="130.5" hidden="false" customHeight="true" outlineLevel="0" collapsed="false">
      <c r="A2430" s="1" t="n">
        <v>1</v>
      </c>
      <c r="B2430" s="10" t="n">
        <v>45642</v>
      </c>
      <c r="C2430" s="11" t="s">
        <v>2448</v>
      </c>
      <c r="D2430" s="1" t="s">
        <v>9</v>
      </c>
      <c r="E2430" s="1" t="s">
        <v>20</v>
      </c>
      <c r="F2430" s="1" t="str">
        <f aca="false">TEXT(B2430,"mmm-yyyy")</f>
        <v>Dec-2024</v>
      </c>
    </row>
    <row r="2431" customFormat="false" ht="130.5" hidden="false" customHeight="true" outlineLevel="0" collapsed="false">
      <c r="A2431" s="1" t="n">
        <v>1</v>
      </c>
      <c r="B2431" s="10" t="n">
        <v>45648</v>
      </c>
      <c r="C2431" s="11" t="s">
        <v>2449</v>
      </c>
      <c r="D2431" s="1" t="s">
        <v>9</v>
      </c>
      <c r="E2431" s="1" t="s">
        <v>20</v>
      </c>
      <c r="F2431" s="1" t="str">
        <f aca="false">TEXT(B2431,"mmm-yyyy")</f>
        <v>Dec-2024</v>
      </c>
    </row>
    <row r="2432" customFormat="false" ht="130.5" hidden="false" customHeight="true" outlineLevel="0" collapsed="false">
      <c r="A2432" s="1" t="n">
        <v>1</v>
      </c>
      <c r="B2432" s="10" t="n">
        <v>45577</v>
      </c>
      <c r="C2432" s="11" t="s">
        <v>2450</v>
      </c>
      <c r="D2432" s="1" t="s">
        <v>9</v>
      </c>
      <c r="E2432" s="1" t="s">
        <v>18</v>
      </c>
      <c r="F2432" s="1" t="str">
        <f aca="false">TEXT(B2432,"mmm-yyyy")</f>
        <v>Oct-2024</v>
      </c>
    </row>
    <row r="2433" customFormat="false" ht="72" hidden="false" customHeight="true" outlineLevel="0" collapsed="false">
      <c r="A2433" s="1" t="n">
        <v>3</v>
      </c>
      <c r="B2433" s="10" t="n">
        <v>45566</v>
      </c>
      <c r="C2433" s="11" t="s">
        <v>2451</v>
      </c>
      <c r="D2433" s="1" t="s">
        <v>9</v>
      </c>
      <c r="E2433" s="1" t="s">
        <v>20</v>
      </c>
      <c r="F2433" s="1" t="str">
        <f aca="false">TEXT(B2433,"mmm-yyyy")</f>
        <v>Oct-2024</v>
      </c>
    </row>
    <row r="2434" customFormat="false" ht="28.5" hidden="false" customHeight="true" outlineLevel="0" collapsed="false">
      <c r="A2434" s="1" t="n">
        <v>5</v>
      </c>
      <c r="B2434" s="10" t="n">
        <v>45593</v>
      </c>
      <c r="C2434" s="11" t="s">
        <v>2452</v>
      </c>
      <c r="D2434" s="1" t="s">
        <v>9</v>
      </c>
      <c r="E2434" s="1" t="s">
        <v>18</v>
      </c>
      <c r="F2434" s="1" t="str">
        <f aca="false">TEXT(B2434,"mmm-yyyy")</f>
        <v>Oct-2024</v>
      </c>
    </row>
    <row r="2435" customFormat="false" ht="14.25" hidden="false" customHeight="true" outlineLevel="0" collapsed="false">
      <c r="A2435" s="1" t="n">
        <v>1</v>
      </c>
      <c r="B2435" s="10" t="n">
        <v>45646</v>
      </c>
      <c r="C2435" s="1" t="s">
        <v>2453</v>
      </c>
      <c r="D2435" s="1" t="s">
        <v>9</v>
      </c>
      <c r="E2435" s="1" t="s">
        <v>20</v>
      </c>
      <c r="F2435" s="1" t="str">
        <f aca="false">TEXT(B2435,"mmm-yyyy")</f>
        <v>Dec-2024</v>
      </c>
    </row>
    <row r="2436" customFormat="false" ht="72" hidden="false" customHeight="true" outlineLevel="0" collapsed="false">
      <c r="A2436" s="1" t="n">
        <v>1</v>
      </c>
      <c r="B2436" s="10" t="n">
        <v>45624</v>
      </c>
      <c r="C2436" s="11" t="s">
        <v>2454</v>
      </c>
      <c r="D2436" s="1" t="s">
        <v>9</v>
      </c>
      <c r="E2436" s="1" t="s">
        <v>20</v>
      </c>
      <c r="F2436" s="1" t="str">
        <f aca="false">TEXT(B2436,"mmm-yyyy")</f>
        <v>Nov-2024</v>
      </c>
    </row>
    <row r="2437" customFormat="false" ht="115.5" hidden="false" customHeight="true" outlineLevel="0" collapsed="false">
      <c r="A2437" s="1" t="n">
        <v>1</v>
      </c>
      <c r="B2437" s="10" t="n">
        <v>45486</v>
      </c>
      <c r="C2437" s="11" t="s">
        <v>2455</v>
      </c>
      <c r="D2437" s="1" t="s">
        <v>9</v>
      </c>
      <c r="E2437" s="1" t="s">
        <v>20</v>
      </c>
      <c r="F2437" s="1" t="str">
        <f aca="false">TEXT(B2437,"mmm-yyyy")</f>
        <v>Jul-2024</v>
      </c>
    </row>
    <row r="2438" customFormat="false" ht="115.5" hidden="false" customHeight="true" outlineLevel="0" collapsed="false">
      <c r="A2438" s="1" t="n">
        <v>1</v>
      </c>
      <c r="B2438" s="10" t="n">
        <v>45497</v>
      </c>
      <c r="C2438" s="11" t="s">
        <v>2456</v>
      </c>
      <c r="D2438" s="1" t="s">
        <v>9</v>
      </c>
      <c r="E2438" s="1" t="s">
        <v>20</v>
      </c>
      <c r="F2438" s="1" t="str">
        <f aca="false">TEXT(B2438,"mmm-yyyy")</f>
        <v>Jul-2024</v>
      </c>
    </row>
    <row r="2439" customFormat="false" ht="87" hidden="false" customHeight="true" outlineLevel="0" collapsed="false">
      <c r="A2439" s="1" t="n">
        <v>1</v>
      </c>
      <c r="B2439" s="10" t="n">
        <v>45574</v>
      </c>
      <c r="C2439" s="11" t="s">
        <v>2457</v>
      </c>
      <c r="D2439" s="1" t="s">
        <v>9</v>
      </c>
      <c r="E2439" s="1" t="s">
        <v>20</v>
      </c>
      <c r="F2439" s="1" t="str">
        <f aca="false">TEXT(B2439,"mmm-yyyy")</f>
        <v>Oct-2024</v>
      </c>
    </row>
    <row r="2440" customFormat="false" ht="87" hidden="false" customHeight="true" outlineLevel="0" collapsed="false">
      <c r="A2440" s="1" t="n">
        <v>1</v>
      </c>
      <c r="B2440" s="10" t="n">
        <v>45509</v>
      </c>
      <c r="C2440" s="11" t="s">
        <v>2458</v>
      </c>
      <c r="D2440" s="1" t="s">
        <v>9</v>
      </c>
      <c r="E2440" s="1" t="s">
        <v>20</v>
      </c>
      <c r="F2440" s="1" t="str">
        <f aca="false">TEXT(B2440,"mmm-yyyy")</f>
        <v>Aug-2024</v>
      </c>
    </row>
    <row r="2441" customFormat="false" ht="57.75" hidden="false" customHeight="true" outlineLevel="0" collapsed="false">
      <c r="A2441" s="1" t="n">
        <v>1</v>
      </c>
      <c r="B2441" s="10" t="n">
        <v>45537</v>
      </c>
      <c r="C2441" s="11" t="s">
        <v>2459</v>
      </c>
      <c r="D2441" s="1" t="s">
        <v>9</v>
      </c>
      <c r="E2441" s="1" t="s">
        <v>18</v>
      </c>
      <c r="F2441" s="1" t="str">
        <f aca="false">TEXT(B2441,"mmm-yyyy")</f>
        <v>Sep-2024</v>
      </c>
    </row>
    <row r="2442" customFormat="false" ht="130.5" hidden="false" customHeight="true" outlineLevel="0" collapsed="false">
      <c r="A2442" s="1" t="n">
        <v>1</v>
      </c>
      <c r="B2442" s="10" t="n">
        <v>45540</v>
      </c>
      <c r="C2442" s="11" t="s">
        <v>2460</v>
      </c>
      <c r="D2442" s="1" t="s">
        <v>9</v>
      </c>
      <c r="E2442" s="1" t="s">
        <v>18</v>
      </c>
      <c r="F2442" s="1" t="str">
        <f aca="false">TEXT(B2442,"mmm-yyyy")</f>
        <v>Sep-2024</v>
      </c>
    </row>
    <row r="2443" customFormat="false" ht="72" hidden="false" customHeight="true" outlineLevel="0" collapsed="false">
      <c r="A2443" s="1" t="n">
        <v>1</v>
      </c>
      <c r="B2443" s="10" t="n">
        <v>45540</v>
      </c>
      <c r="C2443" s="11" t="s">
        <v>2461</v>
      </c>
      <c r="D2443" s="1" t="s">
        <v>9</v>
      </c>
      <c r="E2443" s="1" t="s">
        <v>20</v>
      </c>
      <c r="F2443" s="1" t="str">
        <f aca="false">TEXT(B2443,"mmm-yyyy")</f>
        <v>Sep-2024</v>
      </c>
    </row>
    <row r="2444" customFormat="false" ht="72" hidden="false" customHeight="true" outlineLevel="0" collapsed="false">
      <c r="A2444" s="1" t="n">
        <v>1</v>
      </c>
      <c r="B2444" s="10" t="n">
        <v>45521</v>
      </c>
      <c r="C2444" s="11" t="s">
        <v>2462</v>
      </c>
      <c r="D2444" s="1" t="s">
        <v>9</v>
      </c>
      <c r="E2444" s="1" t="s">
        <v>20</v>
      </c>
      <c r="F2444" s="1" t="str">
        <f aca="false">TEXT(B2444,"mmm-yyyy")</f>
        <v>Aug-2024</v>
      </c>
    </row>
    <row r="2445" customFormat="false" ht="57.75" hidden="false" customHeight="true" outlineLevel="0" collapsed="false">
      <c r="A2445" s="1" t="n">
        <v>1</v>
      </c>
      <c r="B2445" s="10" t="n">
        <v>45550</v>
      </c>
      <c r="C2445" s="11" t="s">
        <v>2463</v>
      </c>
      <c r="D2445" s="1" t="s">
        <v>9</v>
      </c>
      <c r="E2445" s="1" t="s">
        <v>20</v>
      </c>
      <c r="F2445" s="1" t="str">
        <f aca="false">TEXT(B2445,"mmm-yyyy")</f>
        <v>Sep-2024</v>
      </c>
    </row>
    <row r="2446" customFormat="false" ht="72" hidden="false" customHeight="true" outlineLevel="0" collapsed="false">
      <c r="A2446" s="1" t="n">
        <v>1</v>
      </c>
      <c r="B2446" s="10" t="n">
        <v>45518</v>
      </c>
      <c r="C2446" s="11" t="s">
        <v>2464</v>
      </c>
      <c r="D2446" s="1" t="s">
        <v>9</v>
      </c>
      <c r="E2446" s="1" t="s">
        <v>20</v>
      </c>
      <c r="F2446" s="1" t="str">
        <f aca="false">TEXT(B2446,"mmm-yyyy")</f>
        <v>Aug-2024</v>
      </c>
    </row>
    <row r="2447" customFormat="false" ht="57.75" hidden="false" customHeight="true" outlineLevel="0" collapsed="false">
      <c r="A2447" s="1" t="n">
        <v>1</v>
      </c>
      <c r="B2447" s="10" t="n">
        <v>45568</v>
      </c>
      <c r="C2447" s="11" t="s">
        <v>2465</v>
      </c>
      <c r="D2447" s="1" t="s">
        <v>9</v>
      </c>
      <c r="E2447" s="1" t="s">
        <v>20</v>
      </c>
      <c r="F2447" s="1" t="str">
        <f aca="false">TEXT(B2447,"mmm-yyyy")</f>
        <v>Oct-2024</v>
      </c>
    </row>
    <row r="2448" customFormat="false" ht="43.5" hidden="false" customHeight="true" outlineLevel="0" collapsed="false">
      <c r="A2448" s="1" t="n">
        <v>3</v>
      </c>
      <c r="B2448" s="10" t="n">
        <v>45538</v>
      </c>
      <c r="C2448" s="11" t="s">
        <v>2466</v>
      </c>
      <c r="D2448" s="1" t="s">
        <v>9</v>
      </c>
      <c r="E2448" s="1" t="s">
        <v>18</v>
      </c>
      <c r="F2448" s="1" t="str">
        <f aca="false">TEXT(B2448,"mmm-yyyy")</f>
        <v>Sep-2024</v>
      </c>
    </row>
    <row r="2449" customFormat="false" ht="72" hidden="false" customHeight="true" outlineLevel="0" collapsed="false">
      <c r="A2449" s="1" t="n">
        <v>1</v>
      </c>
      <c r="B2449" s="10" t="n">
        <v>45501</v>
      </c>
      <c r="C2449" s="11" t="s">
        <v>2467</v>
      </c>
      <c r="D2449" s="1" t="s">
        <v>9</v>
      </c>
      <c r="E2449" s="1" t="s">
        <v>20</v>
      </c>
      <c r="F2449" s="1" t="str">
        <f aca="false">TEXT(B2449,"mmm-yyyy")</f>
        <v>Jul-2024</v>
      </c>
    </row>
    <row r="2450" customFormat="false" ht="57.75" hidden="false" customHeight="true" outlineLevel="0" collapsed="false">
      <c r="A2450" s="1" t="n">
        <v>1</v>
      </c>
      <c r="B2450" s="10" t="n">
        <v>45508</v>
      </c>
      <c r="C2450" s="11" t="s">
        <v>2468</v>
      </c>
      <c r="D2450" s="1" t="s">
        <v>9</v>
      </c>
      <c r="E2450" s="1" t="s">
        <v>20</v>
      </c>
      <c r="F2450" s="1" t="str">
        <f aca="false">TEXT(B2450,"mmm-yyyy")</f>
        <v>Aug-2024</v>
      </c>
    </row>
    <row r="2451" customFormat="false" ht="72" hidden="false" customHeight="true" outlineLevel="0" collapsed="false">
      <c r="A2451" s="1" t="n">
        <v>1</v>
      </c>
      <c r="B2451" s="10" t="n">
        <v>45523</v>
      </c>
      <c r="C2451" s="11" t="s">
        <v>2469</v>
      </c>
      <c r="D2451" s="1" t="s">
        <v>9</v>
      </c>
      <c r="E2451" s="1" t="s">
        <v>20</v>
      </c>
      <c r="F2451" s="1" t="str">
        <f aca="false">TEXT(B2451,"mmm-yyyy")</f>
        <v>Aug-2024</v>
      </c>
    </row>
    <row r="2452" customFormat="false" ht="130.5" hidden="false" customHeight="true" outlineLevel="0" collapsed="false">
      <c r="A2452" s="1" t="n">
        <v>1</v>
      </c>
      <c r="B2452" s="10" t="n">
        <v>45509</v>
      </c>
      <c r="C2452" s="11" t="s">
        <v>2470</v>
      </c>
      <c r="D2452" s="1" t="s">
        <v>9</v>
      </c>
      <c r="E2452" s="1" t="s">
        <v>20</v>
      </c>
      <c r="F2452" s="1" t="str">
        <f aca="false">TEXT(B2452,"mmm-yyyy")</f>
        <v>Aug-2024</v>
      </c>
    </row>
    <row r="2453" customFormat="false" ht="101.25" hidden="false" customHeight="true" outlineLevel="0" collapsed="false">
      <c r="A2453" s="1" t="n">
        <v>1</v>
      </c>
      <c r="B2453" s="10" t="n">
        <v>45493</v>
      </c>
      <c r="C2453" s="11" t="s">
        <v>2471</v>
      </c>
      <c r="D2453" s="1" t="s">
        <v>9</v>
      </c>
      <c r="E2453" s="1" t="s">
        <v>18</v>
      </c>
      <c r="F2453" s="1" t="str">
        <f aca="false">TEXT(B2453,"mmm-yyyy")</f>
        <v>Jul-2024</v>
      </c>
    </row>
    <row r="2454" customFormat="false" ht="72" hidden="false" customHeight="true" outlineLevel="0" collapsed="false">
      <c r="A2454" s="1" t="n">
        <v>1</v>
      </c>
      <c r="B2454" s="10" t="n">
        <v>45528</v>
      </c>
      <c r="C2454" s="11" t="s">
        <v>2472</v>
      </c>
      <c r="D2454" s="1" t="s">
        <v>9</v>
      </c>
      <c r="E2454" s="1" t="s">
        <v>20</v>
      </c>
      <c r="F2454" s="1" t="str">
        <f aca="false">TEXT(B2454,"mmm-yyyy")</f>
        <v>Aug-2024</v>
      </c>
    </row>
    <row r="2455" customFormat="false" ht="43.5" hidden="false" customHeight="true" outlineLevel="0" collapsed="false">
      <c r="A2455" s="1" t="n">
        <v>1</v>
      </c>
      <c r="B2455" s="10" t="n">
        <v>45542</v>
      </c>
      <c r="C2455" s="11" t="s">
        <v>2473</v>
      </c>
      <c r="D2455" s="1" t="s">
        <v>9</v>
      </c>
      <c r="E2455" s="1" t="s">
        <v>20</v>
      </c>
      <c r="F2455" s="1" t="str">
        <f aca="false">TEXT(B2455,"mmm-yyyy")</f>
        <v>Sep-2024</v>
      </c>
    </row>
    <row r="2456" customFormat="false" ht="130.5" hidden="false" customHeight="true" outlineLevel="0" collapsed="false">
      <c r="A2456" s="1" t="n">
        <v>1</v>
      </c>
      <c r="B2456" s="10" t="n">
        <v>45560</v>
      </c>
      <c r="C2456" s="11" t="s">
        <v>2474</v>
      </c>
      <c r="D2456" s="1" t="s">
        <v>9</v>
      </c>
      <c r="E2456" s="1" t="s">
        <v>20</v>
      </c>
      <c r="F2456" s="1" t="str">
        <f aca="false">TEXT(B2456,"mmm-yyyy")</f>
        <v>Sep-2024</v>
      </c>
    </row>
    <row r="2457" customFormat="false" ht="72" hidden="false" customHeight="true" outlineLevel="0" collapsed="false">
      <c r="A2457" s="1" t="n">
        <v>1</v>
      </c>
      <c r="B2457" s="10" t="n">
        <v>45550</v>
      </c>
      <c r="C2457" s="11" t="s">
        <v>2475</v>
      </c>
      <c r="D2457" s="1" t="s">
        <v>9</v>
      </c>
      <c r="E2457" s="1" t="s">
        <v>20</v>
      </c>
      <c r="F2457" s="1" t="str">
        <f aca="false">TEXT(B2457,"mmm-yyyy")</f>
        <v>Sep-2024</v>
      </c>
    </row>
    <row r="2458" customFormat="false" ht="130.5" hidden="false" customHeight="true" outlineLevel="0" collapsed="false">
      <c r="A2458" s="1" t="n">
        <v>1</v>
      </c>
      <c r="B2458" s="10" t="n">
        <v>45503</v>
      </c>
      <c r="C2458" s="11" t="s">
        <v>2476</v>
      </c>
      <c r="D2458" s="1" t="s">
        <v>9</v>
      </c>
      <c r="E2458" s="1" t="s">
        <v>20</v>
      </c>
      <c r="F2458" s="1" t="str">
        <f aca="false">TEXT(B2458,"mmm-yyyy")</f>
        <v>Jul-2024</v>
      </c>
    </row>
    <row r="2459" customFormat="false" ht="72" hidden="false" customHeight="true" outlineLevel="0" collapsed="false">
      <c r="A2459" s="1" t="n">
        <v>1</v>
      </c>
      <c r="B2459" s="10" t="n">
        <v>45507</v>
      </c>
      <c r="C2459" s="11" t="s">
        <v>2477</v>
      </c>
      <c r="D2459" s="1" t="s">
        <v>9</v>
      </c>
      <c r="E2459" s="1" t="s">
        <v>20</v>
      </c>
      <c r="F2459" s="1" t="str">
        <f aca="false">TEXT(B2459,"mmm-yyyy")</f>
        <v>Aug-2024</v>
      </c>
    </row>
    <row r="2460" customFormat="false" ht="72" hidden="false" customHeight="true" outlineLevel="0" collapsed="false">
      <c r="A2460" s="1" t="n">
        <v>1</v>
      </c>
      <c r="B2460" s="10" t="n">
        <v>45520</v>
      </c>
      <c r="C2460" s="11" t="s">
        <v>2478</v>
      </c>
      <c r="D2460" s="1" t="s">
        <v>9</v>
      </c>
      <c r="E2460" s="1" t="s">
        <v>20</v>
      </c>
      <c r="F2460" s="1" t="str">
        <f aca="false">TEXT(B2460,"mmm-yyyy")</f>
        <v>Aug-2024</v>
      </c>
    </row>
    <row r="2461" customFormat="false" ht="43.5" hidden="false" customHeight="true" outlineLevel="0" collapsed="false">
      <c r="A2461" s="1" t="n">
        <v>1</v>
      </c>
      <c r="B2461" s="10" t="n">
        <v>45516</v>
      </c>
      <c r="C2461" s="11" t="s">
        <v>2479</v>
      </c>
      <c r="D2461" s="1" t="s">
        <v>9</v>
      </c>
      <c r="E2461" s="1" t="s">
        <v>20</v>
      </c>
      <c r="F2461" s="1" t="str">
        <f aca="false">TEXT(B2461,"mmm-yyyy")</f>
        <v>Aug-2024</v>
      </c>
    </row>
    <row r="2462" customFormat="false" ht="43.5" hidden="false" customHeight="true" outlineLevel="0" collapsed="false">
      <c r="A2462" s="1" t="n">
        <v>1</v>
      </c>
      <c r="B2462" s="10" t="n">
        <v>45564</v>
      </c>
      <c r="C2462" s="11" t="s">
        <v>2480</v>
      </c>
      <c r="D2462" s="1" t="s">
        <v>9</v>
      </c>
      <c r="E2462" s="1" t="s">
        <v>20</v>
      </c>
      <c r="F2462" s="1" t="str">
        <f aca="false">TEXT(B2462,"mmm-yyyy")</f>
        <v>Sep-2024</v>
      </c>
    </row>
    <row r="2463" customFormat="false" ht="72" hidden="false" customHeight="true" outlineLevel="0" collapsed="false">
      <c r="A2463" s="1" t="n">
        <v>1</v>
      </c>
      <c r="B2463" s="10" t="n">
        <v>45501</v>
      </c>
      <c r="C2463" s="11" t="s">
        <v>2481</v>
      </c>
      <c r="D2463" s="1" t="s">
        <v>9</v>
      </c>
      <c r="E2463" s="1" t="s">
        <v>18</v>
      </c>
      <c r="F2463" s="1" t="str">
        <f aca="false">TEXT(B2463,"mmm-yyyy")</f>
        <v>Jul-2024</v>
      </c>
    </row>
    <row r="2464" customFormat="false" ht="43.5" hidden="false" customHeight="true" outlineLevel="0" collapsed="false">
      <c r="A2464" s="1" t="n">
        <v>1</v>
      </c>
      <c r="B2464" s="10" t="n">
        <v>45542</v>
      </c>
      <c r="C2464" s="11" t="s">
        <v>2482</v>
      </c>
      <c r="D2464" s="1" t="s">
        <v>9</v>
      </c>
      <c r="E2464" s="1" t="s">
        <v>32</v>
      </c>
      <c r="F2464" s="1" t="str">
        <f aca="false">TEXT(B2464,"mmm-yyyy")</f>
        <v>Sep-2024</v>
      </c>
    </row>
    <row r="2465" customFormat="false" ht="115.5" hidden="false" customHeight="true" outlineLevel="0" collapsed="false">
      <c r="A2465" s="1" t="n">
        <v>1</v>
      </c>
      <c r="B2465" s="10" t="n">
        <v>45562</v>
      </c>
      <c r="C2465" s="11" t="s">
        <v>2483</v>
      </c>
      <c r="D2465" s="1" t="s">
        <v>9</v>
      </c>
      <c r="E2465" s="1" t="s">
        <v>20</v>
      </c>
      <c r="F2465" s="1" t="str">
        <f aca="false">TEXT(B2465,"mmm-yyyy")</f>
        <v>Sep-2024</v>
      </c>
    </row>
    <row r="2466" customFormat="false" ht="57.75" hidden="false" customHeight="true" outlineLevel="0" collapsed="false">
      <c r="A2466" s="1" t="n">
        <v>1</v>
      </c>
      <c r="B2466" s="10" t="n">
        <v>45534</v>
      </c>
      <c r="C2466" s="11" t="s">
        <v>2484</v>
      </c>
      <c r="D2466" s="1" t="s">
        <v>9</v>
      </c>
      <c r="E2466" s="1" t="s">
        <v>20</v>
      </c>
      <c r="F2466" s="1" t="str">
        <f aca="false">TEXT(B2466,"mmm-yyyy")</f>
        <v>Aug-2024</v>
      </c>
    </row>
    <row r="2467" customFormat="false" ht="130.5" hidden="false" customHeight="true" outlineLevel="0" collapsed="false">
      <c r="A2467" s="1" t="n">
        <v>2</v>
      </c>
      <c r="B2467" s="10" t="n">
        <v>45548</v>
      </c>
      <c r="C2467" s="11" t="s">
        <v>2485</v>
      </c>
      <c r="D2467" s="1" t="s">
        <v>9</v>
      </c>
      <c r="E2467" s="1" t="s">
        <v>20</v>
      </c>
      <c r="F2467" s="1" t="str">
        <f aca="false">TEXT(B2467,"mmm-yyyy")</f>
        <v>Sep-2024</v>
      </c>
    </row>
    <row r="2468" customFormat="false" ht="72" hidden="false" customHeight="true" outlineLevel="0" collapsed="false">
      <c r="A2468" s="1" t="n">
        <v>1</v>
      </c>
      <c r="B2468" s="10" t="n">
        <v>45504</v>
      </c>
      <c r="C2468" s="11" t="s">
        <v>2486</v>
      </c>
      <c r="D2468" s="1" t="s">
        <v>9</v>
      </c>
      <c r="E2468" s="1" t="s">
        <v>20</v>
      </c>
      <c r="F2468" s="1" t="str">
        <f aca="false">TEXT(B2468,"mmm-yyyy")</f>
        <v>Jul-2024</v>
      </c>
    </row>
    <row r="2469" customFormat="false" ht="57.75" hidden="false" customHeight="true" outlineLevel="0" collapsed="false">
      <c r="A2469" s="1" t="n">
        <v>1</v>
      </c>
      <c r="B2469" s="10" t="n">
        <v>45525</v>
      </c>
      <c r="C2469" s="11" t="s">
        <v>2487</v>
      </c>
      <c r="D2469" s="1" t="s">
        <v>9</v>
      </c>
      <c r="E2469" s="1" t="s">
        <v>20</v>
      </c>
      <c r="F2469" s="1" t="str">
        <f aca="false">TEXT(B2469,"mmm-yyyy")</f>
        <v>Aug-2024</v>
      </c>
    </row>
    <row r="2470" customFormat="false" ht="57.75" hidden="false" customHeight="true" outlineLevel="0" collapsed="false">
      <c r="A2470" s="1" t="n">
        <v>1</v>
      </c>
      <c r="B2470" s="10" t="n">
        <v>45550</v>
      </c>
      <c r="C2470" s="11" t="s">
        <v>2488</v>
      </c>
      <c r="D2470" s="1" t="s">
        <v>9</v>
      </c>
      <c r="E2470" s="1" t="s">
        <v>20</v>
      </c>
      <c r="F2470" s="1" t="str">
        <f aca="false">TEXT(B2470,"mmm-yyyy")</f>
        <v>Sep-2024</v>
      </c>
    </row>
    <row r="2471" customFormat="false" ht="130.5" hidden="false" customHeight="true" outlineLevel="0" collapsed="false">
      <c r="A2471" s="1" t="n">
        <v>1</v>
      </c>
      <c r="B2471" s="10" t="n">
        <v>45513</v>
      </c>
      <c r="C2471" s="11" t="s">
        <v>2489</v>
      </c>
      <c r="D2471" s="1" t="s">
        <v>9</v>
      </c>
      <c r="E2471" s="1" t="s">
        <v>20</v>
      </c>
      <c r="F2471" s="1" t="str">
        <f aca="false">TEXT(B2471,"mmm-yyyy")</f>
        <v>Aug-2024</v>
      </c>
    </row>
    <row r="2472" customFormat="false" ht="72" hidden="false" customHeight="true" outlineLevel="0" collapsed="false">
      <c r="A2472" s="1" t="n">
        <v>1</v>
      </c>
      <c r="B2472" s="10" t="n">
        <v>45513</v>
      </c>
      <c r="C2472" s="11" t="s">
        <v>2490</v>
      </c>
      <c r="D2472" s="1" t="s">
        <v>9</v>
      </c>
      <c r="E2472" s="1" t="s">
        <v>20</v>
      </c>
      <c r="F2472" s="1" t="str">
        <f aca="false">TEXT(B2472,"mmm-yyyy")</f>
        <v>Aug-2024</v>
      </c>
    </row>
    <row r="2473" customFormat="false" ht="101.25" hidden="false" customHeight="true" outlineLevel="0" collapsed="false">
      <c r="A2473" s="1" t="n">
        <v>1</v>
      </c>
      <c r="B2473" s="10" t="n">
        <v>45534</v>
      </c>
      <c r="C2473" s="11" t="s">
        <v>2491</v>
      </c>
      <c r="D2473" s="1" t="s">
        <v>9</v>
      </c>
      <c r="E2473" s="1" t="s">
        <v>20</v>
      </c>
      <c r="F2473" s="1" t="str">
        <f aca="false">TEXT(B2473,"mmm-yyyy")</f>
        <v>Aug-2024</v>
      </c>
    </row>
    <row r="2474" customFormat="false" ht="115.5" hidden="false" customHeight="true" outlineLevel="0" collapsed="false">
      <c r="A2474" s="1" t="n">
        <v>1</v>
      </c>
      <c r="B2474" s="10" t="n">
        <v>45527</v>
      </c>
      <c r="C2474" s="11" t="s">
        <v>2492</v>
      </c>
      <c r="D2474" s="1" t="s">
        <v>9</v>
      </c>
      <c r="E2474" s="1" t="s">
        <v>20</v>
      </c>
      <c r="F2474" s="1" t="str">
        <f aca="false">TEXT(B2474,"mmm-yyyy")</f>
        <v>Aug-2024</v>
      </c>
    </row>
    <row r="2475" customFormat="false" ht="57.75" hidden="false" customHeight="true" outlineLevel="0" collapsed="false">
      <c r="A2475" s="1" t="n">
        <v>1</v>
      </c>
      <c r="B2475" s="10" t="n">
        <v>45514</v>
      </c>
      <c r="C2475" s="11" t="s">
        <v>2493</v>
      </c>
      <c r="D2475" s="1" t="s">
        <v>9</v>
      </c>
      <c r="E2475" s="1" t="s">
        <v>20</v>
      </c>
      <c r="F2475" s="1" t="str">
        <f aca="false">TEXT(B2475,"mmm-yyyy")</f>
        <v>Aug-2024</v>
      </c>
    </row>
    <row r="2476" customFormat="false" ht="57.75" hidden="false" customHeight="true" outlineLevel="0" collapsed="false">
      <c r="A2476" s="1" t="n">
        <v>1</v>
      </c>
      <c r="B2476" s="10" t="n">
        <v>45529</v>
      </c>
      <c r="C2476" s="11" t="s">
        <v>2494</v>
      </c>
      <c r="D2476" s="1" t="s">
        <v>9</v>
      </c>
      <c r="E2476" s="1" t="s">
        <v>20</v>
      </c>
      <c r="F2476" s="1" t="str">
        <f aca="false">TEXT(B2476,"mmm-yyyy")</f>
        <v>Aug-2024</v>
      </c>
    </row>
    <row r="2477" customFormat="false" ht="72" hidden="false" customHeight="true" outlineLevel="0" collapsed="false">
      <c r="A2477" s="1" t="n">
        <v>1</v>
      </c>
      <c r="B2477" s="10" t="n">
        <v>45527</v>
      </c>
      <c r="C2477" s="11" t="s">
        <v>2495</v>
      </c>
      <c r="D2477" s="1" t="s">
        <v>9</v>
      </c>
      <c r="E2477" s="1" t="s">
        <v>20</v>
      </c>
      <c r="F2477" s="1" t="str">
        <f aca="false">TEXT(B2477,"mmm-yyyy")</f>
        <v>Aug-2024</v>
      </c>
    </row>
    <row r="2478" customFormat="false" ht="101.25" hidden="false" customHeight="true" outlineLevel="0" collapsed="false">
      <c r="A2478" s="1" t="n">
        <v>1</v>
      </c>
      <c r="B2478" s="10" t="n">
        <v>45532</v>
      </c>
      <c r="C2478" s="11" t="s">
        <v>2496</v>
      </c>
      <c r="D2478" s="1" t="s">
        <v>9</v>
      </c>
      <c r="E2478" s="1" t="s">
        <v>18</v>
      </c>
      <c r="F2478" s="1" t="str">
        <f aca="false">TEXT(B2478,"mmm-yyyy")</f>
        <v>Aug-2024</v>
      </c>
    </row>
    <row r="2479" customFormat="false" ht="87" hidden="false" customHeight="true" outlineLevel="0" collapsed="false">
      <c r="A2479" s="1" t="n">
        <v>1</v>
      </c>
      <c r="B2479" s="10" t="n">
        <v>45525</v>
      </c>
      <c r="C2479" s="11" t="s">
        <v>2497</v>
      </c>
      <c r="D2479" s="1" t="s">
        <v>9</v>
      </c>
      <c r="E2479" s="1" t="s">
        <v>20</v>
      </c>
      <c r="F2479" s="1" t="str">
        <f aca="false">TEXT(B2479,"mmm-yyyy")</f>
        <v>Aug-2024</v>
      </c>
    </row>
    <row r="2480" customFormat="false" ht="87" hidden="false" customHeight="true" outlineLevel="0" collapsed="false">
      <c r="A2480" s="1" t="n">
        <v>1</v>
      </c>
      <c r="B2480" s="10" t="n">
        <v>45532</v>
      </c>
      <c r="C2480" s="11" t="s">
        <v>2498</v>
      </c>
      <c r="D2480" s="1" t="s">
        <v>9</v>
      </c>
      <c r="E2480" s="1" t="s">
        <v>20</v>
      </c>
      <c r="F2480" s="1" t="str">
        <f aca="false">TEXT(B2480,"mmm-yyyy")</f>
        <v>Aug-2024</v>
      </c>
    </row>
    <row r="2481" customFormat="false" ht="28.5" hidden="false" customHeight="true" outlineLevel="0" collapsed="false">
      <c r="A2481" s="1" t="n">
        <v>5</v>
      </c>
      <c r="B2481" s="10" t="n">
        <v>45516</v>
      </c>
      <c r="C2481" s="11" t="s">
        <v>2499</v>
      </c>
      <c r="D2481" s="1" t="s">
        <v>9</v>
      </c>
      <c r="E2481" s="1" t="s">
        <v>18</v>
      </c>
      <c r="F2481" s="1" t="str">
        <f aca="false">TEXT(B2481,"mmm-yyyy")</f>
        <v>Aug-2024</v>
      </c>
    </row>
    <row r="2482" customFormat="false" ht="43.5" hidden="false" customHeight="true" outlineLevel="0" collapsed="false">
      <c r="A2482" s="1" t="n">
        <v>2</v>
      </c>
      <c r="B2482" s="10" t="n">
        <v>45519</v>
      </c>
      <c r="C2482" s="11" t="s">
        <v>2500</v>
      </c>
      <c r="D2482" s="1" t="s">
        <v>9</v>
      </c>
      <c r="E2482" s="1" t="s">
        <v>20</v>
      </c>
      <c r="F2482" s="1" t="str">
        <f aca="false">TEXT(B2482,"mmm-yyyy")</f>
        <v>Aug-2024</v>
      </c>
    </row>
    <row r="2483" customFormat="false" ht="43.5" hidden="false" customHeight="true" outlineLevel="0" collapsed="false">
      <c r="A2483" s="1" t="n">
        <v>2</v>
      </c>
      <c r="B2483" s="10" t="n">
        <v>45524</v>
      </c>
      <c r="C2483" s="11" t="s">
        <v>2501</v>
      </c>
      <c r="D2483" s="1" t="s">
        <v>9</v>
      </c>
      <c r="E2483" s="1" t="s">
        <v>20</v>
      </c>
      <c r="F2483" s="1" t="str">
        <f aca="false">TEXT(B2483,"mmm-yyyy")</f>
        <v>Aug-2024</v>
      </c>
    </row>
    <row r="2484" customFormat="false" ht="43.5" hidden="false" customHeight="true" outlineLevel="0" collapsed="false">
      <c r="A2484" s="1" t="n">
        <v>1</v>
      </c>
      <c r="B2484" s="10" t="n">
        <v>45542</v>
      </c>
      <c r="C2484" s="11" t="s">
        <v>2502</v>
      </c>
      <c r="D2484" s="1" t="s">
        <v>9</v>
      </c>
      <c r="E2484" s="1" t="s">
        <v>20</v>
      </c>
      <c r="F2484" s="1" t="str">
        <f aca="false">TEXT(B2484,"mmm-yyyy")</f>
        <v>Sep-2024</v>
      </c>
    </row>
    <row r="2485" customFormat="false" ht="87" hidden="false" customHeight="true" outlineLevel="0" collapsed="false">
      <c r="A2485" s="1" t="n">
        <v>1</v>
      </c>
      <c r="B2485" s="10" t="n">
        <v>45520</v>
      </c>
      <c r="C2485" s="11" t="s">
        <v>2503</v>
      </c>
      <c r="D2485" s="1" t="s">
        <v>9</v>
      </c>
      <c r="E2485" s="1" t="s">
        <v>18</v>
      </c>
      <c r="F2485" s="1" t="str">
        <f aca="false">TEXT(B2485,"mmm-yyyy")</f>
        <v>Aug-2024</v>
      </c>
    </row>
    <row r="2486" customFormat="false" ht="87" hidden="false" customHeight="true" outlineLevel="0" collapsed="false">
      <c r="A2486" s="1" t="n">
        <v>1</v>
      </c>
      <c r="B2486" s="10" t="n">
        <v>45539</v>
      </c>
      <c r="C2486" s="11" t="s">
        <v>2504</v>
      </c>
      <c r="D2486" s="1" t="s">
        <v>9</v>
      </c>
      <c r="E2486" s="1" t="s">
        <v>20</v>
      </c>
      <c r="F2486" s="1" t="str">
        <f aca="false">TEXT(B2486,"mmm-yyyy")</f>
        <v>Sep-2024</v>
      </c>
    </row>
    <row r="2487" customFormat="false" ht="57.75" hidden="false" customHeight="true" outlineLevel="0" collapsed="false">
      <c r="A2487" s="1" t="n">
        <v>1</v>
      </c>
      <c r="B2487" s="10" t="n">
        <v>45508</v>
      </c>
      <c r="C2487" s="11" t="s">
        <v>2505</v>
      </c>
      <c r="D2487" s="1" t="s">
        <v>9</v>
      </c>
      <c r="E2487" s="1" t="s">
        <v>18</v>
      </c>
      <c r="F2487" s="1" t="str">
        <f aca="false">TEXT(B2487,"mmm-yyyy")</f>
        <v>Aug-2024</v>
      </c>
    </row>
    <row r="2488" customFormat="false" ht="28.5" hidden="false" customHeight="true" outlineLevel="0" collapsed="false">
      <c r="A2488" s="1" t="n">
        <v>1</v>
      </c>
      <c r="B2488" s="10" t="n">
        <v>45561</v>
      </c>
      <c r="C2488" s="11" t="s">
        <v>2506</v>
      </c>
      <c r="D2488" s="1" t="s">
        <v>9</v>
      </c>
      <c r="E2488" s="1" t="s">
        <v>18</v>
      </c>
      <c r="F2488" s="1" t="str">
        <f aca="false">TEXT(B2488,"mmm-yyyy")</f>
        <v>Sep-2024</v>
      </c>
    </row>
    <row r="2489" customFormat="false" ht="43.5" hidden="false" customHeight="true" outlineLevel="0" collapsed="false">
      <c r="A2489" s="1" t="n">
        <v>4</v>
      </c>
      <c r="B2489" s="10" t="n">
        <v>45536</v>
      </c>
      <c r="C2489" s="11" t="s">
        <v>2507</v>
      </c>
      <c r="D2489" s="1" t="s">
        <v>9</v>
      </c>
      <c r="E2489" s="1" t="s">
        <v>18</v>
      </c>
      <c r="F2489" s="1" t="str">
        <f aca="false">TEXT(B2489,"mmm-yyyy")</f>
        <v>Sep-2024</v>
      </c>
    </row>
    <row r="2490" customFormat="false" ht="43.5" hidden="false" customHeight="true" outlineLevel="0" collapsed="false">
      <c r="A2490" s="1" t="n">
        <v>4</v>
      </c>
      <c r="B2490" s="10" t="n">
        <v>45519</v>
      </c>
      <c r="C2490" s="11" t="s">
        <v>2508</v>
      </c>
      <c r="D2490" s="1" t="s">
        <v>9</v>
      </c>
      <c r="E2490" s="1" t="s">
        <v>18</v>
      </c>
      <c r="F2490" s="1" t="str">
        <f aca="false">TEXT(B2490,"mmm-yyyy")</f>
        <v>Aug-2024</v>
      </c>
    </row>
    <row r="2491" customFormat="false" ht="115.5" hidden="false" customHeight="true" outlineLevel="0" collapsed="false">
      <c r="A2491" s="1" t="n">
        <v>3</v>
      </c>
      <c r="B2491" s="10" t="n">
        <v>45498</v>
      </c>
      <c r="C2491" s="11" t="s">
        <v>2509</v>
      </c>
      <c r="D2491" s="1" t="s">
        <v>9</v>
      </c>
      <c r="E2491" s="1" t="s">
        <v>20</v>
      </c>
      <c r="F2491" s="1" t="str">
        <f aca="false">TEXT(B2491,"mmm-yyyy")</f>
        <v>Jul-2024</v>
      </c>
    </row>
    <row r="2492" customFormat="false" ht="57.75" hidden="false" customHeight="true" outlineLevel="0" collapsed="false">
      <c r="A2492" s="1" t="n">
        <v>1</v>
      </c>
      <c r="B2492" s="10" t="n">
        <v>45504</v>
      </c>
      <c r="C2492" s="11" t="s">
        <v>2510</v>
      </c>
      <c r="D2492" s="1" t="s">
        <v>9</v>
      </c>
      <c r="E2492" s="1" t="s">
        <v>20</v>
      </c>
      <c r="F2492" s="1" t="str">
        <f aca="false">TEXT(B2492,"mmm-yyyy")</f>
        <v>Jul-2024</v>
      </c>
    </row>
    <row r="2493" customFormat="false" ht="101.25" hidden="false" customHeight="true" outlineLevel="0" collapsed="false">
      <c r="A2493" s="1" t="n">
        <v>1</v>
      </c>
      <c r="B2493" s="10" t="n">
        <v>45526</v>
      </c>
      <c r="C2493" s="11" t="s">
        <v>2511</v>
      </c>
      <c r="D2493" s="1" t="s">
        <v>9</v>
      </c>
      <c r="E2493" s="1" t="s">
        <v>20</v>
      </c>
      <c r="F2493" s="1" t="str">
        <f aca="false">TEXT(B2493,"mmm-yyyy")</f>
        <v>Aug-2024</v>
      </c>
    </row>
    <row r="2494" customFormat="false" ht="57.75" hidden="false" customHeight="true" outlineLevel="0" collapsed="false">
      <c r="A2494" s="1" t="n">
        <v>1</v>
      </c>
      <c r="B2494" s="10" t="n">
        <v>45496</v>
      </c>
      <c r="C2494" s="11" t="s">
        <v>2512</v>
      </c>
      <c r="D2494" s="1" t="s">
        <v>9</v>
      </c>
      <c r="E2494" s="1" t="s">
        <v>20</v>
      </c>
      <c r="F2494" s="1" t="str">
        <f aca="false">TEXT(B2494,"mmm-yyyy")</f>
        <v>Jul-2024</v>
      </c>
    </row>
    <row r="2495" customFormat="false" ht="87" hidden="false" customHeight="true" outlineLevel="0" collapsed="false">
      <c r="A2495" s="1" t="n">
        <v>1</v>
      </c>
      <c r="B2495" s="10" t="n">
        <v>45568</v>
      </c>
      <c r="C2495" s="11" t="s">
        <v>2513</v>
      </c>
      <c r="D2495" s="1" t="s">
        <v>9</v>
      </c>
      <c r="E2495" s="1" t="s">
        <v>32</v>
      </c>
      <c r="F2495" s="1" t="str">
        <f aca="false">TEXT(B2495,"mmm-yyyy")</f>
        <v>Oct-2024</v>
      </c>
    </row>
    <row r="2496" customFormat="false" ht="130.5" hidden="false" customHeight="true" outlineLevel="0" collapsed="false">
      <c r="A2496" s="1" t="n">
        <v>1</v>
      </c>
      <c r="B2496" s="10" t="n">
        <v>45508</v>
      </c>
      <c r="C2496" s="11" t="s">
        <v>2514</v>
      </c>
      <c r="D2496" s="1" t="s">
        <v>9</v>
      </c>
      <c r="E2496" s="1" t="s">
        <v>18</v>
      </c>
      <c r="F2496" s="1" t="str">
        <f aca="false">TEXT(B2496,"mmm-yyyy")</f>
        <v>Aug-2024</v>
      </c>
    </row>
    <row r="2497" customFormat="false" ht="57.75" hidden="false" customHeight="true" outlineLevel="0" collapsed="false">
      <c r="A2497" s="1" t="n">
        <v>1</v>
      </c>
      <c r="B2497" s="10" t="n">
        <v>45549</v>
      </c>
      <c r="C2497" s="11" t="s">
        <v>2515</v>
      </c>
      <c r="D2497" s="1" t="s">
        <v>9</v>
      </c>
      <c r="E2497" s="1" t="s">
        <v>20</v>
      </c>
      <c r="F2497" s="1" t="str">
        <f aca="false">TEXT(B2497,"mmm-yyyy")</f>
        <v>Sep-2024</v>
      </c>
    </row>
    <row r="2498" customFormat="false" ht="57.75" hidden="false" customHeight="true" outlineLevel="0" collapsed="false">
      <c r="A2498" s="1" t="n">
        <v>2</v>
      </c>
      <c r="B2498" s="10" t="n">
        <v>45537</v>
      </c>
      <c r="C2498" s="11" t="s">
        <v>2516</v>
      </c>
      <c r="D2498" s="1" t="s">
        <v>9</v>
      </c>
      <c r="E2498" s="1" t="s">
        <v>20</v>
      </c>
      <c r="F2498" s="1" t="str">
        <f aca="false">TEXT(B2498,"mmm-yyyy")</f>
        <v>Sep-2024</v>
      </c>
    </row>
    <row r="2499" customFormat="false" ht="57.75" hidden="false" customHeight="true" outlineLevel="0" collapsed="false">
      <c r="A2499" s="1" t="n">
        <v>3</v>
      </c>
      <c r="B2499" s="10" t="n">
        <v>45562</v>
      </c>
      <c r="C2499" s="11" t="s">
        <v>2517</v>
      </c>
      <c r="D2499" s="1" t="s">
        <v>9</v>
      </c>
      <c r="E2499" s="1" t="s">
        <v>20</v>
      </c>
      <c r="F2499" s="1" t="str">
        <f aca="false">TEXT(B2499,"mmm-yyyy")</f>
        <v>Sep-2024</v>
      </c>
    </row>
    <row r="2500" customFormat="false" ht="43.5" hidden="false" customHeight="true" outlineLevel="0" collapsed="false">
      <c r="A2500" s="1" t="n">
        <v>1</v>
      </c>
      <c r="B2500" s="10" t="n">
        <v>45524</v>
      </c>
      <c r="C2500" s="11" t="s">
        <v>2518</v>
      </c>
      <c r="D2500" s="1" t="s">
        <v>9</v>
      </c>
      <c r="E2500" s="1" t="s">
        <v>18</v>
      </c>
      <c r="F2500" s="1" t="str">
        <f aca="false">TEXT(B2500,"mmm-yyyy")</f>
        <v>Aug-2024</v>
      </c>
    </row>
    <row r="2501" customFormat="false" ht="87" hidden="false" customHeight="true" outlineLevel="0" collapsed="false">
      <c r="A2501" s="1" t="n">
        <v>1</v>
      </c>
      <c r="B2501" s="10" t="n">
        <v>45560</v>
      </c>
      <c r="C2501" s="11" t="s">
        <v>2519</v>
      </c>
      <c r="D2501" s="1" t="s">
        <v>9</v>
      </c>
      <c r="E2501" s="1" t="s">
        <v>20</v>
      </c>
      <c r="F2501" s="1" t="str">
        <f aca="false">TEXT(B2501,"mmm-yyyy")</f>
        <v>Sep-2024</v>
      </c>
    </row>
    <row r="2502" customFormat="false" ht="87" hidden="false" customHeight="true" outlineLevel="0" collapsed="false">
      <c r="A2502" s="1" t="n">
        <v>1</v>
      </c>
      <c r="B2502" s="10" t="n">
        <v>45543</v>
      </c>
      <c r="C2502" s="11" t="s">
        <v>2520</v>
      </c>
      <c r="D2502" s="1" t="s">
        <v>9</v>
      </c>
      <c r="E2502" s="1" t="s">
        <v>20</v>
      </c>
      <c r="F2502" s="1" t="str">
        <f aca="false">TEXT(B2502,"mmm-yyyy")</f>
        <v>Sep-2024</v>
      </c>
    </row>
    <row r="2503" customFormat="false" ht="57.75" hidden="false" customHeight="true" outlineLevel="0" collapsed="false">
      <c r="A2503" s="1" t="n">
        <v>1</v>
      </c>
      <c r="B2503" s="10" t="n">
        <v>45525</v>
      </c>
      <c r="C2503" s="11" t="s">
        <v>2521</v>
      </c>
      <c r="D2503" s="1" t="s">
        <v>9</v>
      </c>
      <c r="E2503" s="1" t="s">
        <v>20</v>
      </c>
      <c r="F2503" s="1" t="str">
        <f aca="false">TEXT(B2503,"mmm-yyyy")</f>
        <v>Aug-2024</v>
      </c>
    </row>
    <row r="2504" customFormat="false" ht="72" hidden="false" customHeight="true" outlineLevel="0" collapsed="false">
      <c r="A2504" s="1" t="n">
        <v>1</v>
      </c>
      <c r="B2504" s="10" t="n">
        <v>45526</v>
      </c>
      <c r="C2504" s="11" t="s">
        <v>2522</v>
      </c>
      <c r="D2504" s="1" t="s">
        <v>9</v>
      </c>
      <c r="E2504" s="1" t="s">
        <v>20</v>
      </c>
      <c r="F2504" s="1" t="str">
        <f aca="false">TEXT(B2504,"mmm-yyyy")</f>
        <v>Aug-2024</v>
      </c>
    </row>
    <row r="2505" customFormat="false" ht="101.25" hidden="false" customHeight="true" outlineLevel="0" collapsed="false">
      <c r="A2505" s="1" t="n">
        <v>1</v>
      </c>
      <c r="B2505" s="10" t="n">
        <v>45504</v>
      </c>
      <c r="C2505" s="11" t="s">
        <v>2523</v>
      </c>
      <c r="D2505" s="1" t="s">
        <v>9</v>
      </c>
      <c r="E2505" s="1" t="s">
        <v>20</v>
      </c>
      <c r="F2505" s="1" t="str">
        <f aca="false">TEXT(B2505,"mmm-yyyy")</f>
        <v>Jul-2024</v>
      </c>
    </row>
    <row r="2506" customFormat="false" ht="43.5" hidden="false" customHeight="true" outlineLevel="0" collapsed="false">
      <c r="A2506" s="1" t="n">
        <v>1</v>
      </c>
      <c r="B2506" s="10" t="n">
        <v>45552</v>
      </c>
      <c r="C2506" s="11" t="s">
        <v>2524</v>
      </c>
      <c r="D2506" s="1" t="s">
        <v>9</v>
      </c>
      <c r="E2506" s="1" t="s">
        <v>18</v>
      </c>
      <c r="F2506" s="1" t="str">
        <f aca="false">TEXT(B2506,"mmm-yyyy")</f>
        <v>Sep-2024</v>
      </c>
    </row>
    <row r="2507" customFormat="false" ht="57.75" hidden="false" customHeight="true" outlineLevel="0" collapsed="false">
      <c r="A2507" s="1" t="n">
        <v>1</v>
      </c>
      <c r="B2507" s="10" t="n">
        <v>45565</v>
      </c>
      <c r="C2507" s="11" t="s">
        <v>2525</v>
      </c>
      <c r="D2507" s="1" t="s">
        <v>9</v>
      </c>
      <c r="E2507" s="1" t="s">
        <v>20</v>
      </c>
      <c r="F2507" s="1" t="str">
        <f aca="false">TEXT(B2507,"mmm-yyyy")</f>
        <v>Sep-2024</v>
      </c>
    </row>
    <row r="2508" customFormat="false" ht="43.5" hidden="false" customHeight="true" outlineLevel="0" collapsed="false">
      <c r="A2508" s="1" t="n">
        <v>1</v>
      </c>
      <c r="B2508" s="10" t="n">
        <v>45516</v>
      </c>
      <c r="C2508" s="11" t="s">
        <v>2526</v>
      </c>
      <c r="D2508" s="1" t="s">
        <v>9</v>
      </c>
      <c r="E2508" s="1" t="s">
        <v>20</v>
      </c>
      <c r="F2508" s="1" t="str">
        <f aca="false">TEXT(B2508,"mmm-yyyy")</f>
        <v>Aug-2024</v>
      </c>
    </row>
    <row r="2509" customFormat="false" ht="57.75" hidden="false" customHeight="true" outlineLevel="0" collapsed="false">
      <c r="A2509" s="1" t="n">
        <v>1</v>
      </c>
      <c r="B2509" s="10" t="n">
        <v>45505</v>
      </c>
      <c r="C2509" s="11" t="s">
        <v>2527</v>
      </c>
      <c r="D2509" s="1" t="s">
        <v>9</v>
      </c>
      <c r="E2509" s="1" t="s">
        <v>18</v>
      </c>
      <c r="F2509" s="1" t="str">
        <f aca="false">TEXT(B2509,"mmm-yyyy")</f>
        <v>Aug-2024</v>
      </c>
    </row>
    <row r="2510" customFormat="false" ht="28.5" hidden="false" customHeight="true" outlineLevel="0" collapsed="false">
      <c r="A2510" s="1" t="n">
        <v>4</v>
      </c>
      <c r="B2510" s="10" t="n">
        <v>45518</v>
      </c>
      <c r="C2510" s="11" t="s">
        <v>2528</v>
      </c>
      <c r="D2510" s="1" t="s">
        <v>9</v>
      </c>
      <c r="E2510" s="1" t="s">
        <v>18</v>
      </c>
      <c r="F2510" s="1" t="str">
        <f aca="false">TEXT(B2510,"mmm-yyyy")</f>
        <v>Aug-2024</v>
      </c>
    </row>
    <row r="2511" customFormat="false" ht="101.25" hidden="false" customHeight="true" outlineLevel="0" collapsed="false">
      <c r="A2511" s="1" t="n">
        <v>1</v>
      </c>
      <c r="B2511" s="10" t="n">
        <v>45529</v>
      </c>
      <c r="C2511" s="11" t="s">
        <v>2529</v>
      </c>
      <c r="D2511" s="1" t="s">
        <v>9</v>
      </c>
      <c r="E2511" s="1" t="s">
        <v>20</v>
      </c>
      <c r="F2511" s="1" t="str">
        <f aca="false">TEXT(B2511,"mmm-yyyy")</f>
        <v>Aug-2024</v>
      </c>
    </row>
    <row r="2512" customFormat="false" ht="72" hidden="false" customHeight="true" outlineLevel="0" collapsed="false">
      <c r="A2512" s="1" t="n">
        <v>1</v>
      </c>
      <c r="B2512" s="10" t="n">
        <v>45510</v>
      </c>
      <c r="C2512" s="11" t="s">
        <v>2530</v>
      </c>
      <c r="D2512" s="1" t="s">
        <v>9</v>
      </c>
      <c r="E2512" s="1" t="s">
        <v>20</v>
      </c>
      <c r="F2512" s="1" t="str">
        <f aca="false">TEXT(B2512,"mmm-yyyy")</f>
        <v>Aug-2024</v>
      </c>
    </row>
    <row r="2513" customFormat="false" ht="72" hidden="false" customHeight="true" outlineLevel="0" collapsed="false">
      <c r="A2513" s="1" t="n">
        <v>1</v>
      </c>
      <c r="B2513" s="10" t="n">
        <v>45554</v>
      </c>
      <c r="C2513" s="11" t="s">
        <v>2531</v>
      </c>
      <c r="D2513" s="1" t="s">
        <v>9</v>
      </c>
      <c r="E2513" s="1" t="s">
        <v>20</v>
      </c>
      <c r="F2513" s="1" t="str">
        <f aca="false">TEXT(B2513,"mmm-yyyy")</f>
        <v>Sep-2024</v>
      </c>
    </row>
    <row r="2514" customFormat="false" ht="72" hidden="false" customHeight="true" outlineLevel="0" collapsed="false">
      <c r="A2514" s="1" t="n">
        <v>1</v>
      </c>
      <c r="B2514" s="10" t="n">
        <v>45543</v>
      </c>
      <c r="C2514" s="11" t="s">
        <v>2532</v>
      </c>
      <c r="D2514" s="1" t="s">
        <v>9</v>
      </c>
      <c r="E2514" s="1" t="s">
        <v>20</v>
      </c>
      <c r="F2514" s="1" t="str">
        <f aca="false">TEXT(B2514,"mmm-yyyy")</f>
        <v>Sep-2024</v>
      </c>
    </row>
    <row r="2515" customFormat="false" ht="72" hidden="false" customHeight="true" outlineLevel="0" collapsed="false">
      <c r="A2515" s="1" t="n">
        <v>1</v>
      </c>
      <c r="B2515" s="10" t="n">
        <v>45550</v>
      </c>
      <c r="C2515" s="11" t="s">
        <v>2533</v>
      </c>
      <c r="D2515" s="1" t="s">
        <v>9</v>
      </c>
      <c r="E2515" s="1" t="s">
        <v>20</v>
      </c>
      <c r="F2515" s="1" t="str">
        <f aca="false">TEXT(B2515,"mmm-yyyy")</f>
        <v>Sep-2024</v>
      </c>
    </row>
    <row r="2516" customFormat="false" ht="43.5" hidden="false" customHeight="true" outlineLevel="0" collapsed="false">
      <c r="A2516" s="1" t="n">
        <v>1</v>
      </c>
      <c r="B2516" s="10" t="n">
        <v>45537</v>
      </c>
      <c r="C2516" s="11" t="s">
        <v>2534</v>
      </c>
      <c r="D2516" s="1" t="s">
        <v>9</v>
      </c>
      <c r="E2516" s="1" t="s">
        <v>18</v>
      </c>
      <c r="F2516" s="1" t="str">
        <f aca="false">TEXT(B2516,"mmm-yyyy")</f>
        <v>Sep-2024</v>
      </c>
    </row>
    <row r="2517" customFormat="false" ht="43.5" hidden="false" customHeight="true" outlineLevel="0" collapsed="false">
      <c r="A2517" s="1" t="n">
        <v>1</v>
      </c>
      <c r="B2517" s="10" t="n">
        <v>45535</v>
      </c>
      <c r="C2517" s="11" t="s">
        <v>2535</v>
      </c>
      <c r="D2517" s="1" t="s">
        <v>9</v>
      </c>
      <c r="E2517" s="1" t="s">
        <v>18</v>
      </c>
      <c r="F2517" s="1" t="str">
        <f aca="false">TEXT(B2517,"mmm-yyyy")</f>
        <v>Aug-2024</v>
      </c>
    </row>
    <row r="2518" customFormat="false" ht="43.5" hidden="false" customHeight="true" outlineLevel="0" collapsed="false">
      <c r="A2518" s="1" t="n">
        <v>1</v>
      </c>
      <c r="B2518" s="10" t="n">
        <v>45543</v>
      </c>
      <c r="C2518" s="11" t="s">
        <v>2536</v>
      </c>
      <c r="D2518" s="1" t="s">
        <v>9</v>
      </c>
      <c r="E2518" s="1" t="s">
        <v>20</v>
      </c>
      <c r="F2518" s="1" t="str">
        <f aca="false">TEXT(B2518,"mmm-yyyy")</f>
        <v>Sep-2024</v>
      </c>
    </row>
    <row r="2519" customFormat="false" ht="130.5" hidden="false" customHeight="true" outlineLevel="0" collapsed="false">
      <c r="A2519" s="1" t="n">
        <v>1</v>
      </c>
      <c r="B2519" s="10" t="n">
        <v>45555</v>
      </c>
      <c r="C2519" s="11" t="s">
        <v>2537</v>
      </c>
      <c r="D2519" s="1" t="s">
        <v>9</v>
      </c>
      <c r="E2519" s="1" t="s">
        <v>20</v>
      </c>
      <c r="F2519" s="1" t="str">
        <f aca="false">TEXT(B2519,"mmm-yyyy")</f>
        <v>Sep-2024</v>
      </c>
    </row>
    <row r="2520" customFormat="false" ht="43.5" hidden="false" customHeight="true" outlineLevel="0" collapsed="false">
      <c r="A2520" s="1" t="n">
        <v>5</v>
      </c>
      <c r="B2520" s="10" t="n">
        <v>45540</v>
      </c>
      <c r="C2520" s="11" t="s">
        <v>2538</v>
      </c>
      <c r="D2520" s="1" t="s">
        <v>9</v>
      </c>
      <c r="E2520" s="1" t="s">
        <v>18</v>
      </c>
      <c r="F2520" s="1" t="str">
        <f aca="false">TEXT(B2520,"mmm-yyyy")</f>
        <v>Sep-2024</v>
      </c>
    </row>
    <row r="2521" customFormat="false" ht="72" hidden="false" customHeight="true" outlineLevel="0" collapsed="false">
      <c r="A2521" s="1" t="n">
        <v>1</v>
      </c>
      <c r="B2521" s="10" t="n">
        <v>45567</v>
      </c>
      <c r="C2521" s="11" t="s">
        <v>2539</v>
      </c>
      <c r="D2521" s="1" t="s">
        <v>9</v>
      </c>
      <c r="E2521" s="1" t="s">
        <v>20</v>
      </c>
      <c r="F2521" s="1" t="str">
        <f aca="false">TEXT(B2521,"mmm-yyyy")</f>
        <v>Oct-2024</v>
      </c>
    </row>
    <row r="2522" customFormat="false" ht="43.5" hidden="false" customHeight="true" outlineLevel="0" collapsed="false">
      <c r="A2522" s="1" t="n">
        <v>1</v>
      </c>
      <c r="B2522" s="10" t="n">
        <v>45551</v>
      </c>
      <c r="C2522" s="11" t="s">
        <v>2540</v>
      </c>
      <c r="D2522" s="1" t="s">
        <v>9</v>
      </c>
      <c r="E2522" s="1" t="s">
        <v>18</v>
      </c>
      <c r="F2522" s="1" t="str">
        <f aca="false">TEXT(B2522,"mmm-yyyy")</f>
        <v>Sep-2024</v>
      </c>
    </row>
    <row r="2523" customFormat="false" ht="72" hidden="false" customHeight="true" outlineLevel="0" collapsed="false">
      <c r="A2523" s="1" t="n">
        <v>5</v>
      </c>
      <c r="B2523" s="10" t="n">
        <v>45525</v>
      </c>
      <c r="C2523" s="11" t="s">
        <v>2541</v>
      </c>
      <c r="D2523" s="1" t="s">
        <v>9</v>
      </c>
      <c r="E2523" s="1" t="s">
        <v>18</v>
      </c>
      <c r="F2523" s="1" t="str">
        <f aca="false">TEXT(B2523,"mmm-yyyy")</f>
        <v>Aug-2024</v>
      </c>
    </row>
    <row r="2524" customFormat="false" ht="57.75" hidden="false" customHeight="true" outlineLevel="0" collapsed="false">
      <c r="A2524" s="1" t="n">
        <v>1</v>
      </c>
      <c r="B2524" s="10" t="n">
        <v>45536</v>
      </c>
      <c r="C2524" s="11" t="s">
        <v>2542</v>
      </c>
      <c r="D2524" s="1" t="s">
        <v>9</v>
      </c>
      <c r="E2524" s="1" t="s">
        <v>32</v>
      </c>
      <c r="F2524" s="1" t="str">
        <f aca="false">TEXT(B2524,"mmm-yyyy")</f>
        <v>Sep-2024</v>
      </c>
    </row>
    <row r="2525" customFormat="false" ht="57.75" hidden="false" customHeight="true" outlineLevel="0" collapsed="false">
      <c r="A2525" s="1" t="n">
        <v>2</v>
      </c>
      <c r="B2525" s="10" t="n">
        <v>45498</v>
      </c>
      <c r="C2525" s="11" t="s">
        <v>2543</v>
      </c>
      <c r="D2525" s="1" t="s">
        <v>9</v>
      </c>
      <c r="E2525" s="1" t="s">
        <v>18</v>
      </c>
      <c r="F2525" s="1" t="str">
        <f aca="false">TEXT(B2525,"mmm-yyyy")</f>
        <v>Jul-2024</v>
      </c>
    </row>
    <row r="2526" customFormat="false" ht="87" hidden="false" customHeight="true" outlineLevel="0" collapsed="false">
      <c r="A2526" s="1" t="n">
        <v>1</v>
      </c>
      <c r="B2526" s="10" t="n">
        <v>45516</v>
      </c>
      <c r="C2526" s="11" t="s">
        <v>2544</v>
      </c>
      <c r="D2526" s="1" t="s">
        <v>9</v>
      </c>
      <c r="E2526" s="1" t="s">
        <v>20</v>
      </c>
      <c r="F2526" s="1" t="str">
        <f aca="false">TEXT(B2526,"mmm-yyyy")</f>
        <v>Aug-2024</v>
      </c>
    </row>
    <row r="2527" customFormat="false" ht="43.5" hidden="false" customHeight="true" outlineLevel="0" collapsed="false">
      <c r="A2527" s="1" t="n">
        <v>1</v>
      </c>
      <c r="B2527" s="10" t="n">
        <v>45555</v>
      </c>
      <c r="C2527" s="11" t="s">
        <v>2545</v>
      </c>
      <c r="D2527" s="1" t="s">
        <v>9</v>
      </c>
      <c r="E2527" s="1" t="s">
        <v>18</v>
      </c>
      <c r="F2527" s="1" t="str">
        <f aca="false">TEXT(B2527,"mmm-yyyy")</f>
        <v>Sep-2024</v>
      </c>
    </row>
    <row r="2528" customFormat="false" ht="43.5" hidden="false" customHeight="true" outlineLevel="0" collapsed="false">
      <c r="A2528" s="1" t="n">
        <v>1</v>
      </c>
      <c r="B2528" s="10" t="n">
        <v>45523</v>
      </c>
      <c r="C2528" s="11" t="s">
        <v>2546</v>
      </c>
      <c r="D2528" s="1" t="s">
        <v>9</v>
      </c>
      <c r="E2528" s="1" t="s">
        <v>20</v>
      </c>
      <c r="F2528" s="1" t="str">
        <f aca="false">TEXT(B2528,"mmm-yyyy")</f>
        <v>Aug-2024</v>
      </c>
    </row>
    <row r="2529" customFormat="false" ht="57.75" hidden="false" customHeight="true" outlineLevel="0" collapsed="false">
      <c r="A2529" s="1" t="n">
        <v>1</v>
      </c>
      <c r="B2529" s="10" t="n">
        <v>45530</v>
      </c>
      <c r="C2529" s="11" t="s">
        <v>2547</v>
      </c>
      <c r="D2529" s="1" t="s">
        <v>9</v>
      </c>
      <c r="E2529" s="1" t="s">
        <v>20</v>
      </c>
      <c r="F2529" s="1" t="str">
        <f aca="false">TEXT(B2529,"mmm-yyyy")</f>
        <v>Aug-2024</v>
      </c>
    </row>
    <row r="2530" customFormat="false" ht="57.75" hidden="false" customHeight="true" outlineLevel="0" collapsed="false">
      <c r="A2530" s="1" t="n">
        <v>1</v>
      </c>
      <c r="B2530" s="10" t="n">
        <v>45567</v>
      </c>
      <c r="C2530" s="11" t="s">
        <v>2548</v>
      </c>
      <c r="D2530" s="1" t="s">
        <v>9</v>
      </c>
      <c r="E2530" s="1" t="s">
        <v>20</v>
      </c>
      <c r="F2530" s="1" t="str">
        <f aca="false">TEXT(B2530,"mmm-yyyy")</f>
        <v>Oct-2024</v>
      </c>
    </row>
    <row r="2531" customFormat="false" ht="57.75" hidden="false" customHeight="true" outlineLevel="0" collapsed="false">
      <c r="A2531" s="1" t="n">
        <v>1</v>
      </c>
      <c r="B2531" s="10" t="n">
        <v>45507</v>
      </c>
      <c r="C2531" s="11" t="s">
        <v>2549</v>
      </c>
      <c r="D2531" s="1" t="s">
        <v>9</v>
      </c>
      <c r="E2531" s="1" t="s">
        <v>18</v>
      </c>
      <c r="F2531" s="1" t="str">
        <f aca="false">TEXT(B2531,"mmm-yyyy")</f>
        <v>Aug-2024</v>
      </c>
    </row>
    <row r="2532" customFormat="false" ht="43.5" hidden="false" customHeight="true" outlineLevel="0" collapsed="false">
      <c r="A2532" s="1" t="n">
        <v>1</v>
      </c>
      <c r="B2532" s="10" t="n">
        <v>45538</v>
      </c>
      <c r="C2532" s="11" t="s">
        <v>2550</v>
      </c>
      <c r="D2532" s="1" t="s">
        <v>9</v>
      </c>
      <c r="E2532" s="1" t="s">
        <v>18</v>
      </c>
      <c r="F2532" s="1" t="str">
        <f aca="false">TEXT(B2532,"mmm-yyyy")</f>
        <v>Sep-2024</v>
      </c>
    </row>
    <row r="2533" customFormat="false" ht="43.5" hidden="false" customHeight="true" outlineLevel="0" collapsed="false">
      <c r="A2533" s="1" t="n">
        <v>1</v>
      </c>
      <c r="B2533" s="10" t="n">
        <v>45533</v>
      </c>
      <c r="C2533" s="11" t="s">
        <v>2551</v>
      </c>
      <c r="D2533" s="1" t="s">
        <v>9</v>
      </c>
      <c r="E2533" s="1" t="s">
        <v>20</v>
      </c>
      <c r="F2533" s="1" t="str">
        <f aca="false">TEXT(B2533,"mmm-yyyy")</f>
        <v>Aug-2024</v>
      </c>
    </row>
    <row r="2534" customFormat="false" ht="57.75" hidden="false" customHeight="true" outlineLevel="0" collapsed="false">
      <c r="A2534" s="1" t="n">
        <v>1</v>
      </c>
      <c r="B2534" s="10" t="n">
        <v>45508</v>
      </c>
      <c r="C2534" s="11" t="s">
        <v>2552</v>
      </c>
      <c r="D2534" s="1" t="s">
        <v>9</v>
      </c>
      <c r="E2534" s="1" t="s">
        <v>20</v>
      </c>
      <c r="F2534" s="1" t="str">
        <f aca="false">TEXT(B2534,"mmm-yyyy")</f>
        <v>Aug-2024</v>
      </c>
    </row>
    <row r="2535" customFormat="false" ht="28.5" hidden="false" customHeight="true" outlineLevel="0" collapsed="false">
      <c r="A2535" s="1" t="n">
        <v>1</v>
      </c>
      <c r="B2535" s="10" t="n">
        <v>45568</v>
      </c>
      <c r="C2535" s="11" t="s">
        <v>2553</v>
      </c>
      <c r="D2535" s="1" t="s">
        <v>9</v>
      </c>
      <c r="E2535" s="1" t="s">
        <v>20</v>
      </c>
      <c r="F2535" s="1" t="str">
        <f aca="false">TEXT(B2535,"mmm-yyyy")</f>
        <v>Oct-2024</v>
      </c>
    </row>
    <row r="2536" customFormat="false" ht="57.75" hidden="false" customHeight="true" outlineLevel="0" collapsed="false">
      <c r="A2536" s="1" t="n">
        <v>1</v>
      </c>
      <c r="B2536" s="10" t="n">
        <v>45503</v>
      </c>
      <c r="C2536" s="11" t="s">
        <v>2554</v>
      </c>
      <c r="D2536" s="1" t="s">
        <v>9</v>
      </c>
      <c r="E2536" s="1" t="s">
        <v>20</v>
      </c>
      <c r="F2536" s="1" t="str">
        <f aca="false">TEXT(B2536,"mmm-yyyy")</f>
        <v>Jul-2024</v>
      </c>
    </row>
    <row r="2537" customFormat="false" ht="57.75" hidden="false" customHeight="true" outlineLevel="0" collapsed="false">
      <c r="A2537" s="1" t="n">
        <v>1</v>
      </c>
      <c r="B2537" s="10" t="n">
        <v>45516</v>
      </c>
      <c r="C2537" s="11" t="s">
        <v>2555</v>
      </c>
      <c r="D2537" s="1" t="s">
        <v>9</v>
      </c>
      <c r="E2537" s="1" t="s">
        <v>20</v>
      </c>
      <c r="F2537" s="1" t="str">
        <f aca="false">TEXT(B2537,"mmm-yyyy")</f>
        <v>Aug-2024</v>
      </c>
    </row>
    <row r="2538" customFormat="false" ht="87" hidden="false" customHeight="true" outlineLevel="0" collapsed="false">
      <c r="A2538" s="1" t="n">
        <v>1</v>
      </c>
      <c r="B2538" s="10" t="n">
        <v>45561</v>
      </c>
      <c r="C2538" s="11" t="s">
        <v>2556</v>
      </c>
      <c r="D2538" s="1" t="s">
        <v>9</v>
      </c>
      <c r="E2538" s="1" t="s">
        <v>20</v>
      </c>
      <c r="F2538" s="1" t="str">
        <f aca="false">TEXT(B2538,"mmm-yyyy")</f>
        <v>Sep-2024</v>
      </c>
    </row>
    <row r="2539" customFormat="false" ht="130.5" hidden="false" customHeight="true" outlineLevel="0" collapsed="false">
      <c r="A2539" s="1" t="n">
        <v>1</v>
      </c>
      <c r="B2539" s="10" t="n">
        <v>45521</v>
      </c>
      <c r="C2539" s="11" t="s">
        <v>2557</v>
      </c>
      <c r="D2539" s="1" t="s">
        <v>9</v>
      </c>
      <c r="E2539" s="1" t="s">
        <v>18</v>
      </c>
      <c r="F2539" s="1" t="str">
        <f aca="false">TEXT(B2539,"mmm-yyyy")</f>
        <v>Aug-2024</v>
      </c>
    </row>
    <row r="2540" customFormat="false" ht="43.5" hidden="false" customHeight="true" outlineLevel="0" collapsed="false">
      <c r="A2540" s="1" t="n">
        <v>1</v>
      </c>
      <c r="B2540" s="10" t="n">
        <v>45510</v>
      </c>
      <c r="C2540" s="11" t="s">
        <v>2558</v>
      </c>
      <c r="D2540" s="1" t="s">
        <v>9</v>
      </c>
      <c r="E2540" s="1" t="s">
        <v>20</v>
      </c>
      <c r="F2540" s="1" t="str">
        <f aca="false">TEXT(B2540,"mmm-yyyy")</f>
        <v>Aug-2024</v>
      </c>
    </row>
    <row r="2541" customFormat="false" ht="72" hidden="false" customHeight="true" outlineLevel="0" collapsed="false">
      <c r="A2541" s="1" t="n">
        <v>1</v>
      </c>
      <c r="B2541" s="10" t="n">
        <v>45534</v>
      </c>
      <c r="C2541" s="11" t="s">
        <v>2559</v>
      </c>
      <c r="D2541" s="1" t="s">
        <v>9</v>
      </c>
      <c r="E2541" s="1" t="s">
        <v>20</v>
      </c>
      <c r="F2541" s="1" t="str">
        <f aca="false">TEXT(B2541,"mmm-yyyy")</f>
        <v>Aug-2024</v>
      </c>
    </row>
    <row r="2542" customFormat="false" ht="101.25" hidden="false" customHeight="true" outlineLevel="0" collapsed="false">
      <c r="A2542" s="1" t="n">
        <v>1</v>
      </c>
      <c r="B2542" s="10" t="n">
        <v>45522</v>
      </c>
      <c r="C2542" s="11" t="s">
        <v>2560</v>
      </c>
      <c r="D2542" s="1" t="s">
        <v>9</v>
      </c>
      <c r="E2542" s="1" t="s">
        <v>20</v>
      </c>
      <c r="F2542" s="1" t="str">
        <f aca="false">TEXT(B2542,"mmm-yyyy")</f>
        <v>Aug-2024</v>
      </c>
    </row>
    <row r="2543" customFormat="false" ht="57.75" hidden="false" customHeight="true" outlineLevel="0" collapsed="false">
      <c r="A2543" s="1" t="n">
        <v>1</v>
      </c>
      <c r="B2543" s="10" t="n">
        <v>45564</v>
      </c>
      <c r="C2543" s="11" t="s">
        <v>2561</v>
      </c>
      <c r="D2543" s="1" t="s">
        <v>9</v>
      </c>
      <c r="E2543" s="1" t="s">
        <v>20</v>
      </c>
      <c r="F2543" s="1" t="str">
        <f aca="false">TEXT(B2543,"mmm-yyyy")</f>
        <v>Sep-2024</v>
      </c>
    </row>
    <row r="2544" customFormat="false" ht="57.75" hidden="false" customHeight="true" outlineLevel="0" collapsed="false">
      <c r="A2544" s="1" t="n">
        <v>1</v>
      </c>
      <c r="B2544" s="10" t="n">
        <v>45568</v>
      </c>
      <c r="C2544" s="11" t="s">
        <v>2562</v>
      </c>
      <c r="D2544" s="1" t="s">
        <v>9</v>
      </c>
      <c r="E2544" s="1" t="s">
        <v>20</v>
      </c>
      <c r="F2544" s="1" t="str">
        <f aca="false">TEXT(B2544,"mmm-yyyy")</f>
        <v>Oct-2024</v>
      </c>
    </row>
    <row r="2545" customFormat="false" ht="43.5" hidden="false" customHeight="true" outlineLevel="0" collapsed="false">
      <c r="A2545" s="1" t="n">
        <v>1</v>
      </c>
      <c r="B2545" s="10" t="n">
        <v>45520</v>
      </c>
      <c r="C2545" s="11" t="s">
        <v>2563</v>
      </c>
      <c r="D2545" s="1" t="s">
        <v>9</v>
      </c>
      <c r="E2545" s="1" t="s">
        <v>32</v>
      </c>
      <c r="F2545" s="1" t="str">
        <f aca="false">TEXT(B2545,"mmm-yyyy")</f>
        <v>Aug-2024</v>
      </c>
    </row>
    <row r="2546" customFormat="false" ht="43.5" hidden="false" customHeight="true" outlineLevel="0" collapsed="false">
      <c r="A2546" s="1" t="n">
        <v>3</v>
      </c>
      <c r="B2546" s="10" t="n">
        <v>45507</v>
      </c>
      <c r="C2546" s="11" t="s">
        <v>2564</v>
      </c>
      <c r="D2546" s="1" t="s">
        <v>9</v>
      </c>
      <c r="E2546" s="1" t="s">
        <v>20</v>
      </c>
      <c r="F2546" s="1" t="str">
        <f aca="false">TEXT(B2546,"mmm-yyyy")</f>
        <v>Aug-2024</v>
      </c>
    </row>
    <row r="2547" customFormat="false" ht="101.25" hidden="false" customHeight="true" outlineLevel="0" collapsed="false">
      <c r="A2547" s="1" t="n">
        <v>1</v>
      </c>
      <c r="B2547" s="10" t="n">
        <v>45514</v>
      </c>
      <c r="C2547" s="11" t="s">
        <v>2565</v>
      </c>
      <c r="D2547" s="1" t="s">
        <v>9</v>
      </c>
      <c r="E2547" s="1" t="s">
        <v>20</v>
      </c>
      <c r="F2547" s="1" t="str">
        <f aca="false">TEXT(B2547,"mmm-yyyy")</f>
        <v>Aug-2024</v>
      </c>
    </row>
    <row r="2548" customFormat="false" ht="43.5" hidden="false" customHeight="true" outlineLevel="0" collapsed="false">
      <c r="A2548" s="1" t="n">
        <v>1</v>
      </c>
      <c r="B2548" s="10" t="n">
        <v>45531</v>
      </c>
      <c r="C2548" s="11" t="s">
        <v>2566</v>
      </c>
      <c r="D2548" s="1" t="s">
        <v>9</v>
      </c>
      <c r="E2548" s="1" t="s">
        <v>32</v>
      </c>
      <c r="F2548" s="1" t="str">
        <f aca="false">TEXT(B2548,"mmm-yyyy")</f>
        <v>Aug-2024</v>
      </c>
    </row>
    <row r="2549" customFormat="false" ht="43.5" hidden="false" customHeight="true" outlineLevel="0" collapsed="false">
      <c r="A2549" s="1" t="n">
        <v>1</v>
      </c>
      <c r="B2549" s="10" t="n">
        <v>45540</v>
      </c>
      <c r="C2549" s="11" t="s">
        <v>2567</v>
      </c>
      <c r="D2549" s="1" t="s">
        <v>9</v>
      </c>
      <c r="E2549" s="1" t="s">
        <v>18</v>
      </c>
      <c r="F2549" s="1" t="str">
        <f aca="false">TEXT(B2549,"mmm-yyyy")</f>
        <v>Sep-2024</v>
      </c>
    </row>
    <row r="2550" customFormat="false" ht="87" hidden="false" customHeight="true" outlineLevel="0" collapsed="false">
      <c r="A2550" s="1" t="n">
        <v>1</v>
      </c>
      <c r="B2550" s="10" t="n">
        <v>45522</v>
      </c>
      <c r="C2550" s="11" t="s">
        <v>2568</v>
      </c>
      <c r="D2550" s="1" t="s">
        <v>9</v>
      </c>
      <c r="E2550" s="1" t="s">
        <v>20</v>
      </c>
      <c r="F2550" s="1" t="str">
        <f aca="false">TEXT(B2550,"mmm-yyyy")</f>
        <v>Aug-2024</v>
      </c>
    </row>
    <row r="2551" customFormat="false" ht="43.5" hidden="false" customHeight="true" outlineLevel="0" collapsed="false">
      <c r="A2551" s="1" t="n">
        <v>4</v>
      </c>
      <c r="B2551" s="10" t="n">
        <v>45548</v>
      </c>
      <c r="C2551" s="11" t="s">
        <v>2569</v>
      </c>
      <c r="D2551" s="1" t="s">
        <v>9</v>
      </c>
      <c r="E2551" s="1" t="s">
        <v>18</v>
      </c>
      <c r="F2551" s="1" t="str">
        <f aca="false">TEXT(B2551,"mmm-yyyy")</f>
        <v>Sep-2024</v>
      </c>
    </row>
    <row r="2552" customFormat="false" ht="57.75" hidden="false" customHeight="true" outlineLevel="0" collapsed="false">
      <c r="A2552" s="1" t="n">
        <v>1</v>
      </c>
      <c r="B2552" s="10" t="n">
        <v>45531</v>
      </c>
      <c r="C2552" s="11" t="s">
        <v>2570</v>
      </c>
      <c r="D2552" s="1" t="s">
        <v>9</v>
      </c>
      <c r="E2552" s="1" t="s">
        <v>20</v>
      </c>
      <c r="F2552" s="1" t="str">
        <f aca="false">TEXT(B2552,"mmm-yyyy")</f>
        <v>Aug-2024</v>
      </c>
    </row>
    <row r="2553" customFormat="false" ht="72" hidden="false" customHeight="true" outlineLevel="0" collapsed="false">
      <c r="A2553" s="1" t="n">
        <v>1</v>
      </c>
      <c r="B2553" s="10" t="n">
        <v>45517</v>
      </c>
      <c r="C2553" s="11" t="s">
        <v>2571</v>
      </c>
      <c r="D2553" s="1" t="s">
        <v>9</v>
      </c>
      <c r="E2553" s="1" t="s">
        <v>20</v>
      </c>
      <c r="F2553" s="1" t="str">
        <f aca="false">TEXT(B2553,"mmm-yyyy")</f>
        <v>Aug-2024</v>
      </c>
    </row>
    <row r="2554" customFormat="false" ht="57.75" hidden="false" customHeight="true" outlineLevel="0" collapsed="false">
      <c r="A2554" s="1" t="n">
        <v>1</v>
      </c>
      <c r="B2554" s="10" t="n">
        <v>45543</v>
      </c>
      <c r="C2554" s="11" t="s">
        <v>2572</v>
      </c>
      <c r="D2554" s="1" t="s">
        <v>9</v>
      </c>
      <c r="E2554" s="1" t="s">
        <v>20</v>
      </c>
      <c r="F2554" s="1" t="str">
        <f aca="false">TEXT(B2554,"mmm-yyyy")</f>
        <v>Sep-2024</v>
      </c>
    </row>
    <row r="2555" customFormat="false" ht="57.75" hidden="false" customHeight="true" outlineLevel="0" collapsed="false">
      <c r="A2555" s="1" t="n">
        <v>2</v>
      </c>
      <c r="B2555" s="10" t="n">
        <v>45500</v>
      </c>
      <c r="C2555" s="11" t="s">
        <v>2573</v>
      </c>
      <c r="D2555" s="1" t="s">
        <v>9</v>
      </c>
      <c r="E2555" s="1" t="s">
        <v>20</v>
      </c>
      <c r="F2555" s="1" t="str">
        <f aca="false">TEXT(B2555,"mmm-yyyy")</f>
        <v>Jul-2024</v>
      </c>
    </row>
    <row r="2556" customFormat="false" ht="57.75" hidden="false" customHeight="true" outlineLevel="0" collapsed="false">
      <c r="A2556" s="1" t="n">
        <v>1</v>
      </c>
      <c r="B2556" s="10" t="n">
        <v>45513</v>
      </c>
      <c r="C2556" s="11" t="s">
        <v>2574</v>
      </c>
      <c r="D2556" s="1" t="s">
        <v>9</v>
      </c>
      <c r="E2556" s="1" t="s">
        <v>20</v>
      </c>
      <c r="F2556" s="1" t="str">
        <f aca="false">TEXT(B2556,"mmm-yyyy")</f>
        <v>Aug-2024</v>
      </c>
    </row>
    <row r="2557" customFormat="false" ht="87" hidden="false" customHeight="true" outlineLevel="0" collapsed="false">
      <c r="A2557" s="1" t="n">
        <v>1</v>
      </c>
      <c r="B2557" s="10" t="n">
        <v>45544</v>
      </c>
      <c r="C2557" s="11" t="s">
        <v>2575</v>
      </c>
      <c r="D2557" s="1" t="s">
        <v>9</v>
      </c>
      <c r="E2557" s="1" t="s">
        <v>20</v>
      </c>
      <c r="F2557" s="1" t="str">
        <f aca="false">TEXT(B2557,"mmm-yyyy")</f>
        <v>Sep-2024</v>
      </c>
    </row>
    <row r="2558" customFormat="false" ht="28.5" hidden="false" customHeight="true" outlineLevel="0" collapsed="false">
      <c r="A2558" s="1" t="n">
        <v>1</v>
      </c>
      <c r="B2558" s="10" t="n">
        <v>45501</v>
      </c>
      <c r="C2558" s="11" t="s">
        <v>2576</v>
      </c>
      <c r="D2558" s="1" t="s">
        <v>9</v>
      </c>
      <c r="E2558" s="1" t="s">
        <v>18</v>
      </c>
      <c r="F2558" s="1" t="str">
        <f aca="false">TEXT(B2558,"mmm-yyyy")</f>
        <v>Jul-2024</v>
      </c>
    </row>
    <row r="2559" customFormat="false" ht="43.5" hidden="false" customHeight="true" outlineLevel="0" collapsed="false">
      <c r="A2559" s="1" t="n">
        <v>2</v>
      </c>
      <c r="B2559" s="10" t="n">
        <v>45526</v>
      </c>
      <c r="C2559" s="11" t="s">
        <v>2577</v>
      </c>
      <c r="D2559" s="1" t="s">
        <v>9</v>
      </c>
      <c r="E2559" s="1" t="s">
        <v>18</v>
      </c>
      <c r="F2559" s="1" t="str">
        <f aca="false">TEXT(B2559,"mmm-yyyy")</f>
        <v>Aug-2024</v>
      </c>
    </row>
    <row r="2560" customFormat="false" ht="115.5" hidden="false" customHeight="true" outlineLevel="0" collapsed="false">
      <c r="A2560" s="1" t="n">
        <v>1</v>
      </c>
      <c r="B2560" s="10" t="n">
        <v>45530</v>
      </c>
      <c r="C2560" s="11" t="s">
        <v>2578</v>
      </c>
      <c r="D2560" s="1" t="s">
        <v>9</v>
      </c>
      <c r="E2560" s="1" t="s">
        <v>20</v>
      </c>
      <c r="F2560" s="1" t="str">
        <f aca="false">TEXT(B2560,"mmm-yyyy")</f>
        <v>Aug-2024</v>
      </c>
    </row>
    <row r="2561" customFormat="false" ht="57.75" hidden="false" customHeight="true" outlineLevel="0" collapsed="false">
      <c r="A2561" s="1" t="n">
        <v>1</v>
      </c>
      <c r="B2561" s="10" t="n">
        <v>45510</v>
      </c>
      <c r="C2561" s="11" t="s">
        <v>2579</v>
      </c>
      <c r="D2561" s="1" t="s">
        <v>9</v>
      </c>
      <c r="E2561" s="1" t="s">
        <v>20</v>
      </c>
      <c r="F2561" s="1" t="str">
        <f aca="false">TEXT(B2561,"mmm-yyyy")</f>
        <v>Aug-2024</v>
      </c>
    </row>
    <row r="2562" customFormat="false" ht="101.25" hidden="false" customHeight="true" outlineLevel="0" collapsed="false">
      <c r="A2562" s="1" t="n">
        <v>1</v>
      </c>
      <c r="B2562" s="10" t="n">
        <v>45533</v>
      </c>
      <c r="C2562" s="11" t="s">
        <v>2580</v>
      </c>
      <c r="D2562" s="1" t="s">
        <v>9</v>
      </c>
      <c r="E2562" s="1" t="s">
        <v>18</v>
      </c>
      <c r="F2562" s="1" t="str">
        <f aca="false">TEXT(B2562,"mmm-yyyy")</f>
        <v>Aug-2024</v>
      </c>
    </row>
    <row r="2563" customFormat="false" ht="57.75" hidden="false" customHeight="true" outlineLevel="0" collapsed="false">
      <c r="A2563" s="1" t="n">
        <v>1</v>
      </c>
      <c r="B2563" s="10" t="n">
        <v>45503</v>
      </c>
      <c r="C2563" s="11" t="s">
        <v>2581</v>
      </c>
      <c r="D2563" s="1" t="s">
        <v>9</v>
      </c>
      <c r="E2563" s="1" t="s">
        <v>18</v>
      </c>
      <c r="F2563" s="1" t="str">
        <f aca="false">TEXT(B2563,"mmm-yyyy")</f>
        <v>Jul-2024</v>
      </c>
    </row>
    <row r="2564" customFormat="false" ht="57.75" hidden="false" customHeight="true" outlineLevel="0" collapsed="false">
      <c r="A2564" s="1" t="n">
        <v>1</v>
      </c>
      <c r="B2564" s="10" t="n">
        <v>45555</v>
      </c>
      <c r="C2564" s="11" t="s">
        <v>2582</v>
      </c>
      <c r="D2564" s="1" t="s">
        <v>9</v>
      </c>
      <c r="E2564" s="1" t="s">
        <v>20</v>
      </c>
      <c r="F2564" s="1" t="str">
        <f aca="false">TEXT(B2564,"mmm-yyyy")</f>
        <v>Sep-2024</v>
      </c>
    </row>
    <row r="2565" customFormat="false" ht="101.25" hidden="false" customHeight="true" outlineLevel="0" collapsed="false">
      <c r="A2565" s="1" t="n">
        <v>1</v>
      </c>
      <c r="B2565" s="10" t="n">
        <v>45522</v>
      </c>
      <c r="C2565" s="11" t="s">
        <v>2583</v>
      </c>
      <c r="D2565" s="1" t="s">
        <v>9</v>
      </c>
      <c r="E2565" s="1" t="s">
        <v>20</v>
      </c>
      <c r="F2565" s="1" t="str">
        <f aca="false">TEXT(B2565,"mmm-yyyy")</f>
        <v>Aug-2024</v>
      </c>
    </row>
    <row r="2566" customFormat="false" ht="87" hidden="false" customHeight="true" outlineLevel="0" collapsed="false">
      <c r="A2566" s="1" t="n">
        <v>1</v>
      </c>
      <c r="B2566" s="10" t="n">
        <v>45567</v>
      </c>
      <c r="C2566" s="11" t="s">
        <v>2584</v>
      </c>
      <c r="D2566" s="1" t="s">
        <v>9</v>
      </c>
      <c r="E2566" s="1" t="s">
        <v>20</v>
      </c>
      <c r="F2566" s="1" t="str">
        <f aca="false">TEXT(B2566,"mmm-yyyy")</f>
        <v>Oct-2024</v>
      </c>
    </row>
    <row r="2567" customFormat="false" ht="57.75" hidden="false" customHeight="true" outlineLevel="0" collapsed="false">
      <c r="A2567" s="1" t="n">
        <v>1</v>
      </c>
      <c r="B2567" s="10" t="n">
        <v>45512</v>
      </c>
      <c r="C2567" s="11" t="s">
        <v>2585</v>
      </c>
      <c r="D2567" s="1" t="s">
        <v>9</v>
      </c>
      <c r="E2567" s="1" t="s">
        <v>20</v>
      </c>
      <c r="F2567" s="1" t="str">
        <f aca="false">TEXT(B2567,"mmm-yyyy")</f>
        <v>Aug-2024</v>
      </c>
    </row>
    <row r="2568" customFormat="false" ht="72" hidden="false" customHeight="true" outlineLevel="0" collapsed="false">
      <c r="A2568" s="1" t="n">
        <v>5</v>
      </c>
      <c r="B2568" s="10" t="n">
        <v>45567</v>
      </c>
      <c r="C2568" s="11" t="s">
        <v>2586</v>
      </c>
      <c r="D2568" s="1" t="s">
        <v>9</v>
      </c>
      <c r="E2568" s="1" t="s">
        <v>18</v>
      </c>
      <c r="F2568" s="1" t="str">
        <f aca="false">TEXT(B2568,"mmm-yyyy")</f>
        <v>Oct-2024</v>
      </c>
    </row>
    <row r="2569" customFormat="false" ht="43.5" hidden="false" customHeight="true" outlineLevel="0" collapsed="false">
      <c r="A2569" s="1" t="n">
        <v>4</v>
      </c>
      <c r="B2569" s="10" t="n">
        <v>45545</v>
      </c>
      <c r="C2569" s="11" t="s">
        <v>2587</v>
      </c>
      <c r="D2569" s="1" t="s">
        <v>9</v>
      </c>
      <c r="E2569" s="1" t="s">
        <v>20</v>
      </c>
      <c r="F2569" s="1" t="str">
        <f aca="false">TEXT(B2569,"mmm-yyyy")</f>
        <v>Sep-2024</v>
      </c>
    </row>
    <row r="2570" customFormat="false" ht="57.75" hidden="false" customHeight="true" outlineLevel="0" collapsed="false">
      <c r="A2570" s="1" t="n">
        <v>1</v>
      </c>
      <c r="B2570" s="10" t="n">
        <v>45550</v>
      </c>
      <c r="C2570" s="11" t="s">
        <v>2588</v>
      </c>
      <c r="D2570" s="1" t="s">
        <v>9</v>
      </c>
      <c r="E2570" s="1" t="s">
        <v>20</v>
      </c>
      <c r="F2570" s="1" t="str">
        <f aca="false">TEXT(B2570,"mmm-yyyy")</f>
        <v>Sep-2024</v>
      </c>
    </row>
    <row r="2571" customFormat="false" ht="43.5" hidden="false" customHeight="true" outlineLevel="0" collapsed="false">
      <c r="A2571" s="1" t="n">
        <v>1</v>
      </c>
      <c r="B2571" s="10" t="n">
        <v>45548</v>
      </c>
      <c r="C2571" s="11" t="s">
        <v>2589</v>
      </c>
      <c r="D2571" s="1" t="s">
        <v>9</v>
      </c>
      <c r="E2571" s="1" t="s">
        <v>20</v>
      </c>
      <c r="F2571" s="1" t="str">
        <f aca="false">TEXT(B2571,"mmm-yyyy")</f>
        <v>Sep-2024</v>
      </c>
    </row>
    <row r="2572" customFormat="false" ht="43.5" hidden="false" customHeight="true" outlineLevel="0" collapsed="false">
      <c r="A2572" s="1" t="n">
        <v>1</v>
      </c>
      <c r="B2572" s="10" t="n">
        <v>45551</v>
      </c>
      <c r="C2572" s="11" t="s">
        <v>2590</v>
      </c>
      <c r="D2572" s="1" t="s">
        <v>9</v>
      </c>
      <c r="E2572" s="1" t="s">
        <v>20</v>
      </c>
      <c r="F2572" s="1" t="str">
        <f aca="false">TEXT(B2572,"mmm-yyyy")</f>
        <v>Sep-2024</v>
      </c>
    </row>
    <row r="2573" customFormat="false" ht="43.5" hidden="false" customHeight="true" outlineLevel="0" collapsed="false">
      <c r="A2573" s="1" t="n">
        <v>1</v>
      </c>
      <c r="B2573" s="10" t="n">
        <v>45553</v>
      </c>
      <c r="C2573" s="11" t="s">
        <v>2591</v>
      </c>
      <c r="D2573" s="1" t="s">
        <v>9</v>
      </c>
      <c r="E2573" s="1" t="s">
        <v>20</v>
      </c>
      <c r="F2573" s="1" t="str">
        <f aca="false">TEXT(B2573,"mmm-yyyy")</f>
        <v>Sep-2024</v>
      </c>
    </row>
    <row r="2574" customFormat="false" ht="57.75" hidden="false" customHeight="true" outlineLevel="0" collapsed="false">
      <c r="A2574" s="1" t="n">
        <v>1</v>
      </c>
      <c r="B2574" s="10" t="n">
        <v>45533</v>
      </c>
      <c r="C2574" s="11" t="s">
        <v>2592</v>
      </c>
      <c r="D2574" s="1" t="s">
        <v>9</v>
      </c>
      <c r="E2574" s="1" t="s">
        <v>20</v>
      </c>
      <c r="F2574" s="1" t="str">
        <f aca="false">TEXT(B2574,"mmm-yyyy")</f>
        <v>Aug-2024</v>
      </c>
    </row>
    <row r="2575" customFormat="false" ht="57.75" hidden="false" customHeight="true" outlineLevel="0" collapsed="false">
      <c r="A2575" s="1" t="n">
        <v>1</v>
      </c>
      <c r="B2575" s="10" t="n">
        <v>45541</v>
      </c>
      <c r="C2575" s="11" t="s">
        <v>2593</v>
      </c>
      <c r="D2575" s="1" t="s">
        <v>9</v>
      </c>
      <c r="E2575" s="1" t="s">
        <v>20</v>
      </c>
      <c r="F2575" s="1" t="str">
        <f aca="false">TEXT(B2575,"mmm-yyyy")</f>
        <v>Sep-2024</v>
      </c>
    </row>
    <row r="2576" customFormat="false" ht="43.5" hidden="false" customHeight="true" outlineLevel="0" collapsed="false">
      <c r="A2576" s="1" t="n">
        <v>5</v>
      </c>
      <c r="B2576" s="10" t="n">
        <v>45550</v>
      </c>
      <c r="C2576" s="11" t="s">
        <v>2594</v>
      </c>
      <c r="D2576" s="1" t="s">
        <v>9</v>
      </c>
      <c r="E2576" s="1" t="s">
        <v>18</v>
      </c>
      <c r="F2576" s="1" t="str">
        <f aca="false">TEXT(B2576,"mmm-yyyy")</f>
        <v>Sep-2024</v>
      </c>
    </row>
    <row r="2577" customFormat="false" ht="28.5" hidden="false" customHeight="true" outlineLevel="0" collapsed="false">
      <c r="A2577" s="1" t="n">
        <v>1</v>
      </c>
      <c r="B2577" s="10" t="n">
        <v>45538</v>
      </c>
      <c r="C2577" s="11" t="s">
        <v>2595</v>
      </c>
      <c r="D2577" s="1" t="s">
        <v>9</v>
      </c>
      <c r="E2577" s="1" t="s">
        <v>20</v>
      </c>
      <c r="F2577" s="1" t="str">
        <f aca="false">TEXT(B2577,"mmm-yyyy")</f>
        <v>Sep-2024</v>
      </c>
    </row>
    <row r="2578" customFormat="false" ht="43.5" hidden="false" customHeight="true" outlineLevel="0" collapsed="false">
      <c r="A2578" s="1" t="n">
        <v>2</v>
      </c>
      <c r="B2578" s="10" t="n">
        <v>45511</v>
      </c>
      <c r="C2578" s="11" t="s">
        <v>2596</v>
      </c>
      <c r="D2578" s="1" t="s">
        <v>9</v>
      </c>
      <c r="E2578" s="1" t="s">
        <v>18</v>
      </c>
      <c r="F2578" s="1" t="str">
        <f aca="false">TEXT(B2578,"mmm-yyyy")</f>
        <v>Aug-2024</v>
      </c>
    </row>
    <row r="2579" customFormat="false" ht="28.5" hidden="false" customHeight="true" outlineLevel="0" collapsed="false">
      <c r="A2579" s="1" t="n">
        <v>1</v>
      </c>
      <c r="B2579" s="10" t="n">
        <v>45558</v>
      </c>
      <c r="C2579" s="11" t="s">
        <v>2597</v>
      </c>
      <c r="D2579" s="1" t="s">
        <v>9</v>
      </c>
      <c r="E2579" s="1" t="s">
        <v>20</v>
      </c>
      <c r="F2579" s="1" t="str">
        <f aca="false">TEXT(B2579,"mmm-yyyy")</f>
        <v>Sep-2024</v>
      </c>
    </row>
    <row r="2580" customFormat="false" ht="43.5" hidden="false" customHeight="true" outlineLevel="0" collapsed="false">
      <c r="A2580" s="1" t="n">
        <v>3</v>
      </c>
      <c r="B2580" s="10" t="n">
        <v>45525</v>
      </c>
      <c r="C2580" s="11" t="s">
        <v>2598</v>
      </c>
      <c r="D2580" s="1" t="s">
        <v>9</v>
      </c>
      <c r="E2580" s="1" t="s">
        <v>20</v>
      </c>
      <c r="F2580" s="1" t="str">
        <f aca="false">TEXT(B2580,"mmm-yyyy")</f>
        <v>Aug-2024</v>
      </c>
    </row>
    <row r="2581" customFormat="false" ht="43.5" hidden="false" customHeight="true" outlineLevel="0" collapsed="false">
      <c r="A2581" s="1" t="n">
        <v>1</v>
      </c>
      <c r="B2581" s="10" t="n">
        <v>45544</v>
      </c>
      <c r="C2581" s="11" t="s">
        <v>2599</v>
      </c>
      <c r="D2581" s="1" t="s">
        <v>9</v>
      </c>
      <c r="E2581" s="1" t="s">
        <v>20</v>
      </c>
      <c r="F2581" s="1" t="str">
        <f aca="false">TEXT(B2581,"mmm-yyyy")</f>
        <v>Sep-2024</v>
      </c>
    </row>
    <row r="2582" customFormat="false" ht="43.5" hidden="false" customHeight="true" outlineLevel="0" collapsed="false">
      <c r="A2582" s="1" t="n">
        <v>1</v>
      </c>
      <c r="B2582" s="10" t="n">
        <v>45509</v>
      </c>
      <c r="C2582" s="11" t="s">
        <v>2600</v>
      </c>
      <c r="D2582" s="1" t="s">
        <v>9</v>
      </c>
      <c r="E2582" s="1" t="s">
        <v>18</v>
      </c>
      <c r="F2582" s="1" t="str">
        <f aca="false">TEXT(B2582,"mmm-yyyy")</f>
        <v>Aug-2024</v>
      </c>
    </row>
    <row r="2583" customFormat="false" ht="14.25" hidden="false" customHeight="true" outlineLevel="0" collapsed="false">
      <c r="A2583" s="1" t="n">
        <v>5</v>
      </c>
      <c r="B2583" s="10" t="n">
        <v>45653</v>
      </c>
      <c r="C2583" s="1" t="s">
        <v>2601</v>
      </c>
      <c r="D2583" s="1" t="s">
        <v>9</v>
      </c>
      <c r="E2583" s="1" t="s">
        <v>18</v>
      </c>
      <c r="F2583" s="1" t="str">
        <f aca="false">TEXT(B2583,"mmm-yyyy")</f>
        <v>Dec-2024</v>
      </c>
    </row>
    <row r="2584" customFormat="false" ht="87" hidden="false" customHeight="true" outlineLevel="0" collapsed="false">
      <c r="A2584" s="1" t="n">
        <v>1</v>
      </c>
      <c r="B2584" s="10" t="n">
        <v>45624</v>
      </c>
      <c r="C2584" s="11" t="s">
        <v>2602</v>
      </c>
      <c r="D2584" s="1" t="s">
        <v>9</v>
      </c>
      <c r="E2584" s="1" t="s">
        <v>20</v>
      </c>
      <c r="F2584" s="1" t="str">
        <f aca="false">TEXT(B2584,"mmm-yyyy")</f>
        <v>Nov-2024</v>
      </c>
    </row>
    <row r="2585" customFormat="false" ht="130.5" hidden="false" customHeight="true" outlineLevel="0" collapsed="false">
      <c r="A2585" s="1" t="n">
        <v>1</v>
      </c>
      <c r="B2585" s="10" t="n">
        <v>45508</v>
      </c>
      <c r="C2585" s="11" t="s">
        <v>2603</v>
      </c>
      <c r="D2585" s="1" t="s">
        <v>9</v>
      </c>
      <c r="E2585" s="1" t="s">
        <v>20</v>
      </c>
      <c r="F2585" s="1" t="str">
        <f aca="false">TEXT(B2585,"mmm-yyyy")</f>
        <v>Aug-2024</v>
      </c>
    </row>
    <row r="2586" customFormat="false" ht="101.25" hidden="false" customHeight="true" outlineLevel="0" collapsed="false">
      <c r="A2586" s="1" t="n">
        <v>1</v>
      </c>
      <c r="B2586" s="10" t="n">
        <v>45572</v>
      </c>
      <c r="C2586" s="11" t="s">
        <v>2604</v>
      </c>
      <c r="D2586" s="1" t="s">
        <v>9</v>
      </c>
      <c r="E2586" s="1" t="s">
        <v>20</v>
      </c>
      <c r="F2586" s="1" t="str">
        <f aca="false">TEXT(B2586,"mmm-yyyy")</f>
        <v>Oct-2024</v>
      </c>
    </row>
    <row r="2587" customFormat="false" ht="101.25" hidden="false" customHeight="true" outlineLevel="0" collapsed="false">
      <c r="A2587" s="1" t="n">
        <v>1</v>
      </c>
      <c r="B2587" s="10" t="n">
        <v>45565</v>
      </c>
      <c r="C2587" s="11" t="s">
        <v>2605</v>
      </c>
      <c r="D2587" s="1" t="s">
        <v>9</v>
      </c>
      <c r="E2587" s="1" t="s">
        <v>20</v>
      </c>
      <c r="F2587" s="1" t="str">
        <f aca="false">TEXT(B2587,"mmm-yyyy")</f>
        <v>Sep-2024</v>
      </c>
    </row>
    <row r="2588" customFormat="false" ht="57.75" hidden="false" customHeight="true" outlineLevel="0" collapsed="false">
      <c r="A2588" s="1" t="n">
        <v>1</v>
      </c>
      <c r="B2588" s="10" t="n">
        <v>45542</v>
      </c>
      <c r="C2588" s="11" t="s">
        <v>2606</v>
      </c>
      <c r="D2588" s="1" t="s">
        <v>9</v>
      </c>
      <c r="E2588" s="1" t="s">
        <v>20</v>
      </c>
      <c r="F2588" s="1" t="str">
        <f aca="false">TEXT(B2588,"mmm-yyyy")</f>
        <v>Sep-2024</v>
      </c>
    </row>
    <row r="2589" customFormat="false" ht="57.75" hidden="false" customHeight="true" outlineLevel="0" collapsed="false">
      <c r="A2589" s="1" t="n">
        <v>1</v>
      </c>
      <c r="B2589" s="10" t="n">
        <v>45515</v>
      </c>
      <c r="C2589" s="11" t="s">
        <v>2607</v>
      </c>
      <c r="D2589" s="1" t="s">
        <v>9</v>
      </c>
      <c r="E2589" s="1" t="s">
        <v>20</v>
      </c>
      <c r="F2589" s="1" t="str">
        <f aca="false">TEXT(B2589,"mmm-yyyy")</f>
        <v>Aug-2024</v>
      </c>
    </row>
    <row r="2590" customFormat="false" ht="57.75" hidden="false" customHeight="true" outlineLevel="0" collapsed="false">
      <c r="A2590" s="1" t="n">
        <v>1</v>
      </c>
      <c r="B2590" s="10" t="n">
        <v>45517</v>
      </c>
      <c r="C2590" s="11" t="s">
        <v>2608</v>
      </c>
      <c r="D2590" s="1" t="s">
        <v>9</v>
      </c>
      <c r="E2590" s="1" t="s">
        <v>20</v>
      </c>
      <c r="F2590" s="1" t="str">
        <f aca="false">TEXT(B2590,"mmm-yyyy")</f>
        <v>Aug-2024</v>
      </c>
    </row>
    <row r="2591" customFormat="false" ht="72" hidden="false" customHeight="true" outlineLevel="0" collapsed="false">
      <c r="A2591" s="1" t="n">
        <v>1</v>
      </c>
      <c r="B2591" s="10" t="n">
        <v>45617</v>
      </c>
      <c r="C2591" s="11" t="s">
        <v>2609</v>
      </c>
      <c r="D2591" s="1" t="s">
        <v>9</v>
      </c>
      <c r="E2591" s="1" t="s">
        <v>20</v>
      </c>
      <c r="F2591" s="1" t="str">
        <f aca="false">TEXT(B2591,"mmm-yyyy")</f>
        <v>Nov-2024</v>
      </c>
    </row>
    <row r="2592" customFormat="false" ht="101.25" hidden="false" customHeight="true" outlineLevel="0" collapsed="false">
      <c r="A2592" s="1" t="n">
        <v>1</v>
      </c>
      <c r="B2592" s="10" t="n">
        <v>45567</v>
      </c>
      <c r="C2592" s="11" t="s">
        <v>2610</v>
      </c>
      <c r="D2592" s="1" t="s">
        <v>9</v>
      </c>
      <c r="E2592" s="1" t="s">
        <v>20</v>
      </c>
      <c r="F2592" s="1" t="str">
        <f aca="false">TEXT(B2592,"mmm-yyyy")</f>
        <v>Oct-2024</v>
      </c>
    </row>
    <row r="2593" customFormat="false" ht="28.5" hidden="false" customHeight="true" outlineLevel="0" collapsed="false">
      <c r="A2593" s="1" t="n">
        <v>1</v>
      </c>
      <c r="B2593" s="10" t="n">
        <v>45657</v>
      </c>
      <c r="C2593" s="11" t="s">
        <v>2611</v>
      </c>
      <c r="D2593" s="1" t="s">
        <v>9</v>
      </c>
      <c r="E2593" s="1" t="s">
        <v>32</v>
      </c>
      <c r="F2593" s="1" t="str">
        <f aca="false">TEXT(B2593,"mmm-yyyy")</f>
        <v>Dec-2024</v>
      </c>
    </row>
    <row r="2594" customFormat="false" ht="72" hidden="false" customHeight="true" outlineLevel="0" collapsed="false">
      <c r="A2594" s="1" t="n">
        <v>1</v>
      </c>
      <c r="B2594" s="10" t="n">
        <v>45564</v>
      </c>
      <c r="C2594" s="11" t="s">
        <v>2612</v>
      </c>
      <c r="D2594" s="1" t="s">
        <v>9</v>
      </c>
      <c r="E2594" s="1" t="s">
        <v>20</v>
      </c>
      <c r="F2594" s="1" t="str">
        <f aca="false">TEXT(B2594,"mmm-yyyy")</f>
        <v>Sep-2024</v>
      </c>
    </row>
    <row r="2595" customFormat="false" ht="57.75" hidden="false" customHeight="true" outlineLevel="0" collapsed="false">
      <c r="A2595" s="1" t="n">
        <v>1</v>
      </c>
      <c r="B2595" s="10" t="n">
        <v>45649</v>
      </c>
      <c r="C2595" s="11" t="s">
        <v>2613</v>
      </c>
      <c r="D2595" s="1" t="s">
        <v>9</v>
      </c>
      <c r="E2595" s="1" t="s">
        <v>20</v>
      </c>
      <c r="F2595" s="1" t="str">
        <f aca="false">TEXT(B2595,"mmm-yyyy")</f>
        <v>Dec-2024</v>
      </c>
    </row>
    <row r="2596" customFormat="false" ht="57.75" hidden="false" customHeight="true" outlineLevel="0" collapsed="false">
      <c r="A2596" s="1" t="n">
        <v>1</v>
      </c>
      <c r="B2596" s="10" t="n">
        <v>45537</v>
      </c>
      <c r="C2596" s="11" t="s">
        <v>2614</v>
      </c>
      <c r="D2596" s="1" t="s">
        <v>9</v>
      </c>
      <c r="E2596" s="1" t="s">
        <v>20</v>
      </c>
      <c r="F2596" s="1" t="str">
        <f aca="false">TEXT(B2596,"mmm-yyyy")</f>
        <v>Sep-2024</v>
      </c>
    </row>
    <row r="2597" customFormat="false" ht="87" hidden="false" customHeight="true" outlineLevel="0" collapsed="false">
      <c r="A2597" s="1" t="n">
        <v>1</v>
      </c>
      <c r="B2597" s="10" t="n">
        <v>45607</v>
      </c>
      <c r="C2597" s="11" t="s">
        <v>2615</v>
      </c>
      <c r="D2597" s="1" t="s">
        <v>9</v>
      </c>
      <c r="E2597" s="1" t="s">
        <v>20</v>
      </c>
      <c r="F2597" s="1" t="str">
        <f aca="false">TEXT(B2597,"mmm-yyyy")</f>
        <v>Nov-2024</v>
      </c>
    </row>
    <row r="2598" customFormat="false" ht="72" hidden="false" customHeight="true" outlineLevel="0" collapsed="false">
      <c r="A2598" s="1" t="n">
        <v>1</v>
      </c>
      <c r="B2598" s="10" t="n">
        <v>45588</v>
      </c>
      <c r="C2598" s="11" t="s">
        <v>2616</v>
      </c>
      <c r="D2598" s="1" t="s">
        <v>9</v>
      </c>
      <c r="E2598" s="1" t="s">
        <v>20</v>
      </c>
      <c r="F2598" s="1" t="str">
        <f aca="false">TEXT(B2598,"mmm-yyyy")</f>
        <v>Oct-2024</v>
      </c>
    </row>
    <row r="2599" customFormat="false" ht="101.25" hidden="false" customHeight="true" outlineLevel="0" collapsed="false">
      <c r="A2599" s="1" t="n">
        <v>1</v>
      </c>
      <c r="B2599" s="10" t="n">
        <v>45617</v>
      </c>
      <c r="C2599" s="11" t="s">
        <v>2617</v>
      </c>
      <c r="D2599" s="1" t="s">
        <v>9</v>
      </c>
      <c r="E2599" s="1" t="s">
        <v>32</v>
      </c>
      <c r="F2599" s="1" t="str">
        <f aca="false">TEXT(B2599,"mmm-yyyy")</f>
        <v>Nov-2024</v>
      </c>
    </row>
    <row r="2600" customFormat="false" ht="72" hidden="false" customHeight="true" outlineLevel="0" collapsed="false">
      <c r="A2600" s="1" t="n">
        <v>1</v>
      </c>
      <c r="B2600" s="10" t="n">
        <v>45623</v>
      </c>
      <c r="C2600" s="11" t="s">
        <v>2618</v>
      </c>
      <c r="D2600" s="1" t="s">
        <v>9</v>
      </c>
      <c r="E2600" s="1" t="s">
        <v>20</v>
      </c>
      <c r="F2600" s="1" t="str">
        <f aca="false">TEXT(B2600,"mmm-yyyy")</f>
        <v>Nov-2024</v>
      </c>
    </row>
    <row r="2601" customFormat="false" ht="144.75" hidden="false" customHeight="true" outlineLevel="0" collapsed="false">
      <c r="A2601" s="1" t="n">
        <v>1</v>
      </c>
      <c r="B2601" s="10" t="n">
        <v>45628</v>
      </c>
      <c r="C2601" s="11" t="s">
        <v>2619</v>
      </c>
      <c r="D2601" s="1" t="s">
        <v>9</v>
      </c>
      <c r="E2601" s="1" t="s">
        <v>18</v>
      </c>
      <c r="F2601" s="1" t="str">
        <f aca="false">TEXT(B2601,"mmm-yyyy")</f>
        <v>Dec-2024</v>
      </c>
    </row>
    <row r="2602" customFormat="false" ht="130.5" hidden="false" customHeight="true" outlineLevel="0" collapsed="false">
      <c r="A2602" s="1" t="n">
        <v>1</v>
      </c>
      <c r="B2602" s="10" t="n">
        <v>45591</v>
      </c>
      <c r="C2602" s="11" t="s">
        <v>2620</v>
      </c>
      <c r="D2602" s="1" t="s">
        <v>9</v>
      </c>
      <c r="E2602" s="1" t="s">
        <v>20</v>
      </c>
      <c r="F2602" s="1" t="str">
        <f aca="false">TEXT(B2602,"mmm-yyyy")</f>
        <v>Oct-2024</v>
      </c>
    </row>
    <row r="2603" customFormat="false" ht="101.25" hidden="false" customHeight="true" outlineLevel="0" collapsed="false">
      <c r="A2603" s="1" t="n">
        <v>1</v>
      </c>
      <c r="B2603" s="10" t="n">
        <v>45590</v>
      </c>
      <c r="C2603" s="11" t="s">
        <v>2621</v>
      </c>
      <c r="D2603" s="1" t="s">
        <v>9</v>
      </c>
      <c r="E2603" s="1" t="s">
        <v>20</v>
      </c>
      <c r="F2603" s="1" t="str">
        <f aca="false">TEXT(B2603,"mmm-yyyy")</f>
        <v>Oct-2024</v>
      </c>
    </row>
    <row r="2604" customFormat="false" ht="115.5" hidden="false" customHeight="true" outlineLevel="0" collapsed="false">
      <c r="A2604" s="1" t="n">
        <v>1</v>
      </c>
      <c r="B2604" s="10" t="n">
        <v>45583</v>
      </c>
      <c r="C2604" s="11" t="s">
        <v>2622</v>
      </c>
      <c r="D2604" s="1" t="s">
        <v>9</v>
      </c>
      <c r="E2604" s="1" t="s">
        <v>20</v>
      </c>
      <c r="F2604" s="1" t="str">
        <f aca="false">TEXT(B2604,"mmm-yyyy")</f>
        <v>Oct-2024</v>
      </c>
    </row>
    <row r="2605" customFormat="false" ht="72" hidden="false" customHeight="true" outlineLevel="0" collapsed="false">
      <c r="A2605" s="1" t="n">
        <v>1</v>
      </c>
      <c r="B2605" s="10" t="n">
        <v>45621</v>
      </c>
      <c r="C2605" s="11" t="s">
        <v>2623</v>
      </c>
      <c r="D2605" s="1" t="s">
        <v>9</v>
      </c>
      <c r="E2605" s="1" t="s">
        <v>20</v>
      </c>
      <c r="F2605" s="1" t="str">
        <f aca="false">TEXT(B2605,"mmm-yyyy")</f>
        <v>Nov-2024</v>
      </c>
    </row>
    <row r="2606" customFormat="false" ht="72" hidden="false" customHeight="true" outlineLevel="0" collapsed="false">
      <c r="A2606" s="1" t="n">
        <v>4</v>
      </c>
      <c r="B2606" s="10" t="n">
        <v>45627</v>
      </c>
      <c r="C2606" s="11" t="s">
        <v>2624</v>
      </c>
      <c r="D2606" s="1" t="s">
        <v>9</v>
      </c>
      <c r="E2606" s="1" t="s">
        <v>18</v>
      </c>
      <c r="F2606" s="1" t="str">
        <f aca="false">TEXT(B2606,"mmm-yyyy")</f>
        <v>Dec-2024</v>
      </c>
    </row>
    <row r="2607" customFormat="false" ht="72" hidden="false" customHeight="true" outlineLevel="0" collapsed="false">
      <c r="A2607" s="1" t="n">
        <v>1</v>
      </c>
      <c r="B2607" s="10" t="n">
        <v>45613</v>
      </c>
      <c r="C2607" s="11" t="s">
        <v>2625</v>
      </c>
      <c r="D2607" s="1" t="s">
        <v>9</v>
      </c>
      <c r="E2607" s="1" t="s">
        <v>20</v>
      </c>
      <c r="F2607" s="1" t="str">
        <f aca="false">TEXT(B2607,"mmm-yyyy")</f>
        <v>Nov-2024</v>
      </c>
    </row>
    <row r="2608" customFormat="false" ht="72" hidden="false" customHeight="true" outlineLevel="0" collapsed="false">
      <c r="A2608" s="1" t="n">
        <v>1</v>
      </c>
      <c r="B2608" s="10" t="n">
        <v>45582</v>
      </c>
      <c r="C2608" s="11" t="s">
        <v>2626</v>
      </c>
      <c r="D2608" s="1" t="s">
        <v>9</v>
      </c>
      <c r="E2608" s="1" t="s">
        <v>20</v>
      </c>
      <c r="F2608" s="1" t="str">
        <f aca="false">TEXT(B2608,"mmm-yyyy")</f>
        <v>Oct-2024</v>
      </c>
    </row>
    <row r="2609" customFormat="false" ht="28.5" hidden="false" customHeight="true" outlineLevel="0" collapsed="false">
      <c r="A2609" s="1" t="n">
        <v>1</v>
      </c>
      <c r="B2609" s="10" t="n">
        <v>45646</v>
      </c>
      <c r="C2609" s="11" t="s">
        <v>2627</v>
      </c>
      <c r="D2609" s="1" t="s">
        <v>9</v>
      </c>
      <c r="E2609" s="1" t="s">
        <v>20</v>
      </c>
      <c r="F2609" s="1" t="str">
        <f aca="false">TEXT(B2609,"mmm-yyyy")</f>
        <v>Dec-2024</v>
      </c>
    </row>
    <row r="2610" customFormat="false" ht="87" hidden="false" customHeight="true" outlineLevel="0" collapsed="false">
      <c r="A2610" s="1" t="n">
        <v>1</v>
      </c>
      <c r="B2610" s="10" t="n">
        <v>45589</v>
      </c>
      <c r="C2610" s="11" t="s">
        <v>2628</v>
      </c>
      <c r="D2610" s="1" t="s">
        <v>9</v>
      </c>
      <c r="E2610" s="1" t="s">
        <v>18</v>
      </c>
      <c r="F2610" s="1" t="str">
        <f aca="false">TEXT(B2610,"mmm-yyyy")</f>
        <v>Oct-2024</v>
      </c>
    </row>
    <row r="2611" customFormat="false" ht="87" hidden="false" customHeight="true" outlineLevel="0" collapsed="false">
      <c r="A2611" s="1" t="n">
        <v>1</v>
      </c>
      <c r="B2611" s="10" t="n">
        <v>45626</v>
      </c>
      <c r="C2611" s="11" t="s">
        <v>2629</v>
      </c>
      <c r="D2611" s="1" t="s">
        <v>9</v>
      </c>
      <c r="E2611" s="1" t="s">
        <v>20</v>
      </c>
      <c r="F2611" s="1" t="str">
        <f aca="false">TEXT(B2611,"mmm-yyyy")</f>
        <v>Nov-2024</v>
      </c>
    </row>
    <row r="2612" customFormat="false" ht="101.25" hidden="false" customHeight="true" outlineLevel="0" collapsed="false">
      <c r="A2612" s="1" t="n">
        <v>1</v>
      </c>
      <c r="B2612" s="10" t="n">
        <v>45611</v>
      </c>
      <c r="C2612" s="11" t="s">
        <v>2630</v>
      </c>
      <c r="D2612" s="1" t="s">
        <v>9</v>
      </c>
      <c r="E2612" s="1" t="s">
        <v>20</v>
      </c>
      <c r="F2612" s="1" t="str">
        <f aca="false">TEXT(B2612,"mmm-yyyy")</f>
        <v>Nov-2024</v>
      </c>
    </row>
    <row r="2613" customFormat="false" ht="115.5" hidden="false" customHeight="true" outlineLevel="0" collapsed="false">
      <c r="A2613" s="1" t="n">
        <v>1</v>
      </c>
      <c r="B2613" s="10" t="n">
        <v>45576</v>
      </c>
      <c r="C2613" s="11" t="s">
        <v>2631</v>
      </c>
      <c r="D2613" s="1" t="s">
        <v>9</v>
      </c>
      <c r="E2613" s="1" t="s">
        <v>20</v>
      </c>
      <c r="F2613" s="1" t="str">
        <f aca="false">TEXT(B2613,"mmm-yyyy")</f>
        <v>Oct-2024</v>
      </c>
    </row>
    <row r="2614" customFormat="false" ht="101.25" hidden="false" customHeight="true" outlineLevel="0" collapsed="false">
      <c r="A2614" s="1" t="n">
        <v>5</v>
      </c>
      <c r="B2614" s="10" t="n">
        <v>45601</v>
      </c>
      <c r="C2614" s="11" t="s">
        <v>2632</v>
      </c>
      <c r="D2614" s="1" t="s">
        <v>9</v>
      </c>
      <c r="E2614" s="1" t="s">
        <v>20</v>
      </c>
      <c r="F2614" s="1" t="str">
        <f aca="false">TEXT(B2614,"mmm-yyyy")</f>
        <v>Nov-2024</v>
      </c>
    </row>
    <row r="2615" customFormat="false" ht="130.5" hidden="false" customHeight="true" outlineLevel="0" collapsed="false">
      <c r="A2615" s="1" t="n">
        <v>1</v>
      </c>
      <c r="B2615" s="10" t="n">
        <v>45626</v>
      </c>
      <c r="C2615" s="11" t="s">
        <v>2633</v>
      </c>
      <c r="D2615" s="1" t="s">
        <v>9</v>
      </c>
      <c r="E2615" s="1" t="s">
        <v>20</v>
      </c>
      <c r="F2615" s="1" t="str">
        <f aca="false">TEXT(B2615,"mmm-yyyy")</f>
        <v>Nov-2024</v>
      </c>
    </row>
    <row r="2616" customFormat="false" ht="87" hidden="false" customHeight="true" outlineLevel="0" collapsed="false">
      <c r="A2616" s="1" t="n">
        <v>2</v>
      </c>
      <c r="B2616" s="10" t="n">
        <v>45572</v>
      </c>
      <c r="C2616" s="11" t="s">
        <v>2634</v>
      </c>
      <c r="D2616" s="1" t="s">
        <v>9</v>
      </c>
      <c r="E2616" s="1" t="s">
        <v>20</v>
      </c>
      <c r="F2616" s="1" t="str">
        <f aca="false">TEXT(B2616,"mmm-yyyy")</f>
        <v>Oct-2024</v>
      </c>
    </row>
    <row r="2617" customFormat="false" ht="87" hidden="false" customHeight="true" outlineLevel="0" collapsed="false">
      <c r="A2617" s="1" t="n">
        <v>1</v>
      </c>
      <c r="B2617" s="10" t="n">
        <v>45637</v>
      </c>
      <c r="C2617" s="11" t="s">
        <v>2635</v>
      </c>
      <c r="D2617" s="1" t="s">
        <v>9</v>
      </c>
      <c r="E2617" s="1" t="s">
        <v>20</v>
      </c>
      <c r="F2617" s="1" t="str">
        <f aca="false">TEXT(B2617,"mmm-yyyy")</f>
        <v>Dec-2024</v>
      </c>
    </row>
    <row r="2618" customFormat="false" ht="101.25" hidden="false" customHeight="true" outlineLevel="0" collapsed="false">
      <c r="A2618" s="1" t="n">
        <v>4</v>
      </c>
      <c r="B2618" s="10" t="n">
        <v>45608</v>
      </c>
      <c r="C2618" s="11" t="s">
        <v>2636</v>
      </c>
      <c r="D2618" s="1" t="s">
        <v>9</v>
      </c>
      <c r="E2618" s="1" t="s">
        <v>18</v>
      </c>
      <c r="F2618" s="1" t="str">
        <f aca="false">TEXT(B2618,"mmm-yyyy")</f>
        <v>Nov-2024</v>
      </c>
    </row>
    <row r="2619" customFormat="false" ht="28.5" hidden="false" customHeight="true" outlineLevel="0" collapsed="false">
      <c r="A2619" s="1" t="n">
        <v>1</v>
      </c>
      <c r="B2619" s="10" t="n">
        <v>45564</v>
      </c>
      <c r="C2619" s="11" t="s">
        <v>2637</v>
      </c>
      <c r="D2619" s="1" t="s">
        <v>9</v>
      </c>
      <c r="E2619" s="1" t="s">
        <v>20</v>
      </c>
      <c r="F2619" s="1" t="str">
        <f aca="false">TEXT(B2619,"mmm-yyyy")</f>
        <v>Sep-2024</v>
      </c>
    </row>
    <row r="2620" customFormat="false" ht="43.5" hidden="false" customHeight="true" outlineLevel="0" collapsed="false">
      <c r="A2620" s="1" t="n">
        <v>1</v>
      </c>
      <c r="B2620" s="10" t="n">
        <v>45538</v>
      </c>
      <c r="C2620" s="11" t="s">
        <v>2638</v>
      </c>
      <c r="D2620" s="1" t="s">
        <v>9</v>
      </c>
      <c r="E2620" s="1" t="s">
        <v>20</v>
      </c>
      <c r="F2620" s="1" t="str">
        <f aca="false">TEXT(B2620,"mmm-yyyy")</f>
        <v>Sep-2024</v>
      </c>
    </row>
    <row r="2621" customFormat="false" ht="28.5" hidden="false" customHeight="true" outlineLevel="0" collapsed="false">
      <c r="A2621" s="1" t="n">
        <v>1</v>
      </c>
      <c r="B2621" s="10" t="n">
        <v>45657</v>
      </c>
      <c r="C2621" s="11" t="s">
        <v>2639</v>
      </c>
      <c r="D2621" s="1" t="s">
        <v>9</v>
      </c>
      <c r="E2621" s="1" t="s">
        <v>20</v>
      </c>
      <c r="F2621" s="1" t="str">
        <f aca="false">TEXT(B2621,"mmm-yyyy")</f>
        <v>Dec-2024</v>
      </c>
    </row>
    <row r="2622" customFormat="false" ht="87" hidden="false" customHeight="true" outlineLevel="0" collapsed="false">
      <c r="A2622" s="1" t="n">
        <v>1</v>
      </c>
      <c r="B2622" s="10" t="n">
        <v>45606</v>
      </c>
      <c r="C2622" s="11" t="s">
        <v>2640</v>
      </c>
      <c r="D2622" s="1" t="s">
        <v>9</v>
      </c>
      <c r="E2622" s="1" t="s">
        <v>20</v>
      </c>
      <c r="F2622" s="1" t="str">
        <f aca="false">TEXT(B2622,"mmm-yyyy")</f>
        <v>Nov-2024</v>
      </c>
    </row>
    <row r="2623" customFormat="false" ht="28.5" hidden="false" customHeight="true" outlineLevel="0" collapsed="false">
      <c r="A2623" s="1" t="n">
        <v>4</v>
      </c>
      <c r="B2623" s="10" t="n">
        <v>45645</v>
      </c>
      <c r="C2623" s="11" t="s">
        <v>2641</v>
      </c>
      <c r="D2623" s="1" t="s">
        <v>9</v>
      </c>
      <c r="E2623" s="1" t="s">
        <v>18</v>
      </c>
      <c r="F2623" s="1" t="str">
        <f aca="false">TEXT(B2623,"mmm-yyyy")</f>
        <v>Dec-2024</v>
      </c>
    </row>
    <row r="2624" customFormat="false" ht="130.5" hidden="false" customHeight="true" outlineLevel="0" collapsed="false">
      <c r="A2624" s="1" t="n">
        <v>1</v>
      </c>
      <c r="B2624" s="10" t="n">
        <v>45573</v>
      </c>
      <c r="C2624" s="11" t="s">
        <v>2642</v>
      </c>
      <c r="D2624" s="1" t="s">
        <v>9</v>
      </c>
      <c r="E2624" s="1" t="s">
        <v>20</v>
      </c>
      <c r="F2624" s="1" t="str">
        <f aca="false">TEXT(B2624,"mmm-yyyy")</f>
        <v>Oct-2024</v>
      </c>
    </row>
    <row r="2625" customFormat="false" ht="28.5" hidden="false" customHeight="true" outlineLevel="0" collapsed="false">
      <c r="A2625" s="1" t="n">
        <v>1</v>
      </c>
      <c r="B2625" s="10" t="n">
        <v>45633</v>
      </c>
      <c r="C2625" s="11" t="s">
        <v>2643</v>
      </c>
      <c r="D2625" s="1" t="s">
        <v>9</v>
      </c>
      <c r="E2625" s="1" t="s">
        <v>20</v>
      </c>
      <c r="F2625" s="1" t="str">
        <f aca="false">TEXT(B2625,"mmm-yyyy")</f>
        <v>Dec-2024</v>
      </c>
    </row>
    <row r="2626" customFormat="false" ht="87" hidden="false" customHeight="true" outlineLevel="0" collapsed="false">
      <c r="A2626" s="1" t="n">
        <v>1</v>
      </c>
      <c r="B2626" s="10" t="n">
        <v>45627</v>
      </c>
      <c r="C2626" s="11" t="s">
        <v>2644</v>
      </c>
      <c r="D2626" s="1" t="s">
        <v>9</v>
      </c>
      <c r="E2626" s="1" t="s">
        <v>20</v>
      </c>
      <c r="F2626" s="1" t="str">
        <f aca="false">TEXT(B2626,"mmm-yyyy")</f>
        <v>Dec-2024</v>
      </c>
    </row>
    <row r="2627" customFormat="false" ht="43.5" hidden="false" customHeight="true" outlineLevel="0" collapsed="false">
      <c r="A2627" s="1" t="n">
        <v>4</v>
      </c>
      <c r="B2627" s="10" t="n">
        <v>45547</v>
      </c>
      <c r="C2627" s="11" t="s">
        <v>2645</v>
      </c>
      <c r="D2627" s="1" t="s">
        <v>9</v>
      </c>
      <c r="E2627" s="1" t="s">
        <v>18</v>
      </c>
      <c r="F2627" s="1" t="str">
        <f aca="false">TEXT(B2627,"mmm-yyyy")</f>
        <v>Sep-2024</v>
      </c>
    </row>
    <row r="2628" customFormat="false" ht="115.5" hidden="false" customHeight="true" outlineLevel="0" collapsed="false">
      <c r="A2628" s="1" t="n">
        <v>1</v>
      </c>
      <c r="B2628" s="10" t="n">
        <v>45479</v>
      </c>
      <c r="C2628" s="11" t="s">
        <v>2646</v>
      </c>
      <c r="D2628" s="1" t="s">
        <v>9</v>
      </c>
      <c r="E2628" s="1" t="s">
        <v>20</v>
      </c>
      <c r="F2628" s="1" t="str">
        <f aca="false">TEXT(B2628,"mmm-yyyy")</f>
        <v>Jul-2024</v>
      </c>
    </row>
    <row r="2629" customFormat="false" ht="28.5" hidden="false" customHeight="true" outlineLevel="0" collapsed="false">
      <c r="A2629" s="1" t="n">
        <v>1</v>
      </c>
      <c r="B2629" s="10" t="n">
        <v>45653</v>
      </c>
      <c r="C2629" s="11" t="s">
        <v>2647</v>
      </c>
      <c r="D2629" s="1" t="s">
        <v>9</v>
      </c>
      <c r="E2629" s="1" t="s">
        <v>20</v>
      </c>
      <c r="F2629" s="1" t="str">
        <f aca="false">TEXT(B2629,"mmm-yyyy")</f>
        <v>Dec-2024</v>
      </c>
    </row>
    <row r="2630" customFormat="false" ht="87" hidden="false" customHeight="true" outlineLevel="0" collapsed="false">
      <c r="A2630" s="1" t="n">
        <v>1</v>
      </c>
      <c r="B2630" s="10" t="n">
        <v>45618</v>
      </c>
      <c r="C2630" s="11" t="s">
        <v>2648</v>
      </c>
      <c r="D2630" s="1" t="s">
        <v>9</v>
      </c>
      <c r="E2630" s="1" t="s">
        <v>20</v>
      </c>
      <c r="F2630" s="1" t="str">
        <f aca="false">TEXT(B2630,"mmm-yyyy")</f>
        <v>Nov-2024</v>
      </c>
    </row>
    <row r="2631" customFormat="false" ht="57.75" hidden="false" customHeight="true" outlineLevel="0" collapsed="false">
      <c r="A2631" s="1" t="n">
        <v>1</v>
      </c>
      <c r="B2631" s="10" t="n">
        <v>45569</v>
      </c>
      <c r="C2631" s="11" t="s">
        <v>2649</v>
      </c>
      <c r="D2631" s="1" t="s">
        <v>9</v>
      </c>
      <c r="E2631" s="1" t="s">
        <v>20</v>
      </c>
      <c r="F2631" s="1" t="str">
        <f aca="false">TEXT(B2631,"mmm-yyyy")</f>
        <v>Oct-2024</v>
      </c>
    </row>
    <row r="2632" customFormat="false" ht="28.5" hidden="false" customHeight="true" outlineLevel="0" collapsed="false">
      <c r="A2632" s="1" t="n">
        <v>5</v>
      </c>
      <c r="B2632" s="10" t="n">
        <v>45651</v>
      </c>
      <c r="C2632" s="11" t="s">
        <v>2650</v>
      </c>
      <c r="D2632" s="1" t="s">
        <v>9</v>
      </c>
      <c r="E2632" s="1" t="s">
        <v>18</v>
      </c>
      <c r="F2632" s="1" t="str">
        <f aca="false">TEXT(B2632,"mmm-yyyy")</f>
        <v>Dec-2024</v>
      </c>
    </row>
    <row r="2633" customFormat="false" ht="43.5" hidden="false" customHeight="true" outlineLevel="0" collapsed="false">
      <c r="A2633" s="1" t="n">
        <v>3</v>
      </c>
      <c r="B2633" s="10" t="n">
        <v>45562</v>
      </c>
      <c r="C2633" s="11" t="s">
        <v>2651</v>
      </c>
      <c r="D2633" s="1" t="s">
        <v>9</v>
      </c>
      <c r="E2633" s="1" t="s">
        <v>20</v>
      </c>
      <c r="F2633" s="1" t="str">
        <f aca="false">TEXT(B2633,"mmm-yyyy")</f>
        <v>Sep-2024</v>
      </c>
    </row>
    <row r="2634" customFormat="false" ht="130.5" hidden="false" customHeight="true" outlineLevel="0" collapsed="false">
      <c r="A2634" s="1" t="n">
        <v>1</v>
      </c>
      <c r="B2634" s="10" t="n">
        <v>45644</v>
      </c>
      <c r="C2634" s="11" t="s">
        <v>2652</v>
      </c>
      <c r="D2634" s="1" t="s">
        <v>9</v>
      </c>
      <c r="E2634" s="1" t="s">
        <v>18</v>
      </c>
      <c r="F2634" s="1" t="str">
        <f aca="false">TEXT(B2634,"mmm-yyyy")</f>
        <v>Dec-2024</v>
      </c>
    </row>
    <row r="2635" customFormat="false" ht="101.25" hidden="false" customHeight="true" outlineLevel="0" collapsed="false">
      <c r="A2635" s="1" t="n">
        <v>1</v>
      </c>
      <c r="B2635" s="10" t="n">
        <v>45570</v>
      </c>
      <c r="C2635" s="11" t="s">
        <v>2653</v>
      </c>
      <c r="D2635" s="1" t="s">
        <v>9</v>
      </c>
      <c r="E2635" s="1" t="s">
        <v>18</v>
      </c>
      <c r="F2635" s="1" t="str">
        <f aca="false">TEXT(B2635,"mmm-yyyy")</f>
        <v>Oct-2024</v>
      </c>
    </row>
    <row r="2636" customFormat="false" ht="28.5" hidden="false" customHeight="true" outlineLevel="0" collapsed="false">
      <c r="A2636" s="1" t="n">
        <v>4</v>
      </c>
      <c r="B2636" s="10" t="n">
        <v>45585</v>
      </c>
      <c r="C2636" s="11" t="s">
        <v>2654</v>
      </c>
      <c r="D2636" s="1" t="s">
        <v>9</v>
      </c>
      <c r="E2636" s="1" t="s">
        <v>18</v>
      </c>
      <c r="F2636" s="1" t="str">
        <f aca="false">TEXT(B2636,"mmm-yyyy")</f>
        <v>Oct-2024</v>
      </c>
    </row>
    <row r="2637" customFormat="false" ht="28.5" hidden="false" customHeight="true" outlineLevel="0" collapsed="false">
      <c r="A2637" s="1" t="n">
        <v>5</v>
      </c>
      <c r="B2637" s="10" t="n">
        <v>45642</v>
      </c>
      <c r="C2637" s="11" t="s">
        <v>2655</v>
      </c>
      <c r="D2637" s="1" t="s">
        <v>9</v>
      </c>
      <c r="E2637" s="1" t="s">
        <v>18</v>
      </c>
      <c r="F2637" s="1" t="str">
        <f aca="false">TEXT(B2637,"mmm-yyyy")</f>
        <v>Dec-2024</v>
      </c>
    </row>
    <row r="2638" customFormat="false" ht="28.5" hidden="false" customHeight="true" outlineLevel="0" collapsed="false">
      <c r="A2638" s="1" t="n">
        <v>5</v>
      </c>
      <c r="B2638" s="10" t="n">
        <v>45650</v>
      </c>
      <c r="C2638" s="11" t="s">
        <v>2656</v>
      </c>
      <c r="D2638" s="1" t="s">
        <v>9</v>
      </c>
      <c r="E2638" s="1" t="s">
        <v>32</v>
      </c>
      <c r="F2638" s="1" t="str">
        <f aca="false">TEXT(B2638,"mmm-yyyy")</f>
        <v>Dec-2024</v>
      </c>
    </row>
    <row r="2639" customFormat="false" ht="28.5" hidden="false" customHeight="true" outlineLevel="0" collapsed="false">
      <c r="A2639" s="1" t="n">
        <v>1</v>
      </c>
      <c r="B2639" s="10" t="n">
        <v>45649</v>
      </c>
      <c r="C2639" s="11" t="s">
        <v>2657</v>
      </c>
      <c r="D2639" s="1" t="s">
        <v>9</v>
      </c>
      <c r="E2639" s="1" t="s">
        <v>20</v>
      </c>
      <c r="F2639" s="1" t="str">
        <f aca="false">TEXT(B2639,"mmm-yyyy")</f>
        <v>Dec-2024</v>
      </c>
    </row>
    <row r="2640" customFormat="false" ht="72" hidden="false" customHeight="true" outlineLevel="0" collapsed="false">
      <c r="A2640" s="1" t="n">
        <v>1</v>
      </c>
      <c r="B2640" s="10" t="n">
        <v>45602</v>
      </c>
      <c r="C2640" s="11" t="s">
        <v>2658</v>
      </c>
      <c r="D2640" s="1" t="s">
        <v>9</v>
      </c>
      <c r="E2640" s="1" t="s">
        <v>20</v>
      </c>
      <c r="F2640" s="1" t="str">
        <f aca="false">TEXT(B2640,"mmm-yyyy")</f>
        <v>Nov-2024</v>
      </c>
    </row>
    <row r="2641" customFormat="false" ht="130.5" hidden="false" customHeight="true" outlineLevel="0" collapsed="false">
      <c r="A2641" s="1" t="n">
        <v>1</v>
      </c>
      <c r="B2641" s="10" t="n">
        <v>45651</v>
      </c>
      <c r="C2641" s="11" t="s">
        <v>2659</v>
      </c>
      <c r="D2641" s="1" t="s">
        <v>9</v>
      </c>
      <c r="E2641" s="1" t="s">
        <v>20</v>
      </c>
      <c r="F2641" s="1" t="str">
        <f aca="false">TEXT(B2641,"mmm-yyyy")</f>
        <v>Dec-2024</v>
      </c>
    </row>
    <row r="2642" customFormat="false" ht="57.75" hidden="false" customHeight="true" outlineLevel="0" collapsed="false">
      <c r="A2642" s="1" t="n">
        <v>1</v>
      </c>
      <c r="B2642" s="10" t="n">
        <v>45612</v>
      </c>
      <c r="C2642" s="11" t="s">
        <v>2660</v>
      </c>
      <c r="D2642" s="1" t="s">
        <v>9</v>
      </c>
      <c r="E2642" s="1" t="s">
        <v>20</v>
      </c>
      <c r="F2642" s="1" t="str">
        <f aca="false">TEXT(B2642,"mmm-yyyy")</f>
        <v>Nov-2024</v>
      </c>
    </row>
    <row r="2643" customFormat="false" ht="57.75" hidden="false" customHeight="true" outlineLevel="0" collapsed="false">
      <c r="A2643" s="1" t="n">
        <v>1</v>
      </c>
      <c r="B2643" s="10" t="n">
        <v>45656</v>
      </c>
      <c r="C2643" s="11" t="s">
        <v>2661</v>
      </c>
      <c r="D2643" s="1" t="s">
        <v>9</v>
      </c>
      <c r="E2643" s="1" t="s">
        <v>20</v>
      </c>
      <c r="F2643" s="1" t="str">
        <f aca="false">TEXT(B2643,"mmm-yyyy")</f>
        <v>Dec-2024</v>
      </c>
    </row>
    <row r="2644" customFormat="false" ht="72" hidden="false" customHeight="true" outlineLevel="0" collapsed="false">
      <c r="A2644" s="1" t="n">
        <v>1</v>
      </c>
      <c r="B2644" s="10" t="n">
        <v>45569</v>
      </c>
      <c r="C2644" s="11" t="s">
        <v>2662</v>
      </c>
      <c r="D2644" s="1" t="s">
        <v>9</v>
      </c>
      <c r="E2644" s="1" t="s">
        <v>20</v>
      </c>
      <c r="F2644" s="1" t="str">
        <f aca="false">TEXT(B2644,"mmm-yyyy")</f>
        <v>Oct-2024</v>
      </c>
    </row>
    <row r="2645" customFormat="false" ht="28.5" hidden="false" customHeight="true" outlineLevel="0" collapsed="false">
      <c r="A2645" s="1" t="n">
        <v>1</v>
      </c>
      <c r="B2645" s="10" t="n">
        <v>45639</v>
      </c>
      <c r="C2645" s="11" t="s">
        <v>2663</v>
      </c>
      <c r="D2645" s="1" t="s">
        <v>9</v>
      </c>
      <c r="E2645" s="1" t="s">
        <v>20</v>
      </c>
      <c r="F2645" s="1" t="str">
        <f aca="false">TEXT(B2645,"mmm-yyyy")</f>
        <v>Dec-2024</v>
      </c>
    </row>
    <row r="2646" customFormat="false" ht="72" hidden="false" customHeight="true" outlineLevel="0" collapsed="false">
      <c r="A2646" s="1" t="n">
        <v>1</v>
      </c>
      <c r="B2646" s="10" t="n">
        <v>45636</v>
      </c>
      <c r="C2646" s="11" t="s">
        <v>2664</v>
      </c>
      <c r="D2646" s="1" t="s">
        <v>9</v>
      </c>
      <c r="E2646" s="1" t="s">
        <v>20</v>
      </c>
      <c r="F2646" s="1" t="str">
        <f aca="false">TEXT(B2646,"mmm-yyyy")</f>
        <v>Dec-2024</v>
      </c>
    </row>
    <row r="2647" customFormat="false" ht="87" hidden="false" customHeight="true" outlineLevel="0" collapsed="false">
      <c r="A2647" s="1" t="n">
        <v>1</v>
      </c>
      <c r="B2647" s="10" t="n">
        <v>44503</v>
      </c>
      <c r="C2647" s="11" t="s">
        <v>2665</v>
      </c>
      <c r="D2647" s="1" t="s">
        <v>9</v>
      </c>
      <c r="E2647" s="1" t="s">
        <v>20</v>
      </c>
      <c r="F2647" s="1" t="str">
        <f aca="false">TEXT(B2647,"mmm-yyyy")</f>
        <v>Nov-2021</v>
      </c>
    </row>
    <row r="2648" customFormat="false" ht="57.75" hidden="false" customHeight="true" outlineLevel="0" collapsed="false">
      <c r="A2648" s="1" t="n">
        <v>1</v>
      </c>
      <c r="B2648" s="10" t="n">
        <v>45507</v>
      </c>
      <c r="C2648" s="11" t="s">
        <v>2666</v>
      </c>
      <c r="D2648" s="1" t="s">
        <v>9</v>
      </c>
      <c r="E2648" s="1" t="s">
        <v>20</v>
      </c>
      <c r="F2648" s="1" t="str">
        <f aca="false">TEXT(B2648,"mmm-yyyy")</f>
        <v>Aug-2024</v>
      </c>
    </row>
    <row r="2649" customFormat="false" ht="115.5" hidden="false" customHeight="true" outlineLevel="0" collapsed="false">
      <c r="A2649" s="1" t="n">
        <v>1</v>
      </c>
      <c r="B2649" s="10" t="n">
        <v>44922</v>
      </c>
      <c r="C2649" s="11" t="s">
        <v>2667</v>
      </c>
      <c r="D2649" s="1" t="s">
        <v>9</v>
      </c>
      <c r="E2649" s="1" t="s">
        <v>20</v>
      </c>
      <c r="F2649" s="1" t="str">
        <f aca="false">TEXT(B2649,"mmm-yyyy")</f>
        <v>Dec-2022</v>
      </c>
    </row>
    <row r="2650" customFormat="false" ht="87" hidden="false" customHeight="true" outlineLevel="0" collapsed="false">
      <c r="A2650" s="1" t="n">
        <v>1</v>
      </c>
      <c r="B2650" s="10" t="n">
        <v>44577</v>
      </c>
      <c r="C2650" s="11" t="s">
        <v>2668</v>
      </c>
      <c r="D2650" s="1" t="s">
        <v>9</v>
      </c>
      <c r="E2650" s="1" t="s">
        <v>18</v>
      </c>
      <c r="F2650" s="1" t="str">
        <f aca="false">TEXT(B2650,"mmm-yyyy")</f>
        <v>Jan-2022</v>
      </c>
    </row>
    <row r="2651" customFormat="false" ht="130.5" hidden="false" customHeight="true" outlineLevel="0" collapsed="false">
      <c r="A2651" s="1" t="n">
        <v>1</v>
      </c>
      <c r="B2651" s="10" t="n">
        <v>44065</v>
      </c>
      <c r="C2651" s="11" t="s">
        <v>2669</v>
      </c>
      <c r="D2651" s="1" t="s">
        <v>9</v>
      </c>
      <c r="E2651" s="1" t="s">
        <v>20</v>
      </c>
      <c r="F2651" s="1" t="str">
        <f aca="false">TEXT(B2651,"mmm-yyyy")</f>
        <v>Aug-2020</v>
      </c>
    </row>
    <row r="2652" customFormat="false" ht="87" hidden="false" customHeight="true" outlineLevel="0" collapsed="false">
      <c r="A2652" s="1" t="n">
        <v>1</v>
      </c>
      <c r="B2652" s="10" t="n">
        <v>45149</v>
      </c>
      <c r="C2652" s="11" t="s">
        <v>2670</v>
      </c>
      <c r="D2652" s="1" t="s">
        <v>9</v>
      </c>
      <c r="E2652" s="1" t="s">
        <v>32</v>
      </c>
      <c r="F2652" s="1" t="str">
        <f aca="false">TEXT(B2652,"mmm-yyyy")</f>
        <v>Aug-2023</v>
      </c>
    </row>
    <row r="2653" customFormat="false" ht="87" hidden="false" customHeight="true" outlineLevel="0" collapsed="false">
      <c r="A2653" s="1" t="n">
        <v>1</v>
      </c>
      <c r="B2653" s="10" t="n">
        <v>45068</v>
      </c>
      <c r="C2653" s="11" t="s">
        <v>2671</v>
      </c>
      <c r="D2653" s="1" t="s">
        <v>9</v>
      </c>
      <c r="E2653" s="1" t="s">
        <v>20</v>
      </c>
      <c r="F2653" s="1" t="str">
        <f aca="false">TEXT(B2653,"mmm-yyyy")</f>
        <v>May-2023</v>
      </c>
    </row>
    <row r="2654" customFormat="false" ht="101.25" hidden="false" customHeight="true" outlineLevel="0" collapsed="false">
      <c r="A2654" s="1" t="n">
        <v>4</v>
      </c>
      <c r="B2654" s="10" t="n">
        <v>44299</v>
      </c>
      <c r="C2654" s="11" t="s">
        <v>2672</v>
      </c>
      <c r="D2654" s="1" t="s">
        <v>9</v>
      </c>
      <c r="E2654" s="1" t="s">
        <v>18</v>
      </c>
      <c r="F2654" s="1" t="str">
        <f aca="false">TEXT(B2654,"mmm-yyyy")</f>
        <v>Apr-2021</v>
      </c>
    </row>
    <row r="2655" customFormat="false" ht="87" hidden="false" customHeight="true" outlineLevel="0" collapsed="false">
      <c r="A2655" s="1" t="n">
        <v>1</v>
      </c>
      <c r="B2655" s="10" t="n">
        <v>44045</v>
      </c>
      <c r="C2655" s="11" t="s">
        <v>2673</v>
      </c>
      <c r="D2655" s="1" t="s">
        <v>9</v>
      </c>
      <c r="E2655" s="1" t="s">
        <v>18</v>
      </c>
      <c r="F2655" s="1" t="str">
        <f aca="false">TEXT(B2655,"mmm-yyyy")</f>
        <v>Aug-2020</v>
      </c>
    </row>
    <row r="2656" customFormat="false" ht="130.5" hidden="false" customHeight="true" outlineLevel="0" collapsed="false">
      <c r="A2656" s="1" t="n">
        <v>1</v>
      </c>
      <c r="B2656" s="10" t="n">
        <v>44074</v>
      </c>
      <c r="C2656" s="11" t="s">
        <v>2674</v>
      </c>
      <c r="D2656" s="1" t="s">
        <v>9</v>
      </c>
      <c r="E2656" s="1" t="s">
        <v>20</v>
      </c>
      <c r="F2656" s="1" t="str">
        <f aca="false">TEXT(B2656,"mmm-yyyy")</f>
        <v>Aug-2020</v>
      </c>
    </row>
    <row r="2657" customFormat="false" ht="101.25" hidden="false" customHeight="true" outlineLevel="0" collapsed="false">
      <c r="A2657" s="1" t="n">
        <v>1</v>
      </c>
      <c r="B2657" s="10" t="n">
        <v>44734</v>
      </c>
      <c r="C2657" s="11" t="s">
        <v>2675</v>
      </c>
      <c r="D2657" s="1" t="s">
        <v>9</v>
      </c>
      <c r="E2657" s="1" t="s">
        <v>20</v>
      </c>
      <c r="F2657" s="1" t="str">
        <f aca="false">TEXT(B2657,"mmm-yyyy")</f>
        <v>Jun-2022</v>
      </c>
    </row>
    <row r="2658" customFormat="false" ht="115.5" hidden="false" customHeight="true" outlineLevel="0" collapsed="false">
      <c r="A2658" s="1" t="n">
        <v>1</v>
      </c>
      <c r="B2658" s="10" t="n">
        <v>45106</v>
      </c>
      <c r="C2658" s="11" t="s">
        <v>2676</v>
      </c>
      <c r="D2658" s="1" t="s">
        <v>9</v>
      </c>
      <c r="E2658" s="1" t="s">
        <v>20</v>
      </c>
      <c r="F2658" s="1" t="str">
        <f aca="false">TEXT(B2658,"mmm-yyyy")</f>
        <v>Jun-2023</v>
      </c>
    </row>
    <row r="2659" customFormat="false" ht="115.5" hidden="false" customHeight="true" outlineLevel="0" collapsed="false">
      <c r="A2659" s="1" t="n">
        <v>2</v>
      </c>
      <c r="B2659" s="10" t="n">
        <v>44321</v>
      </c>
      <c r="C2659" s="11" t="s">
        <v>2677</v>
      </c>
      <c r="D2659" s="1" t="s">
        <v>9</v>
      </c>
      <c r="E2659" s="1" t="s">
        <v>20</v>
      </c>
      <c r="F2659" s="1" t="str">
        <f aca="false">TEXT(B2659,"mmm-yyyy")</f>
        <v>May-2021</v>
      </c>
    </row>
    <row r="2660" customFormat="false" ht="28.5" hidden="false" customHeight="true" outlineLevel="0" collapsed="false">
      <c r="A2660" s="1" t="n">
        <v>5</v>
      </c>
      <c r="B2660" s="10" t="n">
        <v>45644</v>
      </c>
      <c r="C2660" s="11" t="s">
        <v>2678</v>
      </c>
      <c r="D2660" s="1" t="s">
        <v>9</v>
      </c>
      <c r="E2660" s="1" t="s">
        <v>18</v>
      </c>
      <c r="F2660" s="1" t="str">
        <f aca="false">TEXT(B2660,"mmm-yyyy")</f>
        <v>Dec-2024</v>
      </c>
    </row>
    <row r="2661" customFormat="false" ht="130.5" hidden="false" customHeight="true" outlineLevel="0" collapsed="false">
      <c r="A2661" s="1" t="n">
        <v>2</v>
      </c>
      <c r="B2661" s="10" t="n">
        <v>45156</v>
      </c>
      <c r="C2661" s="11" t="s">
        <v>2679</v>
      </c>
      <c r="D2661" s="1" t="s">
        <v>9</v>
      </c>
      <c r="E2661" s="1" t="s">
        <v>20</v>
      </c>
      <c r="F2661" s="1" t="str">
        <f aca="false">TEXT(B2661,"mmm-yyyy")</f>
        <v>Aug-2023</v>
      </c>
    </row>
    <row r="2662" customFormat="false" ht="115.5" hidden="false" customHeight="true" outlineLevel="0" collapsed="false">
      <c r="A2662" s="1" t="n">
        <v>1</v>
      </c>
      <c r="B2662" s="10" t="n">
        <v>44234</v>
      </c>
      <c r="C2662" s="11" t="s">
        <v>2680</v>
      </c>
      <c r="D2662" s="1" t="s">
        <v>9</v>
      </c>
      <c r="E2662" s="1" t="s">
        <v>20</v>
      </c>
      <c r="F2662" s="1" t="str">
        <f aca="false">TEXT(B2662,"mmm-yyyy")</f>
        <v>Feb-2021</v>
      </c>
    </row>
    <row r="2663" customFormat="false" ht="115.5" hidden="false" customHeight="true" outlineLevel="0" collapsed="false">
      <c r="A2663" s="1" t="n">
        <v>1</v>
      </c>
      <c r="B2663" s="10" t="n">
        <v>44338</v>
      </c>
      <c r="C2663" s="11" t="s">
        <v>2681</v>
      </c>
      <c r="D2663" s="1" t="s">
        <v>9</v>
      </c>
      <c r="E2663" s="1" t="s">
        <v>32</v>
      </c>
      <c r="F2663" s="1" t="str">
        <f aca="false">TEXT(B2663,"mmm-yyyy")</f>
        <v>May-2021</v>
      </c>
    </row>
    <row r="2664" customFormat="false" ht="115.5" hidden="false" customHeight="true" outlineLevel="0" collapsed="false">
      <c r="A2664" s="1" t="n">
        <v>3</v>
      </c>
      <c r="B2664" s="10" t="n">
        <v>44074</v>
      </c>
      <c r="C2664" s="11" t="s">
        <v>2682</v>
      </c>
      <c r="D2664" s="1" t="s">
        <v>9</v>
      </c>
      <c r="E2664" s="1" t="s">
        <v>18</v>
      </c>
      <c r="F2664" s="1" t="str">
        <f aca="false">TEXT(B2664,"mmm-yyyy")</f>
        <v>Aug-2020</v>
      </c>
    </row>
    <row r="2665" customFormat="false" ht="115.5" hidden="false" customHeight="true" outlineLevel="0" collapsed="false">
      <c r="A2665" s="1" t="n">
        <v>1</v>
      </c>
      <c r="B2665" s="10" t="n">
        <v>44057</v>
      </c>
      <c r="C2665" s="11" t="s">
        <v>2683</v>
      </c>
      <c r="D2665" s="1" t="s">
        <v>9</v>
      </c>
      <c r="E2665" s="1" t="s">
        <v>20</v>
      </c>
      <c r="F2665" s="1" t="str">
        <f aca="false">TEXT(B2665,"mmm-yyyy")</f>
        <v>Aug-2020</v>
      </c>
    </row>
    <row r="2666" customFormat="false" ht="115.5" hidden="false" customHeight="true" outlineLevel="0" collapsed="false">
      <c r="A2666" s="1" t="n">
        <v>1</v>
      </c>
      <c r="B2666" s="10" t="n">
        <v>44291</v>
      </c>
      <c r="C2666" s="11" t="s">
        <v>2684</v>
      </c>
      <c r="D2666" s="1" t="s">
        <v>9</v>
      </c>
      <c r="E2666" s="1" t="s">
        <v>20</v>
      </c>
      <c r="F2666" s="1" t="str">
        <f aca="false">TEXT(B2666,"mmm-yyyy")</f>
        <v>Apr-2021</v>
      </c>
    </row>
    <row r="2667" customFormat="false" ht="87" hidden="false" customHeight="true" outlineLevel="0" collapsed="false">
      <c r="A2667" s="1" t="n">
        <v>1</v>
      </c>
      <c r="B2667" s="10" t="n">
        <v>44899</v>
      </c>
      <c r="C2667" s="11" t="s">
        <v>2685</v>
      </c>
      <c r="D2667" s="1" t="s">
        <v>9</v>
      </c>
      <c r="E2667" s="1" t="s">
        <v>20</v>
      </c>
      <c r="F2667" s="1" t="str">
        <f aca="false">TEXT(B2667,"mmm-yyyy")</f>
        <v>Dec-2022</v>
      </c>
    </row>
    <row r="2668" customFormat="false" ht="87" hidden="false" customHeight="true" outlineLevel="0" collapsed="false">
      <c r="A2668" s="1" t="n">
        <v>1</v>
      </c>
      <c r="B2668" s="10" t="n">
        <v>45426</v>
      </c>
      <c r="C2668" s="11" t="s">
        <v>2686</v>
      </c>
      <c r="D2668" s="1" t="s">
        <v>9</v>
      </c>
      <c r="E2668" s="1" t="s">
        <v>20</v>
      </c>
      <c r="F2668" s="1" t="str">
        <f aca="false">TEXT(B2668,"mmm-yyyy")</f>
        <v>May-2024</v>
      </c>
    </row>
    <row r="2669" customFormat="false" ht="101.25" hidden="false" customHeight="true" outlineLevel="0" collapsed="false">
      <c r="A2669" s="1" t="n">
        <v>1</v>
      </c>
      <c r="B2669" s="10" t="n">
        <v>44126</v>
      </c>
      <c r="C2669" s="11" t="s">
        <v>2687</v>
      </c>
      <c r="D2669" s="1" t="s">
        <v>9</v>
      </c>
      <c r="E2669" s="1" t="s">
        <v>20</v>
      </c>
      <c r="F2669" s="1" t="str">
        <f aca="false">TEXT(B2669,"mmm-yyyy")</f>
        <v>Oct-2020</v>
      </c>
    </row>
    <row r="2670" customFormat="false" ht="72" hidden="false" customHeight="true" outlineLevel="0" collapsed="false">
      <c r="A2670" s="1" t="n">
        <v>1</v>
      </c>
      <c r="B2670" s="10" t="n">
        <v>44107</v>
      </c>
      <c r="C2670" s="11" t="s">
        <v>2688</v>
      </c>
      <c r="D2670" s="1" t="s">
        <v>9</v>
      </c>
      <c r="E2670" s="1" t="s">
        <v>20</v>
      </c>
      <c r="F2670" s="1" t="str">
        <f aca="false">TEXT(B2670,"mmm-yyyy")</f>
        <v>Oct-2020</v>
      </c>
    </row>
    <row r="2671" customFormat="false" ht="101.25" hidden="false" customHeight="true" outlineLevel="0" collapsed="false">
      <c r="A2671" s="1" t="n">
        <v>1</v>
      </c>
      <c r="B2671" s="10" t="n">
        <v>44202</v>
      </c>
      <c r="C2671" s="11" t="s">
        <v>2689</v>
      </c>
      <c r="D2671" s="1" t="s">
        <v>9</v>
      </c>
      <c r="E2671" s="1" t="s">
        <v>20</v>
      </c>
      <c r="F2671" s="1" t="str">
        <f aca="false">TEXT(B2671,"mmm-yyyy")</f>
        <v>Jan-2021</v>
      </c>
    </row>
    <row r="2672" customFormat="false" ht="87" hidden="false" customHeight="true" outlineLevel="0" collapsed="false">
      <c r="A2672" s="1" t="n">
        <v>4</v>
      </c>
      <c r="B2672" s="10" t="n">
        <v>44812</v>
      </c>
      <c r="C2672" s="11" t="s">
        <v>2690</v>
      </c>
      <c r="D2672" s="1" t="s">
        <v>9</v>
      </c>
      <c r="E2672" s="1" t="s">
        <v>20</v>
      </c>
      <c r="F2672" s="1" t="str">
        <f aca="false">TEXT(B2672,"mmm-yyyy")</f>
        <v>Sep-2022</v>
      </c>
    </row>
    <row r="2673" customFormat="false" ht="130.5" hidden="false" customHeight="true" outlineLevel="0" collapsed="false">
      <c r="A2673" s="1" t="n">
        <v>1</v>
      </c>
      <c r="B2673" s="10" t="n">
        <v>45413</v>
      </c>
      <c r="C2673" s="11" t="s">
        <v>2691</v>
      </c>
      <c r="D2673" s="1" t="s">
        <v>9</v>
      </c>
      <c r="E2673" s="1" t="s">
        <v>18</v>
      </c>
      <c r="F2673" s="1" t="str">
        <f aca="false">TEXT(B2673,"mmm-yyyy")</f>
        <v>May-2024</v>
      </c>
    </row>
    <row r="2674" customFormat="false" ht="87" hidden="false" customHeight="true" outlineLevel="0" collapsed="false">
      <c r="A2674" s="1" t="n">
        <v>1</v>
      </c>
      <c r="B2674" s="10" t="n">
        <v>44076</v>
      </c>
      <c r="C2674" s="11" t="s">
        <v>2692</v>
      </c>
      <c r="D2674" s="1" t="s">
        <v>9</v>
      </c>
      <c r="E2674" s="1" t="s">
        <v>20</v>
      </c>
      <c r="F2674" s="1" t="str">
        <f aca="false">TEXT(B2674,"mmm-yyyy")</f>
        <v>Sep-2020</v>
      </c>
    </row>
    <row r="2675" customFormat="false" ht="101.25" hidden="false" customHeight="true" outlineLevel="0" collapsed="false">
      <c r="A2675" s="1" t="n">
        <v>1</v>
      </c>
      <c r="B2675" s="10" t="n">
        <v>44652</v>
      </c>
      <c r="C2675" s="11" t="s">
        <v>2693</v>
      </c>
      <c r="D2675" s="1" t="s">
        <v>9</v>
      </c>
      <c r="E2675" s="1" t="s">
        <v>18</v>
      </c>
      <c r="F2675" s="1" t="str">
        <f aca="false">TEXT(B2675,"mmm-yyyy")</f>
        <v>Apr-2022</v>
      </c>
    </row>
    <row r="2676" customFormat="false" ht="130.5" hidden="false" customHeight="true" outlineLevel="0" collapsed="false">
      <c r="A2676" s="1" t="n">
        <v>1</v>
      </c>
      <c r="B2676" s="10" t="n">
        <v>44833</v>
      </c>
      <c r="C2676" s="11" t="s">
        <v>2694</v>
      </c>
      <c r="D2676" s="1" t="s">
        <v>9</v>
      </c>
      <c r="E2676" s="1" t="s">
        <v>20</v>
      </c>
      <c r="F2676" s="1" t="str">
        <f aca="false">TEXT(B2676,"mmm-yyyy")</f>
        <v>Sep-2022</v>
      </c>
    </row>
    <row r="2677" customFormat="false" ht="130.5" hidden="false" customHeight="true" outlineLevel="0" collapsed="false">
      <c r="A2677" s="1" t="n">
        <v>1</v>
      </c>
      <c r="B2677" s="10" t="n">
        <v>44914</v>
      </c>
      <c r="C2677" s="11" t="s">
        <v>2695</v>
      </c>
      <c r="D2677" s="1" t="s">
        <v>9</v>
      </c>
      <c r="E2677" s="1" t="s">
        <v>20</v>
      </c>
      <c r="F2677" s="1" t="str">
        <f aca="false">TEXT(B2677,"mmm-yyyy")</f>
        <v>Dec-2022</v>
      </c>
    </row>
    <row r="2678" customFormat="false" ht="14.25" hidden="false" customHeight="true" outlineLevel="0" collapsed="false">
      <c r="A2678" s="1" t="n">
        <v>5</v>
      </c>
      <c r="B2678" s="10" t="n">
        <v>45641</v>
      </c>
      <c r="C2678" s="1" t="s">
        <v>2696</v>
      </c>
      <c r="D2678" s="1" t="s">
        <v>9</v>
      </c>
      <c r="E2678" s="1" t="s">
        <v>18</v>
      </c>
      <c r="F2678" s="1" t="str">
        <f aca="false">TEXT(B2678,"mmm-yyyy")</f>
        <v>Dec-2024</v>
      </c>
    </row>
    <row r="2679" customFormat="false" ht="115.5" hidden="false" customHeight="true" outlineLevel="0" collapsed="false">
      <c r="A2679" s="1" t="n">
        <v>1</v>
      </c>
      <c r="B2679" s="10" t="n">
        <v>44052</v>
      </c>
      <c r="C2679" s="11" t="s">
        <v>2697</v>
      </c>
      <c r="D2679" s="1" t="s">
        <v>9</v>
      </c>
      <c r="E2679" s="1" t="s">
        <v>20</v>
      </c>
      <c r="F2679" s="1" t="str">
        <f aca="false">TEXT(B2679,"mmm-yyyy")</f>
        <v>Aug-2020</v>
      </c>
    </row>
    <row r="2680" customFormat="false" ht="101.25" hidden="false" customHeight="true" outlineLevel="0" collapsed="false">
      <c r="A2680" s="1" t="n">
        <v>2</v>
      </c>
      <c r="B2680" s="10" t="n">
        <v>45102</v>
      </c>
      <c r="C2680" s="11" t="s">
        <v>2698</v>
      </c>
      <c r="D2680" s="1" t="s">
        <v>9</v>
      </c>
      <c r="E2680" s="1" t="s">
        <v>18</v>
      </c>
      <c r="F2680" s="1" t="str">
        <f aca="false">TEXT(B2680,"mmm-yyyy")</f>
        <v>Jun-2023</v>
      </c>
    </row>
    <row r="2681" customFormat="false" ht="130.5" hidden="false" customHeight="true" outlineLevel="0" collapsed="false">
      <c r="A2681" s="1" t="n">
        <v>1</v>
      </c>
      <c r="B2681" s="10" t="n">
        <v>44984</v>
      </c>
      <c r="C2681" s="11" t="s">
        <v>2699</v>
      </c>
      <c r="D2681" s="1" t="s">
        <v>9</v>
      </c>
      <c r="E2681" s="1" t="s">
        <v>20</v>
      </c>
      <c r="F2681" s="1" t="str">
        <f aca="false">TEXT(B2681,"mmm-yyyy")</f>
        <v>Feb-2023</v>
      </c>
    </row>
    <row r="2682" customFormat="false" ht="115.5" hidden="false" customHeight="true" outlineLevel="0" collapsed="false">
      <c r="A2682" s="1" t="n">
        <v>1</v>
      </c>
      <c r="B2682" s="10" t="n">
        <v>44463</v>
      </c>
      <c r="C2682" s="11" t="s">
        <v>2700</v>
      </c>
      <c r="D2682" s="1" t="s">
        <v>9</v>
      </c>
      <c r="E2682" s="1" t="s">
        <v>20</v>
      </c>
      <c r="F2682" s="1" t="str">
        <f aca="false">TEXT(B2682,"mmm-yyyy")</f>
        <v>Sep-2021</v>
      </c>
    </row>
    <row r="2683" customFormat="false" ht="101.25" hidden="false" customHeight="true" outlineLevel="0" collapsed="false">
      <c r="A2683" s="1" t="n">
        <v>3</v>
      </c>
      <c r="B2683" s="10" t="n">
        <v>44156</v>
      </c>
      <c r="C2683" s="11" t="s">
        <v>2701</v>
      </c>
      <c r="D2683" s="1" t="s">
        <v>9</v>
      </c>
      <c r="E2683" s="1" t="s">
        <v>18</v>
      </c>
      <c r="F2683" s="1" t="str">
        <f aca="false">TEXT(B2683,"mmm-yyyy")</f>
        <v>Nov-2020</v>
      </c>
    </row>
    <row r="2684" customFormat="false" ht="130.5" hidden="false" customHeight="true" outlineLevel="0" collapsed="false">
      <c r="A2684" s="1" t="n">
        <v>1</v>
      </c>
      <c r="B2684" s="10" t="n">
        <v>44181</v>
      </c>
      <c r="C2684" s="11" t="s">
        <v>2702</v>
      </c>
      <c r="D2684" s="1" t="s">
        <v>9</v>
      </c>
      <c r="E2684" s="1" t="s">
        <v>20</v>
      </c>
      <c r="F2684" s="1" t="str">
        <f aca="false">TEXT(B2684,"mmm-yyyy")</f>
        <v>Dec-2020</v>
      </c>
    </row>
    <row r="2685" customFormat="false" ht="87" hidden="false" customHeight="true" outlineLevel="0" collapsed="false">
      <c r="A2685" s="1" t="n">
        <v>1</v>
      </c>
      <c r="B2685" s="10" t="n">
        <v>45035</v>
      </c>
      <c r="C2685" s="11" t="s">
        <v>2703</v>
      </c>
      <c r="D2685" s="1" t="s">
        <v>9</v>
      </c>
      <c r="E2685" s="1" t="s">
        <v>20</v>
      </c>
      <c r="F2685" s="1" t="str">
        <f aca="false">TEXT(B2685,"mmm-yyyy")</f>
        <v>Apr-2023</v>
      </c>
    </row>
    <row r="2686" customFormat="false" ht="115.5" hidden="false" customHeight="true" outlineLevel="0" collapsed="false">
      <c r="A2686" s="1" t="n">
        <v>1</v>
      </c>
      <c r="B2686" s="10" t="n">
        <v>44077</v>
      </c>
      <c r="C2686" s="11" t="s">
        <v>2704</v>
      </c>
      <c r="D2686" s="1" t="s">
        <v>9</v>
      </c>
      <c r="E2686" s="1" t="s">
        <v>20</v>
      </c>
      <c r="F2686" s="1" t="str">
        <f aca="false">TEXT(B2686,"mmm-yyyy")</f>
        <v>Sep-2020</v>
      </c>
    </row>
    <row r="2687" customFormat="false" ht="101.25" hidden="false" customHeight="true" outlineLevel="0" collapsed="false">
      <c r="A2687" s="1" t="n">
        <v>1</v>
      </c>
      <c r="B2687" s="10" t="n">
        <v>44207</v>
      </c>
      <c r="C2687" s="11" t="s">
        <v>2705</v>
      </c>
      <c r="D2687" s="1" t="s">
        <v>9</v>
      </c>
      <c r="E2687" s="1" t="s">
        <v>20</v>
      </c>
      <c r="F2687" s="1" t="str">
        <f aca="false">TEXT(B2687,"mmm-yyyy")</f>
        <v>Jan-2021</v>
      </c>
    </row>
    <row r="2688" customFormat="false" ht="130.5" hidden="false" customHeight="true" outlineLevel="0" collapsed="false">
      <c r="A2688" s="1" t="n">
        <v>1</v>
      </c>
      <c r="B2688" s="10" t="n">
        <v>44079</v>
      </c>
      <c r="C2688" s="11" t="s">
        <v>2706</v>
      </c>
      <c r="D2688" s="1" t="s">
        <v>9</v>
      </c>
      <c r="E2688" s="1" t="s">
        <v>20</v>
      </c>
      <c r="F2688" s="1" t="str">
        <f aca="false">TEXT(B2688,"mmm-yyyy")</f>
        <v>Sep-2020</v>
      </c>
    </row>
    <row r="2689" customFormat="false" ht="101.25" hidden="false" customHeight="true" outlineLevel="0" collapsed="false">
      <c r="A2689" s="1" t="n">
        <v>3</v>
      </c>
      <c r="B2689" s="10" t="n">
        <v>44084</v>
      </c>
      <c r="C2689" s="11" t="s">
        <v>2707</v>
      </c>
      <c r="D2689" s="1" t="s">
        <v>9</v>
      </c>
      <c r="E2689" s="1" t="s">
        <v>20</v>
      </c>
      <c r="F2689" s="1" t="str">
        <f aca="false">TEXT(B2689,"mmm-yyyy")</f>
        <v>Sep-2020</v>
      </c>
    </row>
    <row r="2690" customFormat="false" ht="101.25" hidden="false" customHeight="true" outlineLevel="0" collapsed="false">
      <c r="A2690" s="1" t="n">
        <v>1</v>
      </c>
      <c r="B2690" s="10" t="n">
        <v>44202</v>
      </c>
      <c r="C2690" s="11" t="s">
        <v>2708</v>
      </c>
      <c r="D2690" s="1" t="s">
        <v>9</v>
      </c>
      <c r="E2690" s="1" t="s">
        <v>20</v>
      </c>
      <c r="F2690" s="1" t="str">
        <f aca="false">TEXT(B2690,"mmm-yyyy")</f>
        <v>Jan-2021</v>
      </c>
    </row>
    <row r="2691" customFormat="false" ht="87" hidden="false" customHeight="true" outlineLevel="0" collapsed="false">
      <c r="A2691" s="1" t="n">
        <v>1</v>
      </c>
      <c r="B2691" s="10" t="n">
        <v>44336</v>
      </c>
      <c r="C2691" s="11" t="s">
        <v>2709</v>
      </c>
      <c r="D2691" s="1" t="s">
        <v>9</v>
      </c>
      <c r="E2691" s="1" t="s">
        <v>20</v>
      </c>
      <c r="F2691" s="1" t="str">
        <f aca="false">TEXT(B2691,"mmm-yyyy")</f>
        <v>May-2021</v>
      </c>
    </row>
    <row r="2692" customFormat="false" ht="130.5" hidden="false" customHeight="true" outlineLevel="0" collapsed="false">
      <c r="A2692" s="1" t="n">
        <v>1</v>
      </c>
      <c r="B2692" s="10" t="n">
        <v>45390</v>
      </c>
      <c r="C2692" s="11" t="s">
        <v>2710</v>
      </c>
      <c r="D2692" s="1" t="s">
        <v>9</v>
      </c>
      <c r="E2692" s="1" t="s">
        <v>20</v>
      </c>
      <c r="F2692" s="1" t="str">
        <f aca="false">TEXT(B2692,"mmm-yyyy")</f>
        <v>Apr-2024</v>
      </c>
    </row>
    <row r="2693" customFormat="false" ht="130.5" hidden="false" customHeight="true" outlineLevel="0" collapsed="false">
      <c r="A2693" s="1" t="n">
        <v>1</v>
      </c>
      <c r="B2693" s="10" t="n">
        <v>45132</v>
      </c>
      <c r="C2693" s="11" t="s">
        <v>2711</v>
      </c>
      <c r="D2693" s="1" t="s">
        <v>9</v>
      </c>
      <c r="E2693" s="1" t="s">
        <v>18</v>
      </c>
      <c r="F2693" s="1" t="str">
        <f aca="false">TEXT(B2693,"mmm-yyyy")</f>
        <v>Jul-2023</v>
      </c>
    </row>
    <row r="2694" customFormat="false" ht="130.5" hidden="false" customHeight="true" outlineLevel="0" collapsed="false">
      <c r="A2694" s="1" t="n">
        <v>1</v>
      </c>
      <c r="B2694" s="10" t="n">
        <v>44425</v>
      </c>
      <c r="C2694" s="11" t="s">
        <v>2712</v>
      </c>
      <c r="D2694" s="1" t="s">
        <v>9</v>
      </c>
      <c r="E2694" s="1" t="s">
        <v>20</v>
      </c>
      <c r="F2694" s="1" t="str">
        <f aca="false">TEXT(B2694,"mmm-yyyy")</f>
        <v>Aug-2021</v>
      </c>
    </row>
    <row r="2695" customFormat="false" ht="72" hidden="false" customHeight="true" outlineLevel="0" collapsed="false">
      <c r="A2695" s="1" t="n">
        <v>2</v>
      </c>
      <c r="B2695" s="10" t="n">
        <v>44138</v>
      </c>
      <c r="C2695" s="11" t="s">
        <v>2713</v>
      </c>
      <c r="D2695" s="1" t="s">
        <v>9</v>
      </c>
      <c r="E2695" s="1" t="s">
        <v>20</v>
      </c>
      <c r="F2695" s="1" t="str">
        <f aca="false">TEXT(B2695,"mmm-yyyy")</f>
        <v>Nov-2020</v>
      </c>
    </row>
    <row r="2696" customFormat="false" ht="130.5" hidden="false" customHeight="true" outlineLevel="0" collapsed="false">
      <c r="A2696" s="1" t="n">
        <v>2</v>
      </c>
      <c r="B2696" s="10" t="n">
        <v>44042</v>
      </c>
      <c r="C2696" s="11" t="s">
        <v>2714</v>
      </c>
      <c r="D2696" s="1" t="s">
        <v>9</v>
      </c>
      <c r="E2696" s="1" t="s">
        <v>18</v>
      </c>
      <c r="F2696" s="1" t="str">
        <f aca="false">TEXT(B2696,"mmm-yyyy")</f>
        <v>Jul-2020</v>
      </c>
    </row>
    <row r="2697" customFormat="false" ht="101.25" hidden="false" customHeight="true" outlineLevel="0" collapsed="false">
      <c r="A2697" s="1" t="n">
        <v>1</v>
      </c>
      <c r="B2697" s="10" t="n">
        <v>44144</v>
      </c>
      <c r="C2697" s="11" t="s">
        <v>2715</v>
      </c>
      <c r="D2697" s="1" t="s">
        <v>9</v>
      </c>
      <c r="E2697" s="1" t="s">
        <v>20</v>
      </c>
      <c r="F2697" s="1" t="str">
        <f aca="false">TEXT(B2697,"mmm-yyyy")</f>
        <v>Nov-2020</v>
      </c>
    </row>
    <row r="2698" customFormat="false" ht="101.25" hidden="false" customHeight="true" outlineLevel="0" collapsed="false">
      <c r="A2698" s="1" t="n">
        <v>1</v>
      </c>
      <c r="B2698" s="10" t="n">
        <v>45615</v>
      </c>
      <c r="C2698" s="11" t="s">
        <v>2716</v>
      </c>
      <c r="D2698" s="1" t="s">
        <v>9</v>
      </c>
      <c r="E2698" s="1" t="s">
        <v>20</v>
      </c>
      <c r="F2698" s="1" t="str">
        <f aca="false">TEXT(B2698,"mmm-yyyy")</f>
        <v>Nov-2024</v>
      </c>
    </row>
    <row r="2699" customFormat="false" ht="57.75" hidden="false" customHeight="true" outlineLevel="0" collapsed="false">
      <c r="A2699" s="1" t="n">
        <v>1</v>
      </c>
      <c r="B2699" s="10" t="n">
        <v>45579</v>
      </c>
      <c r="C2699" s="11" t="s">
        <v>2717</v>
      </c>
      <c r="D2699" s="1" t="s">
        <v>9</v>
      </c>
      <c r="E2699" s="1" t="s">
        <v>20</v>
      </c>
      <c r="F2699" s="1" t="str">
        <f aca="false">TEXT(B2699,"mmm-yyyy")</f>
        <v>Oct-2024</v>
      </c>
    </row>
    <row r="2700" customFormat="false" ht="144.75" hidden="false" customHeight="true" outlineLevel="0" collapsed="false">
      <c r="A2700" s="1" t="n">
        <v>1</v>
      </c>
      <c r="B2700" s="10" t="n">
        <v>44829</v>
      </c>
      <c r="C2700" s="11" t="s">
        <v>2718</v>
      </c>
      <c r="D2700" s="1" t="s">
        <v>9</v>
      </c>
      <c r="E2700" s="1" t="s">
        <v>20</v>
      </c>
      <c r="F2700" s="1" t="str">
        <f aca="false">TEXT(B2700,"mmm-yyyy")</f>
        <v>Sep-2022</v>
      </c>
    </row>
    <row r="2701" customFormat="false" ht="101.25" hidden="false" customHeight="true" outlineLevel="0" collapsed="false">
      <c r="A2701" s="1" t="n">
        <v>1</v>
      </c>
      <c r="B2701" s="10" t="n">
        <v>45337</v>
      </c>
      <c r="C2701" s="11" t="s">
        <v>2719</v>
      </c>
      <c r="D2701" s="1" t="s">
        <v>9</v>
      </c>
      <c r="E2701" s="1" t="s">
        <v>20</v>
      </c>
      <c r="F2701" s="1" t="str">
        <f aca="false">TEXT(B2701,"mmm-yyyy")</f>
        <v>Feb-2024</v>
      </c>
    </row>
    <row r="2702" customFormat="false" ht="115.5" hidden="false" customHeight="true" outlineLevel="0" collapsed="false">
      <c r="A2702" s="1" t="n">
        <v>1</v>
      </c>
      <c r="B2702" s="10" t="n">
        <v>44450</v>
      </c>
      <c r="C2702" s="11" t="s">
        <v>2720</v>
      </c>
      <c r="D2702" s="1" t="s">
        <v>9</v>
      </c>
      <c r="E2702" s="1" t="s">
        <v>20</v>
      </c>
      <c r="F2702" s="1" t="str">
        <f aca="false">TEXT(B2702,"mmm-yyyy")</f>
        <v>Sep-2021</v>
      </c>
    </row>
    <row r="2703" customFormat="false" ht="130.5" hidden="false" customHeight="true" outlineLevel="0" collapsed="false">
      <c r="A2703" s="1" t="n">
        <v>1</v>
      </c>
      <c r="B2703" s="10" t="n">
        <v>44351</v>
      </c>
      <c r="C2703" s="11" t="s">
        <v>2721</v>
      </c>
      <c r="D2703" s="1" t="s">
        <v>9</v>
      </c>
      <c r="E2703" s="1" t="s">
        <v>20</v>
      </c>
      <c r="F2703" s="1" t="str">
        <f aca="false">TEXT(B2703,"mmm-yyyy")</f>
        <v>Jun-2021</v>
      </c>
    </row>
    <row r="2704" customFormat="false" ht="130.5" hidden="false" customHeight="true" outlineLevel="0" collapsed="false">
      <c r="A2704" s="1" t="n">
        <v>1</v>
      </c>
      <c r="B2704" s="10" t="n">
        <v>45027</v>
      </c>
      <c r="C2704" s="11" t="s">
        <v>2722</v>
      </c>
      <c r="D2704" s="1" t="s">
        <v>9</v>
      </c>
      <c r="E2704" s="1" t="s">
        <v>20</v>
      </c>
      <c r="F2704" s="1" t="str">
        <f aca="false">TEXT(B2704,"mmm-yyyy")</f>
        <v>Apr-2023</v>
      </c>
    </row>
    <row r="2705" customFormat="false" ht="101.25" hidden="false" customHeight="true" outlineLevel="0" collapsed="false">
      <c r="A2705" s="1" t="n">
        <v>1</v>
      </c>
      <c r="B2705" s="10" t="n">
        <v>45006</v>
      </c>
      <c r="C2705" s="11" t="s">
        <v>2723</v>
      </c>
      <c r="D2705" s="1" t="s">
        <v>9</v>
      </c>
      <c r="E2705" s="1" t="s">
        <v>20</v>
      </c>
      <c r="F2705" s="1" t="str">
        <f aca="false">TEXT(B2705,"mmm-yyyy")</f>
        <v>Mar-2023</v>
      </c>
    </row>
    <row r="2706" customFormat="false" ht="130.5" hidden="false" customHeight="true" outlineLevel="0" collapsed="false">
      <c r="A2706" s="1" t="n">
        <v>1</v>
      </c>
      <c r="B2706" s="10" t="n">
        <v>45258</v>
      </c>
      <c r="C2706" s="11" t="s">
        <v>2724</v>
      </c>
      <c r="D2706" s="1" t="s">
        <v>9</v>
      </c>
      <c r="E2706" s="1" t="s">
        <v>20</v>
      </c>
      <c r="F2706" s="1" t="str">
        <f aca="false">TEXT(B2706,"mmm-yyyy")</f>
        <v>Nov-2023</v>
      </c>
    </row>
    <row r="2707" customFormat="false" ht="87" hidden="false" customHeight="true" outlineLevel="0" collapsed="false">
      <c r="A2707" s="1" t="n">
        <v>2</v>
      </c>
      <c r="B2707" s="10" t="n">
        <v>44219</v>
      </c>
      <c r="C2707" s="11" t="s">
        <v>2725</v>
      </c>
      <c r="D2707" s="1" t="s">
        <v>9</v>
      </c>
      <c r="E2707" s="1" t="s">
        <v>18</v>
      </c>
      <c r="F2707" s="1" t="str">
        <f aca="false">TEXT(B2707,"mmm-yyyy")</f>
        <v>Jan-2021</v>
      </c>
    </row>
    <row r="2708" customFormat="false" ht="115.5" hidden="false" customHeight="true" outlineLevel="0" collapsed="false">
      <c r="A2708" s="1" t="n">
        <v>1</v>
      </c>
      <c r="B2708" s="10" t="n">
        <v>45130</v>
      </c>
      <c r="C2708" s="11" t="s">
        <v>2726</v>
      </c>
      <c r="D2708" s="1" t="s">
        <v>9</v>
      </c>
      <c r="E2708" s="1" t="s">
        <v>20</v>
      </c>
      <c r="F2708" s="1" t="str">
        <f aca="false">TEXT(B2708,"mmm-yyyy")</f>
        <v>Jul-2023</v>
      </c>
    </row>
    <row r="2709" customFormat="false" ht="101.25" hidden="false" customHeight="true" outlineLevel="0" collapsed="false">
      <c r="A2709" s="1" t="n">
        <v>1</v>
      </c>
      <c r="B2709" s="10" t="n">
        <v>45405</v>
      </c>
      <c r="C2709" s="11" t="s">
        <v>2727</v>
      </c>
      <c r="D2709" s="1" t="s">
        <v>9</v>
      </c>
      <c r="E2709" s="1" t="s">
        <v>20</v>
      </c>
      <c r="F2709" s="1" t="str">
        <f aca="false">TEXT(B2709,"mmm-yyyy")</f>
        <v>Apr-2024</v>
      </c>
    </row>
    <row r="2710" customFormat="false" ht="101.25" hidden="false" customHeight="true" outlineLevel="0" collapsed="false">
      <c r="A2710" s="1" t="n">
        <v>1</v>
      </c>
      <c r="B2710" s="10" t="n">
        <v>44663</v>
      </c>
      <c r="C2710" s="11" t="s">
        <v>2728</v>
      </c>
      <c r="D2710" s="1" t="s">
        <v>9</v>
      </c>
      <c r="E2710" s="1" t="s">
        <v>20</v>
      </c>
      <c r="F2710" s="1" t="str">
        <f aca="false">TEXT(B2710,"mmm-yyyy")</f>
        <v>Apr-2022</v>
      </c>
    </row>
    <row r="2711" customFormat="false" ht="115.5" hidden="false" customHeight="true" outlineLevel="0" collapsed="false">
      <c r="A2711" s="1" t="n">
        <v>1</v>
      </c>
      <c r="B2711" s="10" t="n">
        <v>44327</v>
      </c>
      <c r="C2711" s="11" t="s">
        <v>2729</v>
      </c>
      <c r="D2711" s="1" t="s">
        <v>9</v>
      </c>
      <c r="E2711" s="1" t="s">
        <v>18</v>
      </c>
      <c r="F2711" s="1" t="str">
        <f aca="false">TEXT(B2711,"mmm-yyyy")</f>
        <v>May-2021</v>
      </c>
    </row>
    <row r="2712" customFormat="false" ht="87" hidden="false" customHeight="true" outlineLevel="0" collapsed="false">
      <c r="A2712" s="1" t="n">
        <v>1</v>
      </c>
      <c r="B2712" s="10" t="n">
        <v>45057</v>
      </c>
      <c r="C2712" s="11" t="s">
        <v>2730</v>
      </c>
      <c r="D2712" s="1" t="s">
        <v>9</v>
      </c>
      <c r="E2712" s="1" t="s">
        <v>20</v>
      </c>
      <c r="F2712" s="1" t="str">
        <f aca="false">TEXT(B2712,"mmm-yyyy")</f>
        <v>May-2023</v>
      </c>
    </row>
    <row r="2713" customFormat="false" ht="101.25" hidden="false" customHeight="true" outlineLevel="0" collapsed="false">
      <c r="A2713" s="1" t="n">
        <v>1</v>
      </c>
      <c r="B2713" s="10" t="n">
        <v>44062</v>
      </c>
      <c r="C2713" s="11" t="s">
        <v>2731</v>
      </c>
      <c r="D2713" s="1" t="s">
        <v>9</v>
      </c>
      <c r="E2713" s="1" t="s">
        <v>20</v>
      </c>
      <c r="F2713" s="1" t="str">
        <f aca="false">TEXT(B2713,"mmm-yyyy")</f>
        <v>Aug-2020</v>
      </c>
    </row>
    <row r="2714" customFormat="false" ht="130.5" hidden="false" customHeight="true" outlineLevel="0" collapsed="false">
      <c r="A2714" s="1" t="n">
        <v>1</v>
      </c>
      <c r="B2714" s="10" t="n">
        <v>45410</v>
      </c>
      <c r="C2714" s="11" t="s">
        <v>2732</v>
      </c>
      <c r="D2714" s="1" t="s">
        <v>9</v>
      </c>
      <c r="E2714" s="1" t="s">
        <v>20</v>
      </c>
      <c r="F2714" s="1" t="str">
        <f aca="false">TEXT(B2714,"mmm-yyyy")</f>
        <v>Apr-2024</v>
      </c>
    </row>
    <row r="2715" customFormat="false" ht="144.75" hidden="false" customHeight="true" outlineLevel="0" collapsed="false">
      <c r="A2715" s="1" t="n">
        <v>1</v>
      </c>
      <c r="B2715" s="10" t="n">
        <v>44216</v>
      </c>
      <c r="C2715" s="11" t="s">
        <v>2733</v>
      </c>
      <c r="D2715" s="1" t="s">
        <v>9</v>
      </c>
      <c r="E2715" s="1" t="s">
        <v>20</v>
      </c>
      <c r="F2715" s="1" t="str">
        <f aca="false">TEXT(B2715,"mmm-yyyy")</f>
        <v>Jan-2021</v>
      </c>
    </row>
    <row r="2716" customFormat="false" ht="115.5" hidden="false" customHeight="true" outlineLevel="0" collapsed="false">
      <c r="A2716" s="1" t="n">
        <v>1</v>
      </c>
      <c r="B2716" s="10" t="n">
        <v>44437</v>
      </c>
      <c r="C2716" s="11" t="s">
        <v>2734</v>
      </c>
      <c r="D2716" s="1" t="s">
        <v>9</v>
      </c>
      <c r="E2716" s="1" t="s">
        <v>20</v>
      </c>
      <c r="F2716" s="1" t="str">
        <f aca="false">TEXT(B2716,"mmm-yyyy")</f>
        <v>Aug-2021</v>
      </c>
    </row>
    <row r="2717" customFormat="false" ht="72" hidden="false" customHeight="true" outlineLevel="0" collapsed="false">
      <c r="A2717" s="1" t="n">
        <v>3</v>
      </c>
      <c r="B2717" s="10" t="n">
        <v>44298</v>
      </c>
      <c r="C2717" s="11" t="s">
        <v>2735</v>
      </c>
      <c r="D2717" s="1" t="s">
        <v>9</v>
      </c>
      <c r="E2717" s="1" t="s">
        <v>18</v>
      </c>
      <c r="F2717" s="1" t="str">
        <f aca="false">TEXT(B2717,"mmm-yyyy")</f>
        <v>Apr-2021</v>
      </c>
    </row>
    <row r="2718" customFormat="false" ht="87" hidden="false" customHeight="true" outlineLevel="0" collapsed="false">
      <c r="A2718" s="1" t="n">
        <v>2</v>
      </c>
      <c r="B2718" s="10" t="n">
        <v>44525</v>
      </c>
      <c r="C2718" s="11" t="s">
        <v>2736</v>
      </c>
      <c r="D2718" s="1" t="s">
        <v>9</v>
      </c>
      <c r="E2718" s="1" t="s">
        <v>18</v>
      </c>
      <c r="F2718" s="1" t="str">
        <f aca="false">TEXT(B2718,"mmm-yyyy")</f>
        <v>Nov-2021</v>
      </c>
    </row>
    <row r="2719" customFormat="false" ht="144.75" hidden="false" customHeight="true" outlineLevel="0" collapsed="false">
      <c r="A2719" s="1" t="n">
        <v>1</v>
      </c>
      <c r="B2719" s="10" t="n">
        <v>44041</v>
      </c>
      <c r="C2719" s="11" t="s">
        <v>2737</v>
      </c>
      <c r="D2719" s="1" t="s">
        <v>9</v>
      </c>
      <c r="E2719" s="1" t="s">
        <v>20</v>
      </c>
      <c r="F2719" s="1" t="str">
        <f aca="false">TEXT(B2719,"mmm-yyyy")</f>
        <v>Jul-2020</v>
      </c>
    </row>
    <row r="2720" customFormat="false" ht="130.5" hidden="false" customHeight="true" outlineLevel="0" collapsed="false">
      <c r="A2720" s="1" t="n">
        <v>1</v>
      </c>
      <c r="B2720" s="10" t="n">
        <v>44221</v>
      </c>
      <c r="C2720" s="11" t="s">
        <v>2738</v>
      </c>
      <c r="D2720" s="1" t="s">
        <v>9</v>
      </c>
      <c r="E2720" s="1" t="s">
        <v>20</v>
      </c>
      <c r="F2720" s="1" t="str">
        <f aca="false">TEXT(B2720,"mmm-yyyy")</f>
        <v>Jan-2021</v>
      </c>
    </row>
    <row r="2721" customFormat="false" ht="14.25" hidden="false" customHeight="true" outlineLevel="0" collapsed="false">
      <c r="A2721" s="1" t="n">
        <v>1</v>
      </c>
      <c r="B2721" s="10" t="n">
        <v>45653</v>
      </c>
      <c r="C2721" s="1" t="s">
        <v>2739</v>
      </c>
      <c r="D2721" s="1" t="s">
        <v>9</v>
      </c>
      <c r="E2721" s="1" t="s">
        <v>20</v>
      </c>
      <c r="F2721" s="1" t="str">
        <f aca="false">TEXT(B2721,"mmm-yyyy")</f>
        <v>Dec-2024</v>
      </c>
    </row>
    <row r="2722" customFormat="false" ht="101.25" hidden="false" customHeight="true" outlineLevel="0" collapsed="false">
      <c r="A2722" s="1" t="n">
        <v>1</v>
      </c>
      <c r="B2722" s="10" t="n">
        <v>45361</v>
      </c>
      <c r="C2722" s="11" t="s">
        <v>2740</v>
      </c>
      <c r="D2722" s="1" t="s">
        <v>9</v>
      </c>
      <c r="E2722" s="1" t="s">
        <v>20</v>
      </c>
      <c r="F2722" s="1" t="str">
        <f aca="false">TEXT(B2722,"mmm-yyyy")</f>
        <v>Mar-2024</v>
      </c>
    </row>
    <row r="2723" customFormat="false" ht="115.5" hidden="false" customHeight="true" outlineLevel="0" collapsed="false">
      <c r="A2723" s="1" t="n">
        <v>4</v>
      </c>
      <c r="B2723" s="10" t="n">
        <v>44043</v>
      </c>
      <c r="C2723" s="11" t="s">
        <v>2741</v>
      </c>
      <c r="D2723" s="1" t="s">
        <v>9</v>
      </c>
      <c r="E2723" s="1" t="s">
        <v>18</v>
      </c>
      <c r="F2723" s="1" t="str">
        <f aca="false">TEXT(B2723,"mmm-yyyy")</f>
        <v>Jul-2020</v>
      </c>
    </row>
    <row r="2724" customFormat="false" ht="87" hidden="false" customHeight="true" outlineLevel="0" collapsed="false">
      <c r="A2724" s="1" t="n">
        <v>1</v>
      </c>
      <c r="B2724" s="10" t="n">
        <v>44061</v>
      </c>
      <c r="C2724" s="11" t="s">
        <v>2742</v>
      </c>
      <c r="D2724" s="1" t="s">
        <v>9</v>
      </c>
      <c r="E2724" s="1" t="s">
        <v>18</v>
      </c>
      <c r="F2724" s="1" t="str">
        <f aca="false">TEXT(B2724,"mmm-yyyy")</f>
        <v>Aug-2020</v>
      </c>
    </row>
    <row r="2725" customFormat="false" ht="101.25" hidden="false" customHeight="true" outlineLevel="0" collapsed="false">
      <c r="A2725" s="1" t="n">
        <v>1</v>
      </c>
      <c r="B2725" s="10" t="n">
        <v>45288</v>
      </c>
      <c r="C2725" s="11" t="s">
        <v>2743</v>
      </c>
      <c r="D2725" s="1" t="s">
        <v>9</v>
      </c>
      <c r="E2725" s="1" t="s">
        <v>18</v>
      </c>
      <c r="F2725" s="1" t="str">
        <f aca="false">TEXT(B2725,"mmm-yyyy")</f>
        <v>Dec-2023</v>
      </c>
    </row>
    <row r="2726" customFormat="false" ht="101.25" hidden="false" customHeight="true" outlineLevel="0" collapsed="false">
      <c r="A2726" s="1" t="n">
        <v>1</v>
      </c>
      <c r="B2726" s="10" t="n">
        <v>44300</v>
      </c>
      <c r="C2726" s="11" t="s">
        <v>2744</v>
      </c>
      <c r="D2726" s="1" t="s">
        <v>9</v>
      </c>
      <c r="E2726" s="1" t="s">
        <v>20</v>
      </c>
      <c r="F2726" s="1" t="str">
        <f aca="false">TEXT(B2726,"mmm-yyyy")</f>
        <v>Apr-2021</v>
      </c>
    </row>
    <row r="2727" customFormat="false" ht="130.5" hidden="false" customHeight="true" outlineLevel="0" collapsed="false">
      <c r="A2727" s="1" t="n">
        <v>1</v>
      </c>
      <c r="B2727" s="10" t="n">
        <v>44122</v>
      </c>
      <c r="C2727" s="11" t="s">
        <v>2745</v>
      </c>
      <c r="D2727" s="1" t="s">
        <v>9</v>
      </c>
      <c r="E2727" s="1" t="s">
        <v>20</v>
      </c>
      <c r="F2727" s="1" t="str">
        <f aca="false">TEXT(B2727,"mmm-yyyy")</f>
        <v>Oct-2020</v>
      </c>
    </row>
    <row r="2728" customFormat="false" ht="130.5" hidden="false" customHeight="true" outlineLevel="0" collapsed="false">
      <c r="A2728" s="1" t="n">
        <v>1</v>
      </c>
      <c r="B2728" s="10" t="n">
        <v>44063</v>
      </c>
      <c r="C2728" s="11" t="s">
        <v>2746</v>
      </c>
      <c r="D2728" s="1" t="s">
        <v>9</v>
      </c>
      <c r="E2728" s="1" t="s">
        <v>20</v>
      </c>
      <c r="F2728" s="1" t="str">
        <f aca="false">TEXT(B2728,"mmm-yyyy")</f>
        <v>Aug-2020</v>
      </c>
    </row>
    <row r="2729" customFormat="false" ht="115.5" hidden="false" customHeight="true" outlineLevel="0" collapsed="false">
      <c r="A2729" s="1" t="n">
        <v>1</v>
      </c>
      <c r="B2729" s="10" t="n">
        <v>44173</v>
      </c>
      <c r="C2729" s="11" t="s">
        <v>2747</v>
      </c>
      <c r="D2729" s="1" t="s">
        <v>9</v>
      </c>
      <c r="E2729" s="1" t="s">
        <v>20</v>
      </c>
      <c r="F2729" s="1" t="str">
        <f aca="false">TEXT(B2729,"mmm-yyyy")</f>
        <v>Dec-2020</v>
      </c>
    </row>
    <row r="2730" customFormat="false" ht="101.25" hidden="false" customHeight="true" outlineLevel="0" collapsed="false">
      <c r="A2730" s="1" t="n">
        <v>1</v>
      </c>
      <c r="B2730" s="10" t="n">
        <v>44306</v>
      </c>
      <c r="C2730" s="11" t="s">
        <v>2748</v>
      </c>
      <c r="D2730" s="1" t="s">
        <v>9</v>
      </c>
      <c r="E2730" s="1" t="s">
        <v>20</v>
      </c>
      <c r="F2730" s="1" t="str">
        <f aca="false">TEXT(B2730,"mmm-yyyy")</f>
        <v>Apr-2021</v>
      </c>
    </row>
    <row r="2731" customFormat="false" ht="115.5" hidden="false" customHeight="true" outlineLevel="0" collapsed="false">
      <c r="A2731" s="1" t="n">
        <v>1</v>
      </c>
      <c r="B2731" s="10" t="n">
        <v>44777</v>
      </c>
      <c r="C2731" s="11" t="s">
        <v>2749</v>
      </c>
      <c r="D2731" s="1" t="s">
        <v>9</v>
      </c>
      <c r="E2731" s="1" t="s">
        <v>20</v>
      </c>
      <c r="F2731" s="1" t="str">
        <f aca="false">TEXT(B2731,"mmm-yyyy")</f>
        <v>Aug-2022</v>
      </c>
    </row>
    <row r="2732" customFormat="false" ht="130.5" hidden="false" customHeight="true" outlineLevel="0" collapsed="false">
      <c r="A2732" s="1" t="n">
        <v>1</v>
      </c>
      <c r="B2732" s="10" t="n">
        <v>44394</v>
      </c>
      <c r="C2732" s="11" t="s">
        <v>2750</v>
      </c>
      <c r="D2732" s="1" t="s">
        <v>9</v>
      </c>
      <c r="E2732" s="1" t="s">
        <v>20</v>
      </c>
      <c r="F2732" s="1" t="str">
        <f aca="false">TEXT(B2732,"mmm-yyyy")</f>
        <v>Jul-2021</v>
      </c>
    </row>
    <row r="2733" customFormat="false" ht="72" hidden="false" customHeight="true" outlineLevel="0" collapsed="false">
      <c r="A2733" s="1" t="n">
        <v>1</v>
      </c>
      <c r="B2733" s="10" t="n">
        <v>45292</v>
      </c>
      <c r="C2733" s="11" t="s">
        <v>2751</v>
      </c>
      <c r="D2733" s="1" t="s">
        <v>9</v>
      </c>
      <c r="E2733" s="1" t="s">
        <v>18</v>
      </c>
      <c r="F2733" s="1" t="str">
        <f aca="false">TEXT(B2733,"mmm-yyyy")</f>
        <v>Jan-2024</v>
      </c>
    </row>
    <row r="2734" customFormat="false" ht="72" hidden="false" customHeight="true" outlineLevel="0" collapsed="false">
      <c r="A2734" s="1" t="n">
        <v>1</v>
      </c>
      <c r="B2734" s="10" t="n">
        <v>44058</v>
      </c>
      <c r="C2734" s="11" t="s">
        <v>2752</v>
      </c>
      <c r="D2734" s="1" t="s">
        <v>9</v>
      </c>
      <c r="E2734" s="1" t="s">
        <v>20</v>
      </c>
      <c r="F2734" s="1" t="str">
        <f aca="false">TEXT(B2734,"mmm-yyyy")</f>
        <v>Aug-2020</v>
      </c>
    </row>
    <row r="2735" customFormat="false" ht="130.5" hidden="false" customHeight="true" outlineLevel="0" collapsed="false">
      <c r="A2735" s="1" t="n">
        <v>1</v>
      </c>
      <c r="B2735" s="10" t="n">
        <v>45224</v>
      </c>
      <c r="C2735" s="11" t="s">
        <v>2753</v>
      </c>
      <c r="D2735" s="1" t="s">
        <v>9</v>
      </c>
      <c r="E2735" s="1" t="s">
        <v>20</v>
      </c>
      <c r="F2735" s="1" t="str">
        <f aca="false">TEXT(B2735,"mmm-yyyy")</f>
        <v>Oct-2023</v>
      </c>
    </row>
    <row r="2736" customFormat="false" ht="101.25" hidden="false" customHeight="true" outlineLevel="0" collapsed="false">
      <c r="A2736" s="1" t="n">
        <v>1</v>
      </c>
      <c r="B2736" s="10" t="n">
        <v>45078</v>
      </c>
      <c r="C2736" s="11" t="s">
        <v>2754</v>
      </c>
      <c r="D2736" s="1" t="s">
        <v>9</v>
      </c>
      <c r="E2736" s="1" t="s">
        <v>20</v>
      </c>
      <c r="F2736" s="1" t="str">
        <f aca="false">TEXT(B2736,"mmm-yyyy")</f>
        <v>Jun-2023</v>
      </c>
    </row>
    <row r="2737" customFormat="false" ht="101.25" hidden="false" customHeight="true" outlineLevel="0" collapsed="false">
      <c r="A2737" s="1" t="n">
        <v>4</v>
      </c>
      <c r="B2737" s="10" t="n">
        <v>44319</v>
      </c>
      <c r="C2737" s="11" t="s">
        <v>2755</v>
      </c>
      <c r="D2737" s="1" t="s">
        <v>9</v>
      </c>
      <c r="E2737" s="1" t="s">
        <v>20</v>
      </c>
      <c r="F2737" s="1" t="str">
        <f aca="false">TEXT(B2737,"mmm-yyyy")</f>
        <v>May-2021</v>
      </c>
    </row>
    <row r="2738" customFormat="false" ht="101.25" hidden="false" customHeight="true" outlineLevel="0" collapsed="false">
      <c r="A2738" s="1" t="n">
        <v>1</v>
      </c>
      <c r="B2738" s="10" t="n">
        <v>44503</v>
      </c>
      <c r="C2738" s="11" t="s">
        <v>2756</v>
      </c>
      <c r="D2738" s="1" t="s">
        <v>9</v>
      </c>
      <c r="E2738" s="1" t="s">
        <v>20</v>
      </c>
      <c r="F2738" s="1" t="str">
        <f aca="false">TEXT(B2738,"mmm-yyyy")</f>
        <v>Nov-2021</v>
      </c>
    </row>
    <row r="2739" customFormat="false" ht="101.25" hidden="false" customHeight="true" outlineLevel="0" collapsed="false">
      <c r="A2739" s="1" t="n">
        <v>1</v>
      </c>
      <c r="B2739" s="10" t="n">
        <v>45476</v>
      </c>
      <c r="C2739" s="11" t="s">
        <v>2757</v>
      </c>
      <c r="D2739" s="1" t="s">
        <v>9</v>
      </c>
      <c r="E2739" s="1" t="s">
        <v>20</v>
      </c>
      <c r="F2739" s="1" t="str">
        <f aca="false">TEXT(B2739,"mmm-yyyy")</f>
        <v>Jul-2024</v>
      </c>
    </row>
    <row r="2740" customFormat="false" ht="115.5" hidden="false" customHeight="true" outlineLevel="0" collapsed="false">
      <c r="A2740" s="1" t="n">
        <v>1</v>
      </c>
      <c r="B2740" s="10" t="n">
        <v>45310</v>
      </c>
      <c r="C2740" s="11" t="s">
        <v>2758</v>
      </c>
      <c r="D2740" s="1" t="s">
        <v>9</v>
      </c>
      <c r="E2740" s="1" t="s">
        <v>18</v>
      </c>
      <c r="F2740" s="1" t="str">
        <f aca="false">TEXT(B2740,"mmm-yyyy")</f>
        <v>Jan-2024</v>
      </c>
    </row>
    <row r="2741" customFormat="false" ht="43.5" hidden="false" customHeight="true" outlineLevel="0" collapsed="false">
      <c r="A2741" s="1" t="n">
        <v>5</v>
      </c>
      <c r="B2741" s="10" t="n">
        <v>45569</v>
      </c>
      <c r="C2741" s="11" t="s">
        <v>2759</v>
      </c>
      <c r="D2741" s="1" t="s">
        <v>9</v>
      </c>
      <c r="E2741" s="1" t="s">
        <v>18</v>
      </c>
      <c r="F2741" s="1" t="str">
        <f aca="false">TEXT(B2741,"mmm-yyyy")</f>
        <v>Oct-2024</v>
      </c>
    </row>
    <row r="2742" customFormat="false" ht="87" hidden="false" customHeight="true" outlineLevel="0" collapsed="false">
      <c r="A2742" s="1" t="n">
        <v>4</v>
      </c>
      <c r="B2742" s="10" t="n">
        <v>45010</v>
      </c>
      <c r="C2742" s="11" t="s">
        <v>2760</v>
      </c>
      <c r="D2742" s="1" t="s">
        <v>9</v>
      </c>
      <c r="E2742" s="1" t="s">
        <v>20</v>
      </c>
      <c r="F2742" s="1" t="str">
        <f aca="false">TEXT(B2742,"mmm-yyyy")</f>
        <v>Mar-2023</v>
      </c>
    </row>
    <row r="2743" customFormat="false" ht="115.5" hidden="false" customHeight="true" outlineLevel="0" collapsed="false">
      <c r="A2743" s="1" t="n">
        <v>1</v>
      </c>
      <c r="B2743" s="10" t="n">
        <v>44848</v>
      </c>
      <c r="C2743" s="11" t="s">
        <v>2761</v>
      </c>
      <c r="D2743" s="1" t="s">
        <v>9</v>
      </c>
      <c r="E2743" s="1" t="s">
        <v>20</v>
      </c>
      <c r="F2743" s="1" t="str">
        <f aca="false">TEXT(B2743,"mmm-yyyy")</f>
        <v>Oct-2022</v>
      </c>
    </row>
    <row r="2744" customFormat="false" ht="115.5" hidden="false" customHeight="true" outlineLevel="0" collapsed="false">
      <c r="A2744" s="1" t="n">
        <v>1</v>
      </c>
      <c r="B2744" s="10" t="n">
        <v>44056</v>
      </c>
      <c r="C2744" s="11" t="s">
        <v>2762</v>
      </c>
      <c r="D2744" s="1" t="s">
        <v>9</v>
      </c>
      <c r="E2744" s="1" t="s">
        <v>20</v>
      </c>
      <c r="F2744" s="1" t="str">
        <f aca="false">TEXT(B2744,"mmm-yyyy")</f>
        <v>Aug-2020</v>
      </c>
    </row>
    <row r="2745" customFormat="false" ht="28.5" hidden="false" customHeight="true" outlineLevel="0" collapsed="false">
      <c r="A2745" s="1" t="n">
        <v>3</v>
      </c>
      <c r="B2745" s="10" t="n">
        <v>45611</v>
      </c>
      <c r="C2745" s="11" t="s">
        <v>2763</v>
      </c>
      <c r="D2745" s="1" t="s">
        <v>9</v>
      </c>
      <c r="E2745" s="1" t="s">
        <v>20</v>
      </c>
      <c r="F2745" s="1" t="str">
        <f aca="false">TEXT(B2745,"mmm-yyyy")</f>
        <v>Nov-2024</v>
      </c>
    </row>
    <row r="2746" customFormat="false" ht="115.5" hidden="false" customHeight="true" outlineLevel="0" collapsed="false">
      <c r="A2746" s="1" t="n">
        <v>2</v>
      </c>
      <c r="B2746" s="10" t="n">
        <v>44308</v>
      </c>
      <c r="C2746" s="11" t="s">
        <v>2764</v>
      </c>
      <c r="D2746" s="1" t="s">
        <v>9</v>
      </c>
      <c r="E2746" s="1" t="s">
        <v>18</v>
      </c>
      <c r="F2746" s="1" t="str">
        <f aca="false">TEXT(B2746,"mmm-yyyy")</f>
        <v>Apr-2021</v>
      </c>
    </row>
    <row r="2747" customFormat="false" ht="87" hidden="false" customHeight="true" outlineLevel="0" collapsed="false">
      <c r="A2747" s="1" t="n">
        <v>1</v>
      </c>
      <c r="B2747" s="10" t="n">
        <v>44979</v>
      </c>
      <c r="C2747" s="11" t="s">
        <v>2765</v>
      </c>
      <c r="D2747" s="1" t="s">
        <v>9</v>
      </c>
      <c r="E2747" s="1" t="s">
        <v>20</v>
      </c>
      <c r="F2747" s="1" t="str">
        <f aca="false">TEXT(B2747,"mmm-yyyy")</f>
        <v>Feb-2023</v>
      </c>
    </row>
    <row r="2748" customFormat="false" ht="115.5" hidden="false" customHeight="true" outlineLevel="0" collapsed="false">
      <c r="A2748" s="1" t="n">
        <v>4</v>
      </c>
      <c r="B2748" s="10" t="n">
        <v>44033</v>
      </c>
      <c r="C2748" s="11" t="s">
        <v>2766</v>
      </c>
      <c r="D2748" s="1" t="s">
        <v>9</v>
      </c>
      <c r="E2748" s="1" t="s">
        <v>18</v>
      </c>
      <c r="F2748" s="1" t="str">
        <f aca="false">TEXT(B2748,"mmm-yyyy")</f>
        <v>Jul-2020</v>
      </c>
    </row>
    <row r="2749" customFormat="false" ht="130.5" hidden="false" customHeight="true" outlineLevel="0" collapsed="false">
      <c r="A2749" s="1" t="n">
        <v>1</v>
      </c>
      <c r="B2749" s="10" t="n">
        <v>45158</v>
      </c>
      <c r="C2749" s="11" t="s">
        <v>2767</v>
      </c>
      <c r="D2749" s="1" t="s">
        <v>9</v>
      </c>
      <c r="E2749" s="1" t="s">
        <v>20</v>
      </c>
      <c r="F2749" s="1" t="str">
        <f aca="false">TEXT(B2749,"mmm-yyyy")</f>
        <v>Aug-2023</v>
      </c>
    </row>
    <row r="2750" customFormat="false" ht="28.5" hidden="false" customHeight="true" outlineLevel="0" collapsed="false">
      <c r="A2750" s="1" t="n">
        <v>1</v>
      </c>
      <c r="B2750" s="10" t="n">
        <v>45601</v>
      </c>
      <c r="C2750" s="11" t="s">
        <v>2768</v>
      </c>
      <c r="D2750" s="1" t="s">
        <v>9</v>
      </c>
      <c r="E2750" s="1" t="s">
        <v>20</v>
      </c>
      <c r="F2750" s="1" t="str">
        <f aca="false">TEXT(B2750,"mmm-yyyy")</f>
        <v>Nov-2024</v>
      </c>
    </row>
    <row r="2751" customFormat="false" ht="130.5" hidden="false" customHeight="true" outlineLevel="0" collapsed="false">
      <c r="A2751" s="1" t="n">
        <v>1</v>
      </c>
      <c r="B2751" s="10" t="n">
        <v>45475</v>
      </c>
      <c r="C2751" s="11" t="s">
        <v>2769</v>
      </c>
      <c r="D2751" s="1" t="s">
        <v>9</v>
      </c>
      <c r="E2751" s="1" t="s">
        <v>20</v>
      </c>
      <c r="F2751" s="1" t="str">
        <f aca="false">TEXT(B2751,"mmm-yyyy")</f>
        <v>Jul-2024</v>
      </c>
    </row>
    <row r="2752" customFormat="false" ht="130.5" hidden="false" customHeight="true" outlineLevel="0" collapsed="false">
      <c r="A2752" s="1" t="n">
        <v>1</v>
      </c>
      <c r="B2752" s="10" t="n">
        <v>44310</v>
      </c>
      <c r="C2752" s="11" t="s">
        <v>2770</v>
      </c>
      <c r="D2752" s="1" t="s">
        <v>9</v>
      </c>
      <c r="E2752" s="1" t="s">
        <v>20</v>
      </c>
      <c r="F2752" s="1" t="str">
        <f aca="false">TEXT(B2752,"mmm-yyyy")</f>
        <v>Apr-2021</v>
      </c>
    </row>
    <row r="2753" customFormat="false" ht="115.5" hidden="false" customHeight="true" outlineLevel="0" collapsed="false">
      <c r="A2753" s="1" t="n">
        <v>1</v>
      </c>
      <c r="B2753" s="10" t="n">
        <v>44285</v>
      </c>
      <c r="C2753" s="11" t="s">
        <v>2771</v>
      </c>
      <c r="D2753" s="1" t="s">
        <v>9</v>
      </c>
      <c r="E2753" s="1" t="s">
        <v>20</v>
      </c>
      <c r="F2753" s="1" t="str">
        <f aca="false">TEXT(B2753,"mmm-yyyy")</f>
        <v>Mar-2021</v>
      </c>
    </row>
    <row r="2754" customFormat="false" ht="115.5" hidden="false" customHeight="true" outlineLevel="0" collapsed="false">
      <c r="A2754" s="1" t="n">
        <v>3</v>
      </c>
      <c r="B2754" s="10" t="n">
        <v>44156</v>
      </c>
      <c r="C2754" s="11" t="s">
        <v>2772</v>
      </c>
      <c r="D2754" s="1" t="s">
        <v>9</v>
      </c>
      <c r="E2754" s="1" t="s">
        <v>20</v>
      </c>
      <c r="F2754" s="1" t="str">
        <f aca="false">TEXT(B2754,"mmm-yyyy")</f>
        <v>Nov-2020</v>
      </c>
    </row>
    <row r="2755" customFormat="false" ht="87" hidden="false" customHeight="true" outlineLevel="0" collapsed="false">
      <c r="A2755" s="1" t="n">
        <v>1</v>
      </c>
      <c r="B2755" s="10" t="n">
        <v>44047</v>
      </c>
      <c r="C2755" s="11" t="s">
        <v>2773</v>
      </c>
      <c r="D2755" s="1" t="s">
        <v>9</v>
      </c>
      <c r="E2755" s="1" t="s">
        <v>20</v>
      </c>
      <c r="F2755" s="1" t="str">
        <f aca="false">TEXT(B2755,"mmm-yyyy")</f>
        <v>Aug-2020</v>
      </c>
    </row>
    <row r="2756" customFormat="false" ht="130.5" hidden="false" customHeight="true" outlineLevel="0" collapsed="false">
      <c r="A2756" s="1" t="n">
        <v>2</v>
      </c>
      <c r="B2756" s="10" t="n">
        <v>44110</v>
      </c>
      <c r="C2756" s="11" t="s">
        <v>2774</v>
      </c>
      <c r="D2756" s="1" t="s">
        <v>9</v>
      </c>
      <c r="E2756" s="1" t="s">
        <v>20</v>
      </c>
      <c r="F2756" s="1" t="str">
        <f aca="false">TEXT(B2756,"mmm-yyyy")</f>
        <v>Oct-2020</v>
      </c>
    </row>
    <row r="2757" customFormat="false" ht="130.5" hidden="false" customHeight="true" outlineLevel="0" collapsed="false">
      <c r="A2757" s="1" t="n">
        <v>3</v>
      </c>
      <c r="B2757" s="10" t="n">
        <v>44223</v>
      </c>
      <c r="C2757" s="11" t="s">
        <v>2775</v>
      </c>
      <c r="D2757" s="1" t="s">
        <v>9</v>
      </c>
      <c r="E2757" s="1" t="s">
        <v>18</v>
      </c>
      <c r="F2757" s="1" t="str">
        <f aca="false">TEXT(B2757,"mmm-yyyy")</f>
        <v>Jan-2021</v>
      </c>
    </row>
    <row r="2758" customFormat="false" ht="130.5" hidden="false" customHeight="true" outlineLevel="0" collapsed="false">
      <c r="A2758" s="1" t="n">
        <v>1</v>
      </c>
      <c r="B2758" s="10" t="n">
        <v>44590</v>
      </c>
      <c r="C2758" s="11" t="s">
        <v>2776</v>
      </c>
      <c r="D2758" s="1" t="s">
        <v>9</v>
      </c>
      <c r="E2758" s="1" t="s">
        <v>20</v>
      </c>
      <c r="F2758" s="1" t="str">
        <f aca="false">TEXT(B2758,"mmm-yyyy")</f>
        <v>Jan-2022</v>
      </c>
    </row>
    <row r="2759" customFormat="false" ht="87" hidden="false" customHeight="true" outlineLevel="0" collapsed="false">
      <c r="A2759" s="1" t="n">
        <v>1</v>
      </c>
      <c r="B2759" s="10" t="n">
        <v>44046</v>
      </c>
      <c r="C2759" s="11" t="s">
        <v>2777</v>
      </c>
      <c r="D2759" s="1" t="s">
        <v>9</v>
      </c>
      <c r="E2759" s="1" t="s">
        <v>20</v>
      </c>
      <c r="F2759" s="1" t="str">
        <f aca="false">TEXT(B2759,"mmm-yyyy")</f>
        <v>Aug-2020</v>
      </c>
    </row>
    <row r="2760" customFormat="false" ht="87" hidden="false" customHeight="true" outlineLevel="0" collapsed="false">
      <c r="A2760" s="1" t="n">
        <v>2</v>
      </c>
      <c r="B2760" s="10" t="n">
        <v>44101</v>
      </c>
      <c r="C2760" s="11" t="s">
        <v>2778</v>
      </c>
      <c r="D2760" s="1" t="s">
        <v>9</v>
      </c>
      <c r="E2760" s="1" t="s">
        <v>18</v>
      </c>
      <c r="F2760" s="1" t="str">
        <f aca="false">TEXT(B2760,"mmm-yyyy")</f>
        <v>Sep-2020</v>
      </c>
    </row>
    <row r="2761" customFormat="false" ht="130.5" hidden="false" customHeight="true" outlineLevel="0" collapsed="false">
      <c r="A2761" s="1" t="n">
        <v>2</v>
      </c>
      <c r="B2761" s="10" t="n">
        <v>45286</v>
      </c>
      <c r="C2761" s="11" t="s">
        <v>2779</v>
      </c>
      <c r="D2761" s="1" t="s">
        <v>9</v>
      </c>
      <c r="E2761" s="1" t="s">
        <v>20</v>
      </c>
      <c r="F2761" s="1" t="str">
        <f aca="false">TEXT(B2761,"mmm-yyyy")</f>
        <v>Dec-2023</v>
      </c>
    </row>
    <row r="2762" customFormat="false" ht="115.5" hidden="false" customHeight="true" outlineLevel="0" collapsed="false">
      <c r="A2762" s="1" t="n">
        <v>1</v>
      </c>
      <c r="B2762" s="10" t="n">
        <v>44321</v>
      </c>
      <c r="C2762" s="11" t="s">
        <v>2780</v>
      </c>
      <c r="D2762" s="1" t="s">
        <v>9</v>
      </c>
      <c r="E2762" s="1" t="s">
        <v>20</v>
      </c>
      <c r="F2762" s="1" t="str">
        <f aca="false">TEXT(B2762,"mmm-yyyy")</f>
        <v>May-2021</v>
      </c>
    </row>
    <row r="2763" customFormat="false" ht="43.5" hidden="false" customHeight="true" outlineLevel="0" collapsed="false">
      <c r="A2763" s="1" t="n">
        <v>1</v>
      </c>
      <c r="B2763" s="10" t="n">
        <v>45504</v>
      </c>
      <c r="C2763" s="11" t="s">
        <v>2781</v>
      </c>
      <c r="D2763" s="1" t="s">
        <v>9</v>
      </c>
      <c r="E2763" s="1" t="s">
        <v>20</v>
      </c>
      <c r="F2763" s="1" t="str">
        <f aca="false">TEXT(B2763,"mmm-yyyy")</f>
        <v>Jul-2024</v>
      </c>
    </row>
    <row r="2764" customFormat="false" ht="115.5" hidden="false" customHeight="true" outlineLevel="0" collapsed="false">
      <c r="A2764" s="1" t="n">
        <v>1</v>
      </c>
      <c r="B2764" s="10" t="n">
        <v>45182</v>
      </c>
      <c r="C2764" s="11" t="s">
        <v>2782</v>
      </c>
      <c r="D2764" s="1" t="s">
        <v>9</v>
      </c>
      <c r="E2764" s="1" t="s">
        <v>20</v>
      </c>
      <c r="F2764" s="1" t="str">
        <f aca="false">TEXT(B2764,"mmm-yyyy")</f>
        <v>Sep-2023</v>
      </c>
    </row>
    <row r="2765" customFormat="false" ht="101.25" hidden="false" customHeight="true" outlineLevel="0" collapsed="false">
      <c r="A2765" s="1" t="n">
        <v>1</v>
      </c>
      <c r="B2765" s="10" t="n">
        <v>44347</v>
      </c>
      <c r="C2765" s="11" t="s">
        <v>2783</v>
      </c>
      <c r="D2765" s="1" t="s">
        <v>9</v>
      </c>
      <c r="E2765" s="1" t="s">
        <v>20</v>
      </c>
      <c r="F2765" s="1" t="str">
        <f aca="false">TEXT(B2765,"mmm-yyyy")</f>
        <v>May-2021</v>
      </c>
    </row>
    <row r="2766" customFormat="false" ht="115.5" hidden="false" customHeight="true" outlineLevel="0" collapsed="false">
      <c r="A2766" s="1" t="n">
        <v>1</v>
      </c>
      <c r="B2766" s="10" t="n">
        <v>44488</v>
      </c>
      <c r="C2766" s="11" t="s">
        <v>2784</v>
      </c>
      <c r="D2766" s="1" t="s">
        <v>9</v>
      </c>
      <c r="E2766" s="1" t="s">
        <v>18</v>
      </c>
      <c r="F2766" s="1" t="str">
        <f aca="false">TEXT(B2766,"mmm-yyyy")</f>
        <v>Oct-2021</v>
      </c>
    </row>
    <row r="2767" customFormat="false" ht="130.5" hidden="false" customHeight="true" outlineLevel="0" collapsed="false">
      <c r="A2767" s="1" t="n">
        <v>1</v>
      </c>
      <c r="B2767" s="10" t="n">
        <v>44776</v>
      </c>
      <c r="C2767" s="11" t="s">
        <v>2785</v>
      </c>
      <c r="D2767" s="1" t="s">
        <v>9</v>
      </c>
      <c r="E2767" s="1" t="s">
        <v>20</v>
      </c>
      <c r="F2767" s="1" t="str">
        <f aca="false">TEXT(B2767,"mmm-yyyy")</f>
        <v>Aug-2022</v>
      </c>
    </row>
    <row r="2768" customFormat="false" ht="101.25" hidden="false" customHeight="true" outlineLevel="0" collapsed="false">
      <c r="A2768" s="1" t="n">
        <v>2</v>
      </c>
      <c r="B2768" s="10" t="n">
        <v>44045</v>
      </c>
      <c r="C2768" s="11" t="s">
        <v>2786</v>
      </c>
      <c r="D2768" s="1" t="s">
        <v>9</v>
      </c>
      <c r="E2768" s="1" t="s">
        <v>20</v>
      </c>
      <c r="F2768" s="1" t="str">
        <f aca="false">TEXT(B2768,"mmm-yyyy")</f>
        <v>Aug-2020</v>
      </c>
    </row>
    <row r="2769" customFormat="false" ht="101.25" hidden="false" customHeight="true" outlineLevel="0" collapsed="false">
      <c r="A2769" s="1" t="n">
        <v>1</v>
      </c>
      <c r="B2769" s="10" t="n">
        <v>44587</v>
      </c>
      <c r="C2769" s="11" t="s">
        <v>2787</v>
      </c>
      <c r="D2769" s="1" t="s">
        <v>9</v>
      </c>
      <c r="E2769" s="1" t="s">
        <v>20</v>
      </c>
      <c r="F2769" s="1" t="str">
        <f aca="false">TEXT(B2769,"mmm-yyyy")</f>
        <v>Jan-2022</v>
      </c>
    </row>
    <row r="2770" customFormat="false" ht="14.25" hidden="false" customHeight="true" outlineLevel="0" collapsed="false">
      <c r="A2770" s="1" t="n">
        <v>5</v>
      </c>
      <c r="B2770" s="10" t="n">
        <v>45599</v>
      </c>
      <c r="C2770" s="1" t="s">
        <v>2788</v>
      </c>
      <c r="D2770" s="1" t="s">
        <v>9</v>
      </c>
      <c r="E2770" s="1" t="s">
        <v>18</v>
      </c>
      <c r="F2770" s="1" t="str">
        <f aca="false">TEXT(B2770,"mmm-yyyy")</f>
        <v>Nov-2024</v>
      </c>
    </row>
    <row r="2771" customFormat="false" ht="14.25" hidden="false" customHeight="true" outlineLevel="0" collapsed="false">
      <c r="A2771" s="1" t="n">
        <v>1</v>
      </c>
      <c r="B2771" s="10" t="n">
        <v>45653</v>
      </c>
      <c r="C2771" s="1" t="s">
        <v>2789</v>
      </c>
      <c r="D2771" s="1" t="s">
        <v>9</v>
      </c>
      <c r="E2771" s="1" t="s">
        <v>32</v>
      </c>
      <c r="F2771" s="1" t="str">
        <f aca="false">TEXT(B2771,"mmm-yyyy")</f>
        <v>Dec-2024</v>
      </c>
    </row>
    <row r="2772" customFormat="false" ht="130.5" hidden="false" customHeight="true" outlineLevel="0" collapsed="false">
      <c r="A2772" s="1" t="n">
        <v>1</v>
      </c>
      <c r="B2772" s="10" t="n">
        <v>44322</v>
      </c>
      <c r="C2772" s="11" t="s">
        <v>2790</v>
      </c>
      <c r="D2772" s="1" t="s">
        <v>9</v>
      </c>
      <c r="E2772" s="1" t="s">
        <v>20</v>
      </c>
      <c r="F2772" s="1" t="str">
        <f aca="false">TEXT(B2772,"mmm-yyyy")</f>
        <v>May-2021</v>
      </c>
    </row>
    <row r="2773" customFormat="false" ht="101.25" hidden="false" customHeight="true" outlineLevel="0" collapsed="false">
      <c r="A2773" s="1" t="n">
        <v>1</v>
      </c>
      <c r="B2773" s="10" t="n">
        <v>44069</v>
      </c>
      <c r="C2773" s="11" t="s">
        <v>2791</v>
      </c>
      <c r="D2773" s="1" t="s">
        <v>9</v>
      </c>
      <c r="E2773" s="1" t="s">
        <v>20</v>
      </c>
      <c r="F2773" s="1" t="str">
        <f aca="false">TEXT(B2773,"mmm-yyyy")</f>
        <v>Aug-2020</v>
      </c>
    </row>
    <row r="2774" customFormat="false" ht="130.5" hidden="false" customHeight="true" outlineLevel="0" collapsed="false">
      <c r="A2774" s="1" t="n">
        <v>1</v>
      </c>
      <c r="B2774" s="10" t="n">
        <v>44037</v>
      </c>
      <c r="C2774" s="11" t="s">
        <v>2792</v>
      </c>
      <c r="D2774" s="1" t="s">
        <v>9</v>
      </c>
      <c r="E2774" s="1" t="s">
        <v>20</v>
      </c>
      <c r="F2774" s="1" t="str">
        <f aca="false">TEXT(B2774,"mmm-yyyy")</f>
        <v>Jul-2020</v>
      </c>
    </row>
    <row r="2775" customFormat="false" ht="130.5" hidden="false" customHeight="true" outlineLevel="0" collapsed="false">
      <c r="A2775" s="1" t="n">
        <v>5</v>
      </c>
      <c r="B2775" s="10" t="n">
        <v>44125</v>
      </c>
      <c r="C2775" s="11" t="s">
        <v>2793</v>
      </c>
      <c r="D2775" s="1" t="s">
        <v>9</v>
      </c>
      <c r="E2775" s="1" t="s">
        <v>18</v>
      </c>
      <c r="F2775" s="1" t="str">
        <f aca="false">TEXT(B2775,"mmm-yyyy")</f>
        <v>Oct-2020</v>
      </c>
    </row>
    <row r="2776" customFormat="false" ht="43.5" hidden="false" customHeight="true" outlineLevel="0" collapsed="false">
      <c r="A2776" s="1" t="n">
        <v>1</v>
      </c>
      <c r="B2776" s="10" t="n">
        <v>45543</v>
      </c>
      <c r="C2776" s="11" t="s">
        <v>2794</v>
      </c>
      <c r="D2776" s="1" t="s">
        <v>9</v>
      </c>
      <c r="E2776" s="1" t="s">
        <v>18</v>
      </c>
      <c r="F2776" s="1" t="str">
        <f aca="false">TEXT(B2776,"mmm-yyyy")</f>
        <v>Sep-2024</v>
      </c>
    </row>
    <row r="2777" customFormat="false" ht="87" hidden="false" customHeight="true" outlineLevel="0" collapsed="false">
      <c r="A2777" s="1" t="n">
        <v>1</v>
      </c>
      <c r="B2777" s="10" t="n">
        <v>45479</v>
      </c>
      <c r="C2777" s="11" t="s">
        <v>2795</v>
      </c>
      <c r="D2777" s="1" t="s">
        <v>9</v>
      </c>
      <c r="E2777" s="1" t="s">
        <v>20</v>
      </c>
      <c r="F2777" s="1" t="str">
        <f aca="false">TEXT(B2777,"mmm-yyyy")</f>
        <v>Jul-2024</v>
      </c>
    </row>
    <row r="2778" customFormat="false" ht="144.75" hidden="false" customHeight="true" outlineLevel="0" collapsed="false">
      <c r="A2778" s="1" t="n">
        <v>1</v>
      </c>
      <c r="B2778" s="10" t="n">
        <v>44322</v>
      </c>
      <c r="C2778" s="11" t="s">
        <v>2796</v>
      </c>
      <c r="D2778" s="1" t="s">
        <v>9</v>
      </c>
      <c r="E2778" s="1" t="s">
        <v>18</v>
      </c>
      <c r="F2778" s="1" t="str">
        <f aca="false">TEXT(B2778,"mmm-yyyy")</f>
        <v>May-2021</v>
      </c>
    </row>
    <row r="2779" customFormat="false" ht="87" hidden="false" customHeight="true" outlineLevel="0" collapsed="false">
      <c r="A2779" s="1" t="n">
        <v>1</v>
      </c>
      <c r="B2779" s="10" t="n">
        <v>44330</v>
      </c>
      <c r="C2779" s="11" t="s">
        <v>2797</v>
      </c>
      <c r="D2779" s="1" t="s">
        <v>9</v>
      </c>
      <c r="E2779" s="1" t="s">
        <v>20</v>
      </c>
      <c r="F2779" s="1" t="str">
        <f aca="false">TEXT(B2779,"mmm-yyyy")</f>
        <v>May-2021</v>
      </c>
    </row>
    <row r="2780" customFormat="false" ht="87" hidden="false" customHeight="true" outlineLevel="0" collapsed="false">
      <c r="A2780" s="1" t="n">
        <v>2</v>
      </c>
      <c r="B2780" s="10" t="n">
        <v>44058</v>
      </c>
      <c r="C2780" s="11" t="s">
        <v>2798</v>
      </c>
      <c r="D2780" s="1" t="s">
        <v>9</v>
      </c>
      <c r="E2780" s="1" t="s">
        <v>20</v>
      </c>
      <c r="F2780" s="1" t="str">
        <f aca="false">TEXT(B2780,"mmm-yyyy")</f>
        <v>Aug-2020</v>
      </c>
    </row>
    <row r="2781" customFormat="false" ht="101.25" hidden="false" customHeight="true" outlineLevel="0" collapsed="false">
      <c r="A2781" s="1" t="n">
        <v>1</v>
      </c>
      <c r="B2781" s="10" t="n">
        <v>44753</v>
      </c>
      <c r="C2781" s="11" t="s">
        <v>2799</v>
      </c>
      <c r="D2781" s="1" t="s">
        <v>9</v>
      </c>
      <c r="E2781" s="1" t="s">
        <v>18</v>
      </c>
      <c r="F2781" s="1" t="str">
        <f aca="false">TEXT(B2781,"mmm-yyyy")</f>
        <v>Jul-2022</v>
      </c>
    </row>
    <row r="2782" customFormat="false" ht="101.25" hidden="false" customHeight="true" outlineLevel="0" collapsed="false">
      <c r="A2782" s="1" t="n">
        <v>1</v>
      </c>
      <c r="B2782" s="10" t="n">
        <v>45169</v>
      </c>
      <c r="C2782" s="11" t="s">
        <v>2800</v>
      </c>
      <c r="D2782" s="1" t="s">
        <v>9</v>
      </c>
      <c r="E2782" s="1" t="s">
        <v>20</v>
      </c>
      <c r="F2782" s="1" t="str">
        <f aca="false">TEXT(B2782,"mmm-yyyy")</f>
        <v>Aug-2023</v>
      </c>
    </row>
    <row r="2783" customFormat="false" ht="87" hidden="false" customHeight="true" outlineLevel="0" collapsed="false">
      <c r="A2783" s="1" t="n">
        <v>1</v>
      </c>
      <c r="B2783" s="10" t="n">
        <v>45132</v>
      </c>
      <c r="C2783" s="11" t="s">
        <v>2801</v>
      </c>
      <c r="D2783" s="1" t="s">
        <v>9</v>
      </c>
      <c r="E2783" s="1" t="s">
        <v>18</v>
      </c>
      <c r="F2783" s="1" t="str">
        <f aca="false">TEXT(B2783,"mmm-yyyy")</f>
        <v>Jul-2023</v>
      </c>
    </row>
    <row r="2784" customFormat="false" ht="130.5" hidden="false" customHeight="true" outlineLevel="0" collapsed="false">
      <c r="A2784" s="1" t="n">
        <v>2</v>
      </c>
      <c r="B2784" s="10" t="n">
        <v>45643</v>
      </c>
      <c r="C2784" s="11" t="s">
        <v>2802</v>
      </c>
      <c r="D2784" s="1" t="s">
        <v>9</v>
      </c>
      <c r="E2784" s="1" t="s">
        <v>20</v>
      </c>
      <c r="F2784" s="1" t="str">
        <f aca="false">TEXT(B2784,"mmm-yyyy")</f>
        <v>Dec-2024</v>
      </c>
    </row>
    <row r="2785" customFormat="false" ht="115.5" hidden="false" customHeight="true" outlineLevel="0" collapsed="false">
      <c r="A2785" s="1" t="n">
        <v>1</v>
      </c>
      <c r="B2785" s="10" t="n">
        <v>44035</v>
      </c>
      <c r="C2785" s="11" t="s">
        <v>2803</v>
      </c>
      <c r="D2785" s="1" t="s">
        <v>9</v>
      </c>
      <c r="E2785" s="1" t="s">
        <v>20</v>
      </c>
      <c r="F2785" s="1" t="str">
        <f aca="false">TEXT(B2785,"mmm-yyyy")</f>
        <v>Jul-2020</v>
      </c>
    </row>
    <row r="2786" customFormat="false" ht="144.75" hidden="false" customHeight="true" outlineLevel="0" collapsed="false">
      <c r="A2786" s="1" t="n">
        <v>2</v>
      </c>
      <c r="B2786" s="10" t="n">
        <v>44148</v>
      </c>
      <c r="C2786" s="11" t="s">
        <v>2804</v>
      </c>
      <c r="D2786" s="1" t="s">
        <v>9</v>
      </c>
      <c r="E2786" s="1" t="s">
        <v>20</v>
      </c>
      <c r="F2786" s="1" t="str">
        <f aca="false">TEXT(B2786,"mmm-yyyy")</f>
        <v>Nov-2020</v>
      </c>
    </row>
    <row r="2787" customFormat="false" ht="130.5" hidden="false" customHeight="true" outlineLevel="0" collapsed="false">
      <c r="A2787" s="1" t="n">
        <v>1</v>
      </c>
      <c r="B2787" s="10" t="n">
        <v>44327</v>
      </c>
      <c r="C2787" s="11" t="s">
        <v>2805</v>
      </c>
      <c r="D2787" s="1" t="s">
        <v>9</v>
      </c>
      <c r="E2787" s="1" t="s">
        <v>20</v>
      </c>
      <c r="F2787" s="1" t="str">
        <f aca="false">TEXT(B2787,"mmm-yyyy")</f>
        <v>May-2021</v>
      </c>
    </row>
    <row r="2788" customFormat="false" ht="130.5" hidden="false" customHeight="true" outlineLevel="0" collapsed="false">
      <c r="A2788" s="1" t="n">
        <v>1</v>
      </c>
      <c r="B2788" s="10" t="n">
        <v>44417</v>
      </c>
      <c r="C2788" s="11" t="s">
        <v>2806</v>
      </c>
      <c r="D2788" s="1" t="s">
        <v>9</v>
      </c>
      <c r="E2788" s="1" t="s">
        <v>20</v>
      </c>
      <c r="F2788" s="1" t="str">
        <f aca="false">TEXT(B2788,"mmm-yyyy")</f>
        <v>Aug-2021</v>
      </c>
    </row>
    <row r="2789" customFormat="false" ht="101.25" hidden="false" customHeight="true" outlineLevel="0" collapsed="false">
      <c r="A2789" s="1" t="n">
        <v>1</v>
      </c>
      <c r="B2789" s="10" t="n">
        <v>44122</v>
      </c>
      <c r="C2789" s="11" t="s">
        <v>2807</v>
      </c>
      <c r="D2789" s="1" t="s">
        <v>9</v>
      </c>
      <c r="E2789" s="1" t="s">
        <v>20</v>
      </c>
      <c r="F2789" s="1" t="str">
        <f aca="false">TEXT(B2789,"mmm-yyyy")</f>
        <v>Oct-2020</v>
      </c>
    </row>
    <row r="2790" customFormat="false" ht="130.5" hidden="false" customHeight="true" outlineLevel="0" collapsed="false">
      <c r="A2790" s="1" t="n">
        <v>1</v>
      </c>
      <c r="B2790" s="10" t="n">
        <v>44066</v>
      </c>
      <c r="C2790" s="11" t="s">
        <v>2808</v>
      </c>
      <c r="D2790" s="1" t="s">
        <v>9</v>
      </c>
      <c r="E2790" s="1" t="s">
        <v>20</v>
      </c>
      <c r="F2790" s="1" t="str">
        <f aca="false">TEXT(B2790,"mmm-yyyy")</f>
        <v>Aug-2020</v>
      </c>
    </row>
    <row r="2791" customFormat="false" ht="14.25" hidden="false" customHeight="true" outlineLevel="0" collapsed="false">
      <c r="A2791" s="1" t="n">
        <v>4</v>
      </c>
      <c r="B2791" s="10" t="n">
        <v>45596</v>
      </c>
      <c r="C2791" s="1" t="s">
        <v>2809</v>
      </c>
      <c r="D2791" s="1" t="s">
        <v>9</v>
      </c>
      <c r="E2791" s="1" t="s">
        <v>18</v>
      </c>
      <c r="F2791" s="1" t="str">
        <f aca="false">TEXT(B2791,"mmm-yyyy")</f>
        <v>Oct-2024</v>
      </c>
    </row>
    <row r="2792" customFormat="false" ht="28.5" hidden="false" customHeight="true" outlineLevel="0" collapsed="false">
      <c r="A2792" s="1" t="n">
        <v>1</v>
      </c>
      <c r="B2792" s="10" t="n">
        <v>45627</v>
      </c>
      <c r="C2792" s="11" t="s">
        <v>2810</v>
      </c>
      <c r="D2792" s="1" t="s">
        <v>9</v>
      </c>
      <c r="E2792" s="1" t="s">
        <v>20</v>
      </c>
      <c r="F2792" s="1" t="str">
        <f aca="false">TEXT(B2792,"mmm-yyyy")</f>
        <v>Dec-2024</v>
      </c>
    </row>
    <row r="2793" customFormat="false" ht="130.5" hidden="false" customHeight="true" outlineLevel="0" collapsed="false">
      <c r="A2793" s="1" t="n">
        <v>1</v>
      </c>
      <c r="B2793" s="10" t="n">
        <v>44802</v>
      </c>
      <c r="C2793" s="11" t="s">
        <v>2811</v>
      </c>
      <c r="D2793" s="1" t="s">
        <v>9</v>
      </c>
      <c r="E2793" s="1" t="s">
        <v>20</v>
      </c>
      <c r="F2793" s="1" t="str">
        <f aca="false">TEXT(B2793,"mmm-yyyy")</f>
        <v>Aug-2022</v>
      </c>
    </row>
    <row r="2794" customFormat="false" ht="87" hidden="false" customHeight="true" outlineLevel="0" collapsed="false">
      <c r="A2794" s="1" t="n">
        <v>1</v>
      </c>
      <c r="B2794" s="10" t="n">
        <v>45533</v>
      </c>
      <c r="C2794" s="11" t="s">
        <v>2812</v>
      </c>
      <c r="D2794" s="1" t="s">
        <v>9</v>
      </c>
      <c r="E2794" s="1" t="s">
        <v>20</v>
      </c>
      <c r="F2794" s="1" t="str">
        <f aca="false">TEXT(B2794,"mmm-yyyy")</f>
        <v>Aug-2024</v>
      </c>
    </row>
    <row r="2795" customFormat="false" ht="101.25" hidden="false" customHeight="true" outlineLevel="0" collapsed="false">
      <c r="A2795" s="1" t="n">
        <v>1</v>
      </c>
      <c r="B2795" s="10" t="n">
        <v>44120</v>
      </c>
      <c r="C2795" s="11" t="s">
        <v>2813</v>
      </c>
      <c r="D2795" s="1" t="s">
        <v>9</v>
      </c>
      <c r="E2795" s="1" t="s">
        <v>20</v>
      </c>
      <c r="F2795" s="1" t="str">
        <f aca="false">TEXT(B2795,"mmm-yyyy")</f>
        <v>Oct-2020</v>
      </c>
    </row>
    <row r="2796" customFormat="false" ht="101.25" hidden="false" customHeight="true" outlineLevel="0" collapsed="false">
      <c r="A2796" s="1" t="n">
        <v>1</v>
      </c>
      <c r="B2796" s="10" t="n">
        <v>44061</v>
      </c>
      <c r="C2796" s="11" t="s">
        <v>2814</v>
      </c>
      <c r="D2796" s="1" t="s">
        <v>9</v>
      </c>
      <c r="E2796" s="1" t="s">
        <v>20</v>
      </c>
      <c r="F2796" s="1" t="str">
        <f aca="false">TEXT(B2796,"mmm-yyyy")</f>
        <v>Aug-2020</v>
      </c>
    </row>
    <row r="2797" customFormat="false" ht="101.25" hidden="false" customHeight="true" outlineLevel="0" collapsed="false">
      <c r="A2797" s="1" t="n">
        <v>1</v>
      </c>
      <c r="B2797" s="10" t="n">
        <v>44259</v>
      </c>
      <c r="C2797" s="11" t="s">
        <v>2815</v>
      </c>
      <c r="D2797" s="1" t="s">
        <v>9</v>
      </c>
      <c r="E2797" s="1" t="s">
        <v>18</v>
      </c>
      <c r="F2797" s="1" t="str">
        <f aca="false">TEXT(B2797,"mmm-yyyy")</f>
        <v>Mar-2021</v>
      </c>
    </row>
    <row r="2798" customFormat="false" ht="28.5" hidden="false" customHeight="true" outlineLevel="0" collapsed="false">
      <c r="A2798" s="1" t="n">
        <v>5</v>
      </c>
      <c r="B2798" s="10" t="n">
        <v>45590</v>
      </c>
      <c r="C2798" s="11" t="s">
        <v>2816</v>
      </c>
      <c r="D2798" s="1" t="s">
        <v>9</v>
      </c>
      <c r="E2798" s="1" t="s">
        <v>18</v>
      </c>
      <c r="F2798" s="1" t="str">
        <f aca="false">TEXT(B2798,"mmm-yyyy")</f>
        <v>Oct-2024</v>
      </c>
    </row>
    <row r="2799" customFormat="false" ht="101.25" hidden="false" customHeight="true" outlineLevel="0" collapsed="false">
      <c r="A2799" s="1" t="n">
        <v>1</v>
      </c>
      <c r="B2799" s="10" t="n">
        <v>45490</v>
      </c>
      <c r="C2799" s="11" t="s">
        <v>2817</v>
      </c>
      <c r="D2799" s="1" t="s">
        <v>9</v>
      </c>
      <c r="E2799" s="1" t="s">
        <v>20</v>
      </c>
      <c r="F2799" s="1" t="str">
        <f aca="false">TEXT(B2799,"mmm-yyyy")</f>
        <v>Jul-2024</v>
      </c>
    </row>
    <row r="2800" customFormat="false" ht="101.25" hidden="false" customHeight="true" outlineLevel="0" collapsed="false">
      <c r="A2800" s="1" t="n">
        <v>1</v>
      </c>
      <c r="B2800" s="10" t="n">
        <v>44801</v>
      </c>
      <c r="C2800" s="11" t="s">
        <v>2818</v>
      </c>
      <c r="D2800" s="1" t="s">
        <v>9</v>
      </c>
      <c r="E2800" s="1" t="s">
        <v>20</v>
      </c>
      <c r="F2800" s="1" t="str">
        <f aca="false">TEXT(B2800,"mmm-yyyy")</f>
        <v>Aug-2022</v>
      </c>
    </row>
    <row r="2801" customFormat="false" ht="130.5" hidden="false" customHeight="true" outlineLevel="0" collapsed="false">
      <c r="A2801" s="1" t="n">
        <v>1</v>
      </c>
      <c r="B2801" s="10" t="n">
        <v>45171</v>
      </c>
      <c r="C2801" s="11" t="s">
        <v>2819</v>
      </c>
      <c r="D2801" s="1" t="s">
        <v>9</v>
      </c>
      <c r="E2801" s="1" t="s">
        <v>20</v>
      </c>
      <c r="F2801" s="1" t="str">
        <f aca="false">TEXT(B2801,"mmm-yyyy")</f>
        <v>Sep-2023</v>
      </c>
    </row>
    <row r="2802" customFormat="false" ht="130.5" hidden="false" customHeight="true" outlineLevel="0" collapsed="false">
      <c r="A2802" s="1" t="n">
        <v>1</v>
      </c>
      <c r="B2802" s="10" t="n">
        <v>45055</v>
      </c>
      <c r="C2802" s="11" t="s">
        <v>2820</v>
      </c>
      <c r="D2802" s="1" t="s">
        <v>9</v>
      </c>
      <c r="E2802" s="1" t="s">
        <v>20</v>
      </c>
      <c r="F2802" s="1" t="str">
        <f aca="false">TEXT(B2802,"mmm-yyyy")</f>
        <v>May-2023</v>
      </c>
    </row>
    <row r="2803" customFormat="false" ht="130.5" hidden="false" customHeight="true" outlineLevel="0" collapsed="false">
      <c r="A2803" s="1" t="n">
        <v>1</v>
      </c>
      <c r="B2803" s="10" t="n">
        <v>45065</v>
      </c>
      <c r="C2803" s="11" t="s">
        <v>2821</v>
      </c>
      <c r="D2803" s="1" t="s">
        <v>9</v>
      </c>
      <c r="E2803" s="1" t="s">
        <v>20</v>
      </c>
      <c r="F2803" s="1" t="str">
        <f aca="false">TEXT(B2803,"mmm-yyyy")</f>
        <v>May-2023</v>
      </c>
    </row>
    <row r="2804" customFormat="false" ht="72" hidden="false" customHeight="true" outlineLevel="0" collapsed="false">
      <c r="A2804" s="1" t="n">
        <v>1</v>
      </c>
      <c r="B2804" s="10" t="n">
        <v>44990</v>
      </c>
      <c r="C2804" s="11" t="s">
        <v>2822</v>
      </c>
      <c r="D2804" s="1" t="s">
        <v>9</v>
      </c>
      <c r="E2804" s="1" t="s">
        <v>20</v>
      </c>
      <c r="F2804" s="1" t="str">
        <f aca="false">TEXT(B2804,"mmm-yyyy")</f>
        <v>Mar-2023</v>
      </c>
    </row>
    <row r="2805" customFormat="false" ht="87" hidden="false" customHeight="true" outlineLevel="0" collapsed="false">
      <c r="A2805" s="1" t="n">
        <v>1</v>
      </c>
      <c r="B2805" s="10" t="n">
        <v>45200</v>
      </c>
      <c r="C2805" s="11" t="s">
        <v>2823</v>
      </c>
      <c r="D2805" s="1" t="s">
        <v>9</v>
      </c>
      <c r="E2805" s="1" t="s">
        <v>20</v>
      </c>
      <c r="F2805" s="1" t="str">
        <f aca="false">TEXT(B2805,"mmm-yyyy")</f>
        <v>Oct-2023</v>
      </c>
    </row>
    <row r="2806" customFormat="false" ht="115.5" hidden="false" customHeight="true" outlineLevel="0" collapsed="false">
      <c r="A2806" s="1" t="n">
        <v>1</v>
      </c>
      <c r="B2806" s="10" t="n">
        <v>44558</v>
      </c>
      <c r="C2806" s="11" t="s">
        <v>2824</v>
      </c>
      <c r="D2806" s="1" t="s">
        <v>9</v>
      </c>
      <c r="E2806" s="1" t="s">
        <v>20</v>
      </c>
      <c r="F2806" s="1" t="str">
        <f aca="false">TEXT(B2806,"mmm-yyyy")</f>
        <v>Dec-2021</v>
      </c>
    </row>
    <row r="2807" customFormat="false" ht="115.5" hidden="false" customHeight="true" outlineLevel="0" collapsed="false">
      <c r="A2807" s="1" t="n">
        <v>1</v>
      </c>
      <c r="B2807" s="10" t="n">
        <v>45130</v>
      </c>
      <c r="C2807" s="11" t="s">
        <v>2825</v>
      </c>
      <c r="D2807" s="1" t="s">
        <v>9</v>
      </c>
      <c r="E2807" s="1" t="s">
        <v>20</v>
      </c>
      <c r="F2807" s="1" t="str">
        <f aca="false">TEXT(B2807,"mmm-yyyy")</f>
        <v>Jul-2023</v>
      </c>
    </row>
    <row r="2808" customFormat="false" ht="130.5" hidden="false" customHeight="true" outlineLevel="0" collapsed="false">
      <c r="A2808" s="1" t="n">
        <v>1</v>
      </c>
      <c r="B2808" s="10" t="n">
        <v>44067</v>
      </c>
      <c r="C2808" s="11" t="s">
        <v>2826</v>
      </c>
      <c r="D2808" s="1" t="s">
        <v>9</v>
      </c>
      <c r="E2808" s="1" t="s">
        <v>32</v>
      </c>
      <c r="F2808" s="1" t="str">
        <f aca="false">TEXT(B2808,"mmm-yyyy")</f>
        <v>Aug-2020</v>
      </c>
    </row>
    <row r="2809" customFormat="false" ht="115.5" hidden="false" customHeight="true" outlineLevel="0" collapsed="false">
      <c r="A2809" s="1" t="n">
        <v>1</v>
      </c>
      <c r="B2809" s="10" t="n">
        <v>44538</v>
      </c>
      <c r="C2809" s="11" t="s">
        <v>2827</v>
      </c>
      <c r="D2809" s="1" t="s">
        <v>9</v>
      </c>
      <c r="E2809" s="1" t="s">
        <v>20</v>
      </c>
      <c r="F2809" s="1" t="str">
        <f aca="false">TEXT(B2809,"mmm-yyyy")</f>
        <v>Dec-2021</v>
      </c>
    </row>
    <row r="2810" customFormat="false" ht="115.5" hidden="false" customHeight="true" outlineLevel="0" collapsed="false">
      <c r="A2810" s="1" t="n">
        <v>1</v>
      </c>
      <c r="B2810" s="10" t="n">
        <v>44329</v>
      </c>
      <c r="C2810" s="11" t="s">
        <v>2828</v>
      </c>
      <c r="D2810" s="1" t="s">
        <v>9</v>
      </c>
      <c r="E2810" s="1" t="s">
        <v>20</v>
      </c>
      <c r="F2810" s="1" t="str">
        <f aca="false">TEXT(B2810,"mmm-yyyy")</f>
        <v>May-2021</v>
      </c>
    </row>
    <row r="2811" customFormat="false" ht="115.5" hidden="false" customHeight="true" outlineLevel="0" collapsed="false">
      <c r="A2811" s="1" t="n">
        <v>1</v>
      </c>
      <c r="B2811" s="10" t="n">
        <v>44639</v>
      </c>
      <c r="C2811" s="11" t="s">
        <v>2829</v>
      </c>
      <c r="D2811" s="1" t="s">
        <v>9</v>
      </c>
      <c r="E2811" s="1" t="s">
        <v>20</v>
      </c>
      <c r="F2811" s="1" t="str">
        <f aca="false">TEXT(B2811,"mmm-yyyy")</f>
        <v>Mar-2022</v>
      </c>
    </row>
    <row r="2812" customFormat="false" ht="87" hidden="false" customHeight="true" outlineLevel="0" collapsed="false">
      <c r="A2812" s="1" t="n">
        <v>1</v>
      </c>
      <c r="B2812" s="10" t="n">
        <v>45060</v>
      </c>
      <c r="C2812" s="11" t="s">
        <v>2830</v>
      </c>
      <c r="D2812" s="1" t="s">
        <v>9</v>
      </c>
      <c r="E2812" s="1" t="s">
        <v>20</v>
      </c>
      <c r="F2812" s="1" t="str">
        <f aca="false">TEXT(B2812,"mmm-yyyy")</f>
        <v>May-2023</v>
      </c>
    </row>
    <row r="2813" customFormat="false" ht="130.5" hidden="false" customHeight="true" outlineLevel="0" collapsed="false">
      <c r="A2813" s="1" t="n">
        <v>1</v>
      </c>
      <c r="B2813" s="10" t="n">
        <v>44996</v>
      </c>
      <c r="C2813" s="11" t="s">
        <v>2831</v>
      </c>
      <c r="D2813" s="1" t="s">
        <v>9</v>
      </c>
      <c r="E2813" s="1" t="s">
        <v>20</v>
      </c>
      <c r="F2813" s="1" t="str">
        <f aca="false">TEXT(B2813,"mmm-yyyy")</f>
        <v>Mar-2023</v>
      </c>
    </row>
    <row r="2814" customFormat="false" ht="130.5" hidden="false" customHeight="true" outlineLevel="0" collapsed="false">
      <c r="A2814" s="1" t="n">
        <v>1</v>
      </c>
      <c r="B2814" s="10" t="n">
        <v>44855</v>
      </c>
      <c r="C2814" s="11" t="s">
        <v>2832</v>
      </c>
      <c r="D2814" s="1" t="s">
        <v>9</v>
      </c>
      <c r="E2814" s="1" t="s">
        <v>20</v>
      </c>
      <c r="F2814" s="1" t="str">
        <f aca="false">TEXT(B2814,"mmm-yyyy")</f>
        <v>Oct-2022</v>
      </c>
    </row>
    <row r="2815" customFormat="false" ht="115.5" hidden="false" customHeight="true" outlineLevel="0" collapsed="false">
      <c r="A2815" s="1" t="n">
        <v>1</v>
      </c>
      <c r="B2815" s="10" t="n">
        <v>44474</v>
      </c>
      <c r="C2815" s="11" t="s">
        <v>2833</v>
      </c>
      <c r="D2815" s="1" t="s">
        <v>9</v>
      </c>
      <c r="E2815" s="1" t="s">
        <v>20</v>
      </c>
      <c r="F2815" s="1" t="str">
        <f aca="false">TEXT(B2815,"mmm-yyyy")</f>
        <v>Oct-2021</v>
      </c>
    </row>
    <row r="2816" customFormat="false" ht="130.5" hidden="false" customHeight="true" outlineLevel="0" collapsed="false">
      <c r="A2816" s="1" t="n">
        <v>1</v>
      </c>
      <c r="B2816" s="10" t="n">
        <v>44468</v>
      </c>
      <c r="C2816" s="11" t="s">
        <v>2834</v>
      </c>
      <c r="D2816" s="1" t="s">
        <v>9</v>
      </c>
      <c r="E2816" s="1" t="s">
        <v>20</v>
      </c>
      <c r="F2816" s="1" t="str">
        <f aca="false">TEXT(B2816,"mmm-yyyy")</f>
        <v>Sep-2021</v>
      </c>
    </row>
    <row r="2817" customFormat="false" ht="43.5" hidden="false" customHeight="true" outlineLevel="0" collapsed="false">
      <c r="A2817" s="1" t="n">
        <v>2</v>
      </c>
      <c r="B2817" s="10" t="n">
        <v>45568</v>
      </c>
      <c r="C2817" s="11" t="s">
        <v>2835</v>
      </c>
      <c r="D2817" s="1" t="s">
        <v>9</v>
      </c>
      <c r="E2817" s="1" t="s">
        <v>20</v>
      </c>
      <c r="F2817" s="1" t="str">
        <f aca="false">TEXT(B2817,"mmm-yyyy")</f>
        <v>Oct-2024</v>
      </c>
    </row>
    <row r="2818" customFormat="false" ht="101.25" hidden="false" customHeight="true" outlineLevel="0" collapsed="false">
      <c r="A2818" s="1" t="n">
        <v>1</v>
      </c>
      <c r="B2818" s="10" t="n">
        <v>44501</v>
      </c>
      <c r="C2818" s="11" t="s">
        <v>2836</v>
      </c>
      <c r="D2818" s="1" t="s">
        <v>9</v>
      </c>
      <c r="E2818" s="1" t="s">
        <v>20</v>
      </c>
      <c r="F2818" s="1" t="str">
        <f aca="false">TEXT(B2818,"mmm-yyyy")</f>
        <v>Nov-2021</v>
      </c>
    </row>
    <row r="2819" customFormat="false" ht="101.25" hidden="false" customHeight="true" outlineLevel="0" collapsed="false">
      <c r="A2819" s="1" t="n">
        <v>1</v>
      </c>
      <c r="B2819" s="10" t="n">
        <v>44321</v>
      </c>
      <c r="C2819" s="11" t="s">
        <v>2837</v>
      </c>
      <c r="D2819" s="1" t="s">
        <v>9</v>
      </c>
      <c r="E2819" s="1" t="s">
        <v>20</v>
      </c>
      <c r="F2819" s="1" t="str">
        <f aca="false">TEXT(B2819,"mmm-yyyy")</f>
        <v>May-2021</v>
      </c>
    </row>
    <row r="2820" customFormat="false" ht="87" hidden="false" customHeight="true" outlineLevel="0" collapsed="false">
      <c r="A2820" s="1" t="n">
        <v>5</v>
      </c>
      <c r="B2820" s="10" t="n">
        <v>44081</v>
      </c>
      <c r="C2820" s="11" t="s">
        <v>2838</v>
      </c>
      <c r="D2820" s="1" t="s">
        <v>9</v>
      </c>
      <c r="E2820" s="1" t="s">
        <v>18</v>
      </c>
      <c r="F2820" s="1" t="str">
        <f aca="false">TEXT(B2820,"mmm-yyyy")</f>
        <v>Sep-2020</v>
      </c>
    </row>
    <row r="2821" customFormat="false" ht="130.5" hidden="false" customHeight="true" outlineLevel="0" collapsed="false">
      <c r="A2821" s="1" t="n">
        <v>1</v>
      </c>
      <c r="B2821" s="10" t="n">
        <v>44862</v>
      </c>
      <c r="C2821" s="11" t="s">
        <v>2839</v>
      </c>
      <c r="D2821" s="1" t="s">
        <v>9</v>
      </c>
      <c r="E2821" s="1" t="s">
        <v>20</v>
      </c>
      <c r="F2821" s="1" t="str">
        <f aca="false">TEXT(B2821,"mmm-yyyy")</f>
        <v>Oct-2022</v>
      </c>
    </row>
    <row r="2822" customFormat="false" ht="130.5" hidden="false" customHeight="true" outlineLevel="0" collapsed="false">
      <c r="A2822" s="1" t="n">
        <v>1</v>
      </c>
      <c r="B2822" s="10" t="n">
        <v>44062</v>
      </c>
      <c r="C2822" s="11" t="s">
        <v>2840</v>
      </c>
      <c r="D2822" s="1" t="s">
        <v>9</v>
      </c>
      <c r="E2822" s="1" t="s">
        <v>20</v>
      </c>
      <c r="F2822" s="1" t="str">
        <f aca="false">TEXT(B2822,"mmm-yyyy")</f>
        <v>Aug-2020</v>
      </c>
    </row>
    <row r="2823" customFormat="false" ht="115.5" hidden="false" customHeight="true" outlineLevel="0" collapsed="false">
      <c r="A2823" s="1" t="n">
        <v>3</v>
      </c>
      <c r="B2823" s="10" t="n">
        <v>45382</v>
      </c>
      <c r="C2823" s="11" t="s">
        <v>2841</v>
      </c>
      <c r="D2823" s="1" t="s">
        <v>9</v>
      </c>
      <c r="E2823" s="1" t="s">
        <v>20</v>
      </c>
      <c r="F2823" s="1" t="str">
        <f aca="false">TEXT(B2823,"mmm-yyyy")</f>
        <v>Mar-2024</v>
      </c>
    </row>
    <row r="2824" customFormat="false" ht="115.5" hidden="false" customHeight="true" outlineLevel="0" collapsed="false">
      <c r="A2824" s="1" t="n">
        <v>1</v>
      </c>
      <c r="B2824" s="10" t="n">
        <v>45060</v>
      </c>
      <c r="C2824" s="11" t="s">
        <v>2842</v>
      </c>
      <c r="D2824" s="1" t="s">
        <v>9</v>
      </c>
      <c r="E2824" s="1" t="s">
        <v>20</v>
      </c>
      <c r="F2824" s="1" t="str">
        <f aca="false">TEXT(B2824,"mmm-yyyy")</f>
        <v>May-2023</v>
      </c>
    </row>
    <row r="2825" customFormat="false" ht="115.5" hidden="false" customHeight="true" outlineLevel="0" collapsed="false">
      <c r="A2825" s="1" t="n">
        <v>1</v>
      </c>
      <c r="B2825" s="10" t="n">
        <v>44051</v>
      </c>
      <c r="C2825" s="11" t="s">
        <v>2843</v>
      </c>
      <c r="D2825" s="1" t="s">
        <v>9</v>
      </c>
      <c r="E2825" s="1" t="s">
        <v>20</v>
      </c>
      <c r="F2825" s="1" t="str">
        <f aca="false">TEXT(B2825,"mmm-yyyy")</f>
        <v>Aug-2020</v>
      </c>
    </row>
    <row r="2826" customFormat="false" ht="115.5" hidden="false" customHeight="true" outlineLevel="0" collapsed="false">
      <c r="A2826" s="1" t="n">
        <v>1</v>
      </c>
      <c r="B2826" s="10" t="n">
        <v>45496</v>
      </c>
      <c r="C2826" s="11" t="s">
        <v>2844</v>
      </c>
      <c r="D2826" s="1" t="s">
        <v>9</v>
      </c>
      <c r="E2826" s="1" t="s">
        <v>18</v>
      </c>
      <c r="F2826" s="1" t="str">
        <f aca="false">TEXT(B2826,"mmm-yyyy")</f>
        <v>Jul-2024</v>
      </c>
    </row>
    <row r="2827" customFormat="false" ht="115.5" hidden="false" customHeight="true" outlineLevel="0" collapsed="false">
      <c r="A2827" s="1" t="n">
        <v>1</v>
      </c>
      <c r="B2827" s="10" t="n">
        <v>45491</v>
      </c>
      <c r="C2827" s="11" t="s">
        <v>2845</v>
      </c>
      <c r="D2827" s="1" t="s">
        <v>9</v>
      </c>
      <c r="E2827" s="1" t="s">
        <v>18</v>
      </c>
      <c r="F2827" s="1" t="str">
        <f aca="false">TEXT(B2827,"mmm-yyyy")</f>
        <v>Jul-2024</v>
      </c>
    </row>
    <row r="2828" customFormat="false" ht="130.5" hidden="false" customHeight="true" outlineLevel="0" collapsed="false">
      <c r="A2828" s="1" t="n">
        <v>1</v>
      </c>
      <c r="B2828" s="10" t="n">
        <v>45482</v>
      </c>
      <c r="C2828" s="11" t="s">
        <v>2846</v>
      </c>
      <c r="D2828" s="1" t="s">
        <v>9</v>
      </c>
      <c r="E2828" s="1" t="s">
        <v>18</v>
      </c>
      <c r="F2828" s="1" t="str">
        <f aca="false">TEXT(B2828,"mmm-yyyy")</f>
        <v>Jul-2024</v>
      </c>
    </row>
    <row r="2829" customFormat="false" ht="87" hidden="false" customHeight="true" outlineLevel="0" collapsed="false">
      <c r="A2829" s="1" t="n">
        <v>1</v>
      </c>
      <c r="B2829" s="10" t="n">
        <v>45489</v>
      </c>
      <c r="C2829" s="11" t="s">
        <v>2847</v>
      </c>
      <c r="D2829" s="1" t="s">
        <v>9</v>
      </c>
      <c r="E2829" s="1" t="s">
        <v>20</v>
      </c>
      <c r="F2829" s="1" t="str">
        <f aca="false">TEXT(B2829,"mmm-yyyy")</f>
        <v>Jul-2024</v>
      </c>
    </row>
    <row r="2830" customFormat="false" ht="101.25" hidden="false" customHeight="true" outlineLevel="0" collapsed="false">
      <c r="A2830" s="1" t="n">
        <v>5</v>
      </c>
      <c r="B2830" s="10" t="n">
        <v>45491</v>
      </c>
      <c r="C2830" s="11" t="s">
        <v>2848</v>
      </c>
      <c r="D2830" s="1" t="s">
        <v>9</v>
      </c>
      <c r="E2830" s="1" t="s">
        <v>18</v>
      </c>
      <c r="F2830" s="1" t="str">
        <f aca="false">TEXT(B2830,"mmm-yyyy")</f>
        <v>Jul-2024</v>
      </c>
    </row>
    <row r="2831" customFormat="false" ht="130.5" hidden="false" customHeight="true" outlineLevel="0" collapsed="false">
      <c r="A2831" s="1" t="n">
        <v>4</v>
      </c>
      <c r="B2831" s="10" t="n">
        <v>45507</v>
      </c>
      <c r="C2831" s="11" t="s">
        <v>2849</v>
      </c>
      <c r="D2831" s="1" t="s">
        <v>9</v>
      </c>
      <c r="E2831" s="1" t="s">
        <v>20</v>
      </c>
      <c r="F2831" s="1" t="str">
        <f aca="false">TEXT(B2831,"mmm-yyyy")</f>
        <v>Aug-2024</v>
      </c>
    </row>
    <row r="2832" customFormat="false" ht="87" hidden="false" customHeight="true" outlineLevel="0" collapsed="false">
      <c r="A2832" s="1" t="n">
        <v>1</v>
      </c>
      <c r="B2832" s="10" t="n">
        <v>45491</v>
      </c>
      <c r="C2832" s="11" t="s">
        <v>2850</v>
      </c>
      <c r="D2832" s="1" t="s">
        <v>9</v>
      </c>
      <c r="E2832" s="1" t="s">
        <v>20</v>
      </c>
      <c r="F2832" s="1" t="str">
        <f aca="false">TEXT(B2832,"mmm-yyyy")</f>
        <v>Jul-2024</v>
      </c>
    </row>
    <row r="2833" customFormat="false" ht="101.25" hidden="false" customHeight="true" outlineLevel="0" collapsed="false">
      <c r="A2833" s="1" t="n">
        <v>1</v>
      </c>
      <c r="B2833" s="10" t="n">
        <v>45494</v>
      </c>
      <c r="C2833" s="11" t="s">
        <v>2851</v>
      </c>
      <c r="D2833" s="1" t="s">
        <v>9</v>
      </c>
      <c r="E2833" s="1" t="s">
        <v>20</v>
      </c>
      <c r="F2833" s="1" t="str">
        <f aca="false">TEXT(B2833,"mmm-yyyy")</f>
        <v>Jul-2024</v>
      </c>
    </row>
    <row r="2834" customFormat="false" ht="101.25" hidden="false" customHeight="true" outlineLevel="0" collapsed="false">
      <c r="A2834" s="1" t="n">
        <v>1</v>
      </c>
      <c r="B2834" s="10" t="n">
        <v>44041</v>
      </c>
      <c r="C2834" s="11" t="s">
        <v>2852</v>
      </c>
      <c r="D2834" s="1" t="s">
        <v>9</v>
      </c>
      <c r="E2834" s="1" t="s">
        <v>20</v>
      </c>
      <c r="F2834" s="1" t="str">
        <f aca="false">TEXT(B2834,"mmm-yyyy")</f>
        <v>Jul-2020</v>
      </c>
    </row>
    <row r="2835" customFormat="false" ht="87" hidden="false" customHeight="true" outlineLevel="0" collapsed="false">
      <c r="A2835" s="1" t="n">
        <v>1</v>
      </c>
      <c r="B2835" s="10" t="n">
        <v>45484</v>
      </c>
      <c r="C2835" s="11" t="s">
        <v>2853</v>
      </c>
      <c r="D2835" s="1" t="s">
        <v>9</v>
      </c>
      <c r="E2835" s="1" t="s">
        <v>20</v>
      </c>
      <c r="F2835" s="1" t="str">
        <f aca="false">TEXT(B2835,"mmm-yyyy")</f>
        <v>Jul-2024</v>
      </c>
    </row>
    <row r="2836" customFormat="false" ht="130.5" hidden="false" customHeight="true" outlineLevel="0" collapsed="false">
      <c r="A2836" s="1" t="n">
        <v>1</v>
      </c>
      <c r="B2836" s="10" t="n">
        <v>45522</v>
      </c>
      <c r="C2836" s="11" t="s">
        <v>2854</v>
      </c>
      <c r="D2836" s="1" t="s">
        <v>9</v>
      </c>
      <c r="E2836" s="1" t="s">
        <v>20</v>
      </c>
      <c r="F2836" s="1" t="str">
        <f aca="false">TEXT(B2836,"mmm-yyyy")</f>
        <v>Aug-2024</v>
      </c>
    </row>
    <row r="2837" customFormat="false" ht="87" hidden="false" customHeight="true" outlineLevel="0" collapsed="false">
      <c r="A2837" s="1" t="n">
        <v>1</v>
      </c>
      <c r="B2837" s="10" t="n">
        <v>45488</v>
      </c>
      <c r="C2837" s="11" t="s">
        <v>2855</v>
      </c>
      <c r="D2837" s="1" t="s">
        <v>9</v>
      </c>
      <c r="E2837" s="1" t="s">
        <v>20</v>
      </c>
      <c r="F2837" s="1" t="str">
        <f aca="false">TEXT(B2837,"mmm-yyyy")</f>
        <v>Jul-2024</v>
      </c>
    </row>
    <row r="2838" customFormat="false" ht="130.5" hidden="false" customHeight="true" outlineLevel="0" collapsed="false">
      <c r="A2838" s="1" t="n">
        <v>1</v>
      </c>
      <c r="B2838" s="10" t="n">
        <v>45540</v>
      </c>
      <c r="C2838" s="11" t="s">
        <v>2856</v>
      </c>
      <c r="D2838" s="1" t="s">
        <v>9</v>
      </c>
      <c r="E2838" s="1" t="s">
        <v>20</v>
      </c>
      <c r="F2838" s="1" t="str">
        <f aca="false">TEXT(B2838,"mmm-yyyy")</f>
        <v>Sep-2024</v>
      </c>
    </row>
    <row r="2839" customFormat="false" ht="115.5" hidden="false" customHeight="true" outlineLevel="0" collapsed="false">
      <c r="A2839" s="1" t="n">
        <v>5</v>
      </c>
      <c r="B2839" s="10" t="n">
        <v>45495</v>
      </c>
      <c r="C2839" s="11" t="s">
        <v>2857</v>
      </c>
      <c r="D2839" s="1" t="s">
        <v>9</v>
      </c>
      <c r="E2839" s="1" t="s">
        <v>18</v>
      </c>
      <c r="F2839" s="1" t="str">
        <f aca="false">TEXT(B2839,"mmm-yyyy")</f>
        <v>Jul-2024</v>
      </c>
    </row>
    <row r="2840" customFormat="false" ht="87" hidden="false" customHeight="true" outlineLevel="0" collapsed="false">
      <c r="A2840" s="1" t="n">
        <v>1</v>
      </c>
      <c r="B2840" s="10" t="n">
        <v>45482</v>
      </c>
      <c r="C2840" s="11" t="s">
        <v>2858</v>
      </c>
      <c r="D2840" s="1" t="s">
        <v>9</v>
      </c>
      <c r="E2840" s="1" t="s">
        <v>20</v>
      </c>
      <c r="F2840" s="1" t="str">
        <f aca="false">TEXT(B2840,"mmm-yyyy")</f>
        <v>Jul-2024</v>
      </c>
    </row>
    <row r="2841" customFormat="false" ht="130.5" hidden="false" customHeight="true" outlineLevel="0" collapsed="false">
      <c r="A2841" s="1" t="n">
        <v>1</v>
      </c>
      <c r="B2841" s="10" t="n">
        <v>45490</v>
      </c>
      <c r="C2841" s="11" t="s">
        <v>2859</v>
      </c>
      <c r="D2841" s="1" t="s">
        <v>9</v>
      </c>
      <c r="E2841" s="1" t="s">
        <v>18</v>
      </c>
      <c r="F2841" s="1" t="str">
        <f aca="false">TEXT(B2841,"mmm-yyyy")</f>
        <v>Jul-2024</v>
      </c>
    </row>
    <row r="2842" customFormat="false" ht="115.5" hidden="false" customHeight="true" outlineLevel="0" collapsed="false">
      <c r="A2842" s="1" t="n">
        <v>1</v>
      </c>
      <c r="B2842" s="10" t="n">
        <v>45495</v>
      </c>
      <c r="C2842" s="11" t="s">
        <v>2860</v>
      </c>
      <c r="D2842" s="1" t="s">
        <v>9</v>
      </c>
      <c r="E2842" s="1" t="s">
        <v>18</v>
      </c>
      <c r="F2842" s="1" t="str">
        <f aca="false">TEXT(B2842,"mmm-yyyy")</f>
        <v>Jul-2024</v>
      </c>
    </row>
    <row r="2843" customFormat="false" ht="87" hidden="false" customHeight="true" outlineLevel="0" collapsed="false">
      <c r="A2843" s="1" t="n">
        <v>1</v>
      </c>
      <c r="B2843" s="10" t="n">
        <v>45489</v>
      </c>
      <c r="C2843" s="11" t="s">
        <v>2861</v>
      </c>
      <c r="D2843" s="1" t="s">
        <v>9</v>
      </c>
      <c r="E2843" s="1" t="s">
        <v>32</v>
      </c>
      <c r="F2843" s="1" t="str">
        <f aca="false">TEXT(B2843,"mmm-yyyy")</f>
        <v>Jul-2024</v>
      </c>
    </row>
    <row r="2844" customFormat="false" ht="115.5" hidden="false" customHeight="true" outlineLevel="0" collapsed="false">
      <c r="A2844" s="1" t="n">
        <v>1</v>
      </c>
      <c r="B2844" s="10" t="n">
        <v>45484</v>
      </c>
      <c r="C2844" s="11" t="s">
        <v>2862</v>
      </c>
      <c r="D2844" s="1" t="s">
        <v>9</v>
      </c>
      <c r="E2844" s="1" t="s">
        <v>20</v>
      </c>
      <c r="F2844" s="1" t="str">
        <f aca="false">TEXT(B2844,"mmm-yyyy")</f>
        <v>Jul-2024</v>
      </c>
    </row>
    <row r="2845" customFormat="false" ht="130.5" hidden="false" customHeight="true" outlineLevel="0" collapsed="false">
      <c r="A2845" s="1" t="n">
        <v>1</v>
      </c>
      <c r="B2845" s="10" t="n">
        <v>45525</v>
      </c>
      <c r="C2845" s="11" t="s">
        <v>2863</v>
      </c>
      <c r="D2845" s="1" t="s">
        <v>9</v>
      </c>
      <c r="E2845" s="1" t="s">
        <v>18</v>
      </c>
      <c r="F2845" s="1" t="str">
        <f aca="false">TEXT(B2845,"mmm-yyyy")</f>
        <v>Aug-2024</v>
      </c>
    </row>
    <row r="2846" customFormat="false" ht="130.5" hidden="false" customHeight="true" outlineLevel="0" collapsed="false">
      <c r="A2846" s="1" t="n">
        <v>1</v>
      </c>
      <c r="B2846" s="10" t="n">
        <v>45508</v>
      </c>
      <c r="C2846" s="11" t="s">
        <v>2864</v>
      </c>
      <c r="D2846" s="1" t="s">
        <v>9</v>
      </c>
      <c r="E2846" s="1" t="s">
        <v>20</v>
      </c>
      <c r="F2846" s="1" t="str">
        <f aca="false">TEXT(B2846,"mmm-yyyy")</f>
        <v>Aug-2024</v>
      </c>
    </row>
    <row r="2847" customFormat="false" ht="101.25" hidden="false" customHeight="true" outlineLevel="0" collapsed="false">
      <c r="A2847" s="1" t="n">
        <v>2</v>
      </c>
      <c r="B2847" s="10" t="n">
        <v>45538</v>
      </c>
      <c r="C2847" s="11" t="s">
        <v>2865</v>
      </c>
      <c r="D2847" s="1" t="s">
        <v>9</v>
      </c>
      <c r="E2847" s="1" t="s">
        <v>18</v>
      </c>
      <c r="F2847" s="1" t="str">
        <f aca="false">TEXT(B2847,"mmm-yyyy")</f>
        <v>Sep-2024</v>
      </c>
    </row>
    <row r="2848" customFormat="false" ht="87" hidden="false" customHeight="true" outlineLevel="0" collapsed="false">
      <c r="A2848" s="1" t="n">
        <v>1</v>
      </c>
      <c r="B2848" s="10" t="n">
        <v>45487</v>
      </c>
      <c r="C2848" s="11" t="s">
        <v>2866</v>
      </c>
      <c r="D2848" s="1" t="s">
        <v>9</v>
      </c>
      <c r="E2848" s="1" t="s">
        <v>20</v>
      </c>
      <c r="F2848" s="1" t="str">
        <f aca="false">TEXT(B2848,"mmm-yyyy")</f>
        <v>Jul-2024</v>
      </c>
    </row>
    <row r="2849" customFormat="false" ht="130.5" hidden="false" customHeight="true" outlineLevel="0" collapsed="false">
      <c r="A2849" s="1" t="n">
        <v>1</v>
      </c>
      <c r="B2849" s="10" t="n">
        <v>45498</v>
      </c>
      <c r="C2849" s="11" t="s">
        <v>2867</v>
      </c>
      <c r="D2849" s="1" t="s">
        <v>9</v>
      </c>
      <c r="E2849" s="1" t="s">
        <v>20</v>
      </c>
      <c r="F2849" s="1" t="str">
        <f aca="false">TEXT(B2849,"mmm-yyyy")</f>
        <v>Jul-2024</v>
      </c>
    </row>
    <row r="2850" customFormat="false" ht="115.5" hidden="false" customHeight="true" outlineLevel="0" collapsed="false">
      <c r="A2850" s="1" t="n">
        <v>1</v>
      </c>
      <c r="B2850" s="10" t="n">
        <v>45482</v>
      </c>
      <c r="C2850" s="11" t="s">
        <v>2868</v>
      </c>
      <c r="D2850" s="1" t="s">
        <v>9</v>
      </c>
      <c r="E2850" s="1" t="s">
        <v>20</v>
      </c>
      <c r="F2850" s="1" t="str">
        <f aca="false">TEXT(B2850,"mmm-yyyy")</f>
        <v>Jul-2024</v>
      </c>
    </row>
    <row r="2851" customFormat="false" ht="87" hidden="false" customHeight="true" outlineLevel="0" collapsed="false">
      <c r="A2851" s="1" t="n">
        <v>1</v>
      </c>
      <c r="B2851" s="10" t="n">
        <v>45532</v>
      </c>
      <c r="C2851" s="11" t="s">
        <v>2869</v>
      </c>
      <c r="D2851" s="1" t="s">
        <v>9</v>
      </c>
      <c r="E2851" s="1" t="s">
        <v>20</v>
      </c>
      <c r="F2851" s="1" t="str">
        <f aca="false">TEXT(B2851,"mmm-yyyy")</f>
        <v>Aug-2024</v>
      </c>
    </row>
    <row r="2852" customFormat="false" ht="130.5" hidden="false" customHeight="true" outlineLevel="0" collapsed="false">
      <c r="A2852" s="1" t="n">
        <v>1</v>
      </c>
      <c r="B2852" s="10" t="n">
        <v>45484</v>
      </c>
      <c r="C2852" s="11" t="s">
        <v>2870</v>
      </c>
      <c r="D2852" s="1" t="s">
        <v>9</v>
      </c>
      <c r="E2852" s="1" t="s">
        <v>20</v>
      </c>
      <c r="F2852" s="1" t="str">
        <f aca="false">TEXT(B2852,"mmm-yyyy")</f>
        <v>Jul-2024</v>
      </c>
    </row>
    <row r="2853" customFormat="false" ht="130.5" hidden="false" customHeight="true" outlineLevel="0" collapsed="false">
      <c r="A2853" s="1" t="n">
        <v>1</v>
      </c>
      <c r="B2853" s="10" t="n">
        <v>45521</v>
      </c>
      <c r="C2853" s="11" t="s">
        <v>2871</v>
      </c>
      <c r="D2853" s="1" t="s">
        <v>9</v>
      </c>
      <c r="E2853" s="1" t="s">
        <v>20</v>
      </c>
      <c r="F2853" s="1" t="str">
        <f aca="false">TEXT(B2853,"mmm-yyyy")</f>
        <v>Aug-2024</v>
      </c>
    </row>
    <row r="2854" customFormat="false" ht="72" hidden="false" customHeight="true" outlineLevel="0" collapsed="false">
      <c r="A2854" s="1" t="n">
        <v>1</v>
      </c>
      <c r="B2854" s="10" t="n">
        <v>45486</v>
      </c>
      <c r="C2854" s="11" t="s">
        <v>2872</v>
      </c>
      <c r="D2854" s="1" t="s">
        <v>9</v>
      </c>
      <c r="E2854" s="1" t="s">
        <v>20</v>
      </c>
      <c r="F2854" s="1" t="str">
        <f aca="false">TEXT(B2854,"mmm-yyyy")</f>
        <v>Jul-2024</v>
      </c>
    </row>
    <row r="2855" customFormat="false" ht="130.5" hidden="false" customHeight="true" outlineLevel="0" collapsed="false">
      <c r="A2855" s="1" t="n">
        <v>1</v>
      </c>
      <c r="B2855" s="10" t="n">
        <v>45492</v>
      </c>
      <c r="C2855" s="11" t="s">
        <v>2873</v>
      </c>
      <c r="D2855" s="1" t="s">
        <v>9</v>
      </c>
      <c r="E2855" s="1" t="s">
        <v>20</v>
      </c>
      <c r="F2855" s="1" t="str">
        <f aca="false">TEXT(B2855,"mmm-yyyy")</f>
        <v>Jul-2024</v>
      </c>
    </row>
    <row r="2856" customFormat="false" ht="72" hidden="false" customHeight="true" outlineLevel="0" collapsed="false">
      <c r="A2856" s="1" t="n">
        <v>1</v>
      </c>
      <c r="B2856" s="10" t="n">
        <v>45485</v>
      </c>
      <c r="C2856" s="11" t="s">
        <v>2874</v>
      </c>
      <c r="D2856" s="1" t="s">
        <v>9</v>
      </c>
      <c r="E2856" s="1" t="s">
        <v>20</v>
      </c>
      <c r="F2856" s="1" t="str">
        <f aca="false">TEXT(B2856,"mmm-yyyy")</f>
        <v>Jul-2024</v>
      </c>
    </row>
    <row r="2857" customFormat="false" ht="72" hidden="false" customHeight="true" outlineLevel="0" collapsed="false">
      <c r="A2857" s="1" t="n">
        <v>1</v>
      </c>
      <c r="B2857" s="10" t="n">
        <v>45556</v>
      </c>
      <c r="C2857" s="11" t="s">
        <v>2875</v>
      </c>
      <c r="D2857" s="1" t="s">
        <v>9</v>
      </c>
      <c r="E2857" s="1" t="s">
        <v>18</v>
      </c>
      <c r="F2857" s="1" t="str">
        <f aca="false">TEXT(B2857,"mmm-yyyy")</f>
        <v>Sep-2024</v>
      </c>
    </row>
    <row r="2858" customFormat="false" ht="72" hidden="false" customHeight="true" outlineLevel="0" collapsed="false">
      <c r="A2858" s="1" t="n">
        <v>1</v>
      </c>
      <c r="B2858" s="10" t="n">
        <v>45480</v>
      </c>
      <c r="C2858" s="11" t="s">
        <v>2876</v>
      </c>
      <c r="D2858" s="1" t="s">
        <v>9</v>
      </c>
      <c r="E2858" s="1" t="s">
        <v>20</v>
      </c>
      <c r="F2858" s="1" t="str">
        <f aca="false">TEXT(B2858,"mmm-yyyy")</f>
        <v>Jul-2024</v>
      </c>
    </row>
    <row r="2859" customFormat="false" ht="130.5" hidden="false" customHeight="true" outlineLevel="0" collapsed="false">
      <c r="A2859" s="1" t="n">
        <v>1</v>
      </c>
      <c r="B2859" s="10" t="n">
        <v>45478</v>
      </c>
      <c r="C2859" s="11" t="s">
        <v>2877</v>
      </c>
      <c r="D2859" s="1" t="s">
        <v>9</v>
      </c>
      <c r="E2859" s="1" t="s">
        <v>18</v>
      </c>
      <c r="F2859" s="1" t="str">
        <f aca="false">TEXT(B2859,"mmm-yyyy")</f>
        <v>Jul-2024</v>
      </c>
    </row>
    <row r="2860" customFormat="false" ht="101.25" hidden="false" customHeight="true" outlineLevel="0" collapsed="false">
      <c r="A2860" s="1" t="n">
        <v>1</v>
      </c>
      <c r="B2860" s="10" t="n">
        <v>45420</v>
      </c>
      <c r="C2860" s="11" t="s">
        <v>2878</v>
      </c>
      <c r="D2860" s="1" t="s">
        <v>9</v>
      </c>
      <c r="E2860" s="1" t="s">
        <v>20</v>
      </c>
      <c r="F2860" s="1" t="str">
        <f aca="false">TEXT(B2860,"mmm-yyyy")</f>
        <v>May-2024</v>
      </c>
    </row>
    <row r="2861" customFormat="false" ht="72" hidden="false" customHeight="true" outlineLevel="0" collapsed="false">
      <c r="A2861" s="1" t="n">
        <v>1</v>
      </c>
      <c r="B2861" s="10" t="n">
        <v>45482</v>
      </c>
      <c r="C2861" s="11" t="s">
        <v>2879</v>
      </c>
      <c r="D2861" s="1" t="s">
        <v>9</v>
      </c>
      <c r="E2861" s="1" t="s">
        <v>20</v>
      </c>
      <c r="F2861" s="1" t="str">
        <f aca="false">TEXT(B2861,"mmm-yyyy")</f>
        <v>Jul-2024</v>
      </c>
    </row>
    <row r="2862" customFormat="false" ht="130.5" hidden="false" customHeight="true" outlineLevel="0" collapsed="false">
      <c r="A2862" s="1" t="n">
        <v>1</v>
      </c>
      <c r="B2862" s="10" t="n">
        <v>45524</v>
      </c>
      <c r="C2862" s="11" t="s">
        <v>2880</v>
      </c>
      <c r="D2862" s="1" t="s">
        <v>9</v>
      </c>
      <c r="E2862" s="1" t="s">
        <v>20</v>
      </c>
      <c r="F2862" s="1" t="str">
        <f aca="false">TEXT(B2862,"mmm-yyyy")</f>
        <v>Aug-2024</v>
      </c>
    </row>
    <row r="2863" customFormat="false" ht="144.75" hidden="false" customHeight="true" outlineLevel="0" collapsed="false">
      <c r="A2863" s="1" t="n">
        <v>1</v>
      </c>
      <c r="B2863" s="10" t="n">
        <v>45515</v>
      </c>
      <c r="C2863" s="11" t="s">
        <v>2881</v>
      </c>
      <c r="D2863" s="1" t="s">
        <v>9</v>
      </c>
      <c r="E2863" s="1" t="s">
        <v>20</v>
      </c>
      <c r="F2863" s="1" t="str">
        <f aca="false">TEXT(B2863,"mmm-yyyy")</f>
        <v>Aug-2024</v>
      </c>
    </row>
    <row r="2864" customFormat="false" ht="130.5" hidden="false" customHeight="true" outlineLevel="0" collapsed="false">
      <c r="A2864" s="1" t="n">
        <v>1</v>
      </c>
      <c r="B2864" s="10" t="n">
        <v>44752</v>
      </c>
      <c r="C2864" s="11" t="s">
        <v>2882</v>
      </c>
      <c r="D2864" s="1" t="s">
        <v>9</v>
      </c>
      <c r="E2864" s="1" t="s">
        <v>20</v>
      </c>
      <c r="F2864" s="1" t="str">
        <f aca="false">TEXT(B2864,"mmm-yyyy")</f>
        <v>Jul-2022</v>
      </c>
    </row>
    <row r="2865" customFormat="false" ht="87" hidden="false" customHeight="true" outlineLevel="0" collapsed="false">
      <c r="A2865" s="1" t="n">
        <v>1</v>
      </c>
      <c r="B2865" s="10" t="n">
        <v>45485</v>
      </c>
      <c r="C2865" s="11" t="s">
        <v>2883</v>
      </c>
      <c r="D2865" s="1" t="s">
        <v>9</v>
      </c>
      <c r="E2865" s="1" t="s">
        <v>20</v>
      </c>
      <c r="F2865" s="1" t="str">
        <f aca="false">TEXT(B2865,"mmm-yyyy")</f>
        <v>Jul-2024</v>
      </c>
    </row>
    <row r="2866" customFormat="false" ht="87" hidden="false" customHeight="true" outlineLevel="0" collapsed="false">
      <c r="A2866" s="1" t="n">
        <v>1</v>
      </c>
      <c r="B2866" s="10" t="n">
        <v>45486</v>
      </c>
      <c r="C2866" s="11" t="s">
        <v>2884</v>
      </c>
      <c r="D2866" s="1" t="s">
        <v>9</v>
      </c>
      <c r="E2866" s="1" t="s">
        <v>20</v>
      </c>
      <c r="F2866" s="1" t="str">
        <f aca="false">TEXT(B2866,"mmm-yyyy")</f>
        <v>Jul-2024</v>
      </c>
    </row>
    <row r="2867" customFormat="false" ht="101.25" hidden="false" customHeight="true" outlineLevel="0" collapsed="false">
      <c r="A2867" s="1" t="n">
        <v>1</v>
      </c>
      <c r="B2867" s="10" t="n">
        <v>45481</v>
      </c>
      <c r="C2867" s="11" t="s">
        <v>2885</v>
      </c>
      <c r="D2867" s="1" t="s">
        <v>9</v>
      </c>
      <c r="E2867" s="1" t="s">
        <v>20</v>
      </c>
      <c r="F2867" s="1" t="str">
        <f aca="false">TEXT(B2867,"mmm-yyyy")</f>
        <v>Jul-2024</v>
      </c>
    </row>
    <row r="2868" customFormat="false" ht="130.5" hidden="false" customHeight="true" outlineLevel="0" collapsed="false">
      <c r="A2868" s="1" t="n">
        <v>1</v>
      </c>
      <c r="B2868" s="10" t="n">
        <v>45480</v>
      </c>
      <c r="C2868" s="11" t="s">
        <v>2886</v>
      </c>
      <c r="D2868" s="1" t="s">
        <v>9</v>
      </c>
      <c r="E2868" s="1" t="s">
        <v>20</v>
      </c>
      <c r="F2868" s="1" t="str">
        <f aca="false">TEXT(B2868,"mmm-yyyy")</f>
        <v>Jul-2024</v>
      </c>
    </row>
    <row r="2869" customFormat="false" ht="72" hidden="false" customHeight="true" outlineLevel="0" collapsed="false">
      <c r="A2869" s="1" t="n">
        <v>1</v>
      </c>
      <c r="B2869" s="10" t="n">
        <v>45497</v>
      </c>
      <c r="C2869" s="11" t="s">
        <v>2887</v>
      </c>
      <c r="D2869" s="1" t="s">
        <v>9</v>
      </c>
      <c r="E2869" s="1" t="s">
        <v>18</v>
      </c>
      <c r="F2869" s="1" t="str">
        <f aca="false">TEXT(B2869,"mmm-yyyy")</f>
        <v>Jul-2024</v>
      </c>
    </row>
    <row r="2870" customFormat="false" ht="87" hidden="false" customHeight="true" outlineLevel="0" collapsed="false">
      <c r="A2870" s="1" t="n">
        <v>1</v>
      </c>
      <c r="B2870" s="10" t="n">
        <v>45480</v>
      </c>
      <c r="C2870" s="11" t="s">
        <v>2888</v>
      </c>
      <c r="D2870" s="1" t="s">
        <v>9</v>
      </c>
      <c r="E2870" s="1" t="s">
        <v>20</v>
      </c>
      <c r="F2870" s="1" t="str">
        <f aca="false">TEXT(B2870,"mmm-yyyy")</f>
        <v>Jul-2024</v>
      </c>
    </row>
    <row r="2871" customFormat="false" ht="72" hidden="false" customHeight="true" outlineLevel="0" collapsed="false">
      <c r="A2871" s="1" t="n">
        <v>1</v>
      </c>
      <c r="B2871" s="10" t="n">
        <v>45479</v>
      </c>
      <c r="C2871" s="11" t="s">
        <v>2889</v>
      </c>
      <c r="D2871" s="1" t="s">
        <v>9</v>
      </c>
      <c r="E2871" s="1" t="s">
        <v>20</v>
      </c>
      <c r="F2871" s="1" t="str">
        <f aca="false">TEXT(B2871,"mmm-yyyy")</f>
        <v>Jul-2024</v>
      </c>
    </row>
    <row r="2872" customFormat="false" ht="57.75" hidden="false" customHeight="true" outlineLevel="0" collapsed="false">
      <c r="A2872" s="1" t="n">
        <v>1</v>
      </c>
      <c r="B2872" s="10" t="n">
        <v>45484</v>
      </c>
      <c r="C2872" s="11" t="s">
        <v>2890</v>
      </c>
      <c r="D2872" s="1" t="s">
        <v>9</v>
      </c>
      <c r="E2872" s="1" t="s">
        <v>20</v>
      </c>
      <c r="F2872" s="1" t="str">
        <f aca="false">TEXT(B2872,"mmm-yyyy")</f>
        <v>Jul-2024</v>
      </c>
    </row>
    <row r="2873" customFormat="false" ht="72" hidden="false" customHeight="true" outlineLevel="0" collapsed="false">
      <c r="A2873" s="1" t="n">
        <v>1</v>
      </c>
      <c r="B2873" s="10" t="n">
        <v>45489</v>
      </c>
      <c r="C2873" s="11" t="s">
        <v>2891</v>
      </c>
      <c r="D2873" s="1" t="s">
        <v>9</v>
      </c>
      <c r="E2873" s="1" t="s">
        <v>20</v>
      </c>
      <c r="F2873" s="1" t="str">
        <f aca="false">TEXT(B2873,"mmm-yyyy")</f>
        <v>Jul-2024</v>
      </c>
    </row>
    <row r="2874" customFormat="false" ht="72" hidden="false" customHeight="true" outlineLevel="0" collapsed="false">
      <c r="A2874" s="1" t="n">
        <v>1</v>
      </c>
      <c r="B2874" s="10" t="n">
        <v>44746</v>
      </c>
      <c r="C2874" s="11" t="s">
        <v>2892</v>
      </c>
      <c r="D2874" s="1" t="s">
        <v>9</v>
      </c>
      <c r="E2874" s="1" t="s">
        <v>20</v>
      </c>
      <c r="F2874" s="1" t="str">
        <f aca="false">TEXT(B2874,"mmm-yyyy")</f>
        <v>Jul-2022</v>
      </c>
    </row>
    <row r="2875" customFormat="false" ht="72" hidden="false" customHeight="true" outlineLevel="0" collapsed="false">
      <c r="A2875" s="1" t="n">
        <v>1</v>
      </c>
      <c r="B2875" s="10" t="n">
        <v>45500</v>
      </c>
      <c r="C2875" s="11" t="s">
        <v>2893</v>
      </c>
      <c r="D2875" s="1" t="s">
        <v>9</v>
      </c>
      <c r="E2875" s="1" t="s">
        <v>20</v>
      </c>
      <c r="F2875" s="1" t="str">
        <f aca="false">TEXT(B2875,"mmm-yyyy")</f>
        <v>Jul-2024</v>
      </c>
    </row>
    <row r="2876" customFormat="false" ht="130.5" hidden="false" customHeight="true" outlineLevel="0" collapsed="false">
      <c r="A2876" s="1" t="n">
        <v>1</v>
      </c>
      <c r="B2876" s="10" t="n">
        <v>45095</v>
      </c>
      <c r="C2876" s="11" t="s">
        <v>2894</v>
      </c>
      <c r="D2876" s="1" t="s">
        <v>9</v>
      </c>
      <c r="E2876" s="1" t="s">
        <v>20</v>
      </c>
      <c r="F2876" s="1" t="str">
        <f aca="false">TEXT(B2876,"mmm-yyyy")</f>
        <v>Jun-2023</v>
      </c>
    </row>
    <row r="2877" customFormat="false" ht="144.75" hidden="false" customHeight="true" outlineLevel="0" collapsed="false">
      <c r="A2877" s="1" t="n">
        <v>1</v>
      </c>
      <c r="B2877" s="10" t="n">
        <v>45482</v>
      </c>
      <c r="C2877" s="11" t="s">
        <v>2895</v>
      </c>
      <c r="D2877" s="1" t="s">
        <v>9</v>
      </c>
      <c r="E2877" s="1" t="s">
        <v>20</v>
      </c>
      <c r="F2877" s="1" t="str">
        <f aca="false">TEXT(B2877,"mmm-yyyy")</f>
        <v>Jul-2024</v>
      </c>
    </row>
    <row r="2878" customFormat="false" ht="115.5" hidden="false" customHeight="true" outlineLevel="0" collapsed="false">
      <c r="A2878" s="1" t="n">
        <v>1</v>
      </c>
      <c r="B2878" s="10" t="n">
        <v>45483</v>
      </c>
      <c r="C2878" s="11" t="s">
        <v>2896</v>
      </c>
      <c r="D2878" s="1" t="s">
        <v>9</v>
      </c>
      <c r="E2878" s="1" t="s">
        <v>20</v>
      </c>
      <c r="F2878" s="1" t="str">
        <f aca="false">TEXT(B2878,"mmm-yyyy")</f>
        <v>Jul-2024</v>
      </c>
    </row>
    <row r="2879" customFormat="false" ht="130.5" hidden="false" customHeight="true" outlineLevel="0" collapsed="false">
      <c r="A2879" s="1" t="n">
        <v>1</v>
      </c>
      <c r="B2879" s="10" t="n">
        <v>45456</v>
      </c>
      <c r="C2879" s="11" t="s">
        <v>2897</v>
      </c>
      <c r="D2879" s="1" t="s">
        <v>9</v>
      </c>
      <c r="E2879" s="1" t="s">
        <v>20</v>
      </c>
      <c r="F2879" s="1" t="str">
        <f aca="false">TEXT(B2879,"mmm-yyyy")</f>
        <v>Jun-2024</v>
      </c>
    </row>
    <row r="2880" customFormat="false" ht="57.75" hidden="false" customHeight="true" outlineLevel="0" collapsed="false">
      <c r="A2880" s="1" t="n">
        <v>1</v>
      </c>
      <c r="B2880" s="10" t="n">
        <v>45481</v>
      </c>
      <c r="C2880" s="11" t="s">
        <v>2898</v>
      </c>
      <c r="D2880" s="1" t="s">
        <v>9</v>
      </c>
      <c r="E2880" s="1" t="s">
        <v>20</v>
      </c>
      <c r="F2880" s="1" t="str">
        <f aca="false">TEXT(B2880,"mmm-yyyy")</f>
        <v>Jul-2024</v>
      </c>
    </row>
    <row r="2881" customFormat="false" ht="87" hidden="false" customHeight="true" outlineLevel="0" collapsed="false">
      <c r="A2881" s="1" t="n">
        <v>1</v>
      </c>
      <c r="B2881" s="10" t="n">
        <v>45480</v>
      </c>
      <c r="C2881" s="11" t="s">
        <v>2899</v>
      </c>
      <c r="D2881" s="1" t="s">
        <v>9</v>
      </c>
      <c r="E2881" s="1" t="s">
        <v>18</v>
      </c>
      <c r="F2881" s="1" t="str">
        <f aca="false">TEXT(B2881,"mmm-yyyy")</f>
        <v>Jul-2024</v>
      </c>
    </row>
    <row r="2882" customFormat="false" ht="87" hidden="false" customHeight="true" outlineLevel="0" collapsed="false">
      <c r="A2882" s="1" t="n">
        <v>1</v>
      </c>
      <c r="B2882" s="10" t="n">
        <v>45657</v>
      </c>
      <c r="C2882" s="11" t="s">
        <v>2900</v>
      </c>
      <c r="D2882" s="1" t="s">
        <v>2901</v>
      </c>
      <c r="E2882" s="1" t="s">
        <v>20</v>
      </c>
      <c r="F2882" s="1" t="str">
        <f aca="false">TEXT(B2882,"mmm-yyyy")</f>
        <v>Dec-2024</v>
      </c>
    </row>
    <row r="2883" customFormat="false" ht="130.5" hidden="false" customHeight="true" outlineLevel="0" collapsed="false">
      <c r="A2883" s="1" t="n">
        <v>1</v>
      </c>
      <c r="B2883" s="10" t="n">
        <v>45657</v>
      </c>
      <c r="C2883" s="11" t="s">
        <v>2902</v>
      </c>
      <c r="D2883" s="1" t="s">
        <v>2901</v>
      </c>
      <c r="E2883" s="1" t="s">
        <v>20</v>
      </c>
      <c r="F2883" s="1" t="str">
        <f aca="false">TEXT(B2883,"mmm-yyyy")</f>
        <v>Dec-2024</v>
      </c>
    </row>
    <row r="2884" customFormat="false" ht="130.5" hidden="false" customHeight="true" outlineLevel="0" collapsed="false">
      <c r="A2884" s="1" t="n">
        <v>1</v>
      </c>
      <c r="B2884" s="10" t="n">
        <v>45657</v>
      </c>
      <c r="C2884" s="11" t="s">
        <v>2903</v>
      </c>
      <c r="D2884" s="1" t="s">
        <v>2901</v>
      </c>
      <c r="E2884" s="1" t="s">
        <v>18</v>
      </c>
      <c r="F2884" s="1" t="str">
        <f aca="false">TEXT(B2884,"mmm-yyyy")</f>
        <v>Dec-2024</v>
      </c>
    </row>
    <row r="2885" customFormat="false" ht="87" hidden="false" customHeight="true" outlineLevel="0" collapsed="false">
      <c r="A2885" s="1" t="n">
        <v>1</v>
      </c>
      <c r="B2885" s="10" t="n">
        <v>45636</v>
      </c>
      <c r="C2885" s="11" t="s">
        <v>2904</v>
      </c>
      <c r="D2885" s="1" t="s">
        <v>2901</v>
      </c>
      <c r="E2885" s="1" t="s">
        <v>20</v>
      </c>
      <c r="F2885" s="1" t="str">
        <f aca="false">TEXT(B2885,"mmm-yyyy")</f>
        <v>Dec-2024</v>
      </c>
    </row>
    <row r="2886" customFormat="false" ht="101.25" hidden="false" customHeight="true" outlineLevel="0" collapsed="false">
      <c r="A2886" s="1" t="n">
        <v>1</v>
      </c>
      <c r="B2886" s="10" t="n">
        <v>45637</v>
      </c>
      <c r="C2886" s="11" t="s">
        <v>2905</v>
      </c>
      <c r="D2886" s="1" t="s">
        <v>2901</v>
      </c>
      <c r="E2886" s="1" t="s">
        <v>20</v>
      </c>
      <c r="F2886" s="1" t="str">
        <f aca="false">TEXT(B2886,"mmm-yyyy")</f>
        <v>Dec-2024</v>
      </c>
    </row>
    <row r="2887" customFormat="false" ht="101.25" hidden="false" customHeight="true" outlineLevel="0" collapsed="false">
      <c r="A2887" s="1" t="n">
        <v>1</v>
      </c>
      <c r="B2887" s="10" t="n">
        <v>45640</v>
      </c>
      <c r="C2887" s="11" t="s">
        <v>2906</v>
      </c>
      <c r="D2887" s="1" t="s">
        <v>2901</v>
      </c>
      <c r="E2887" s="1" t="s">
        <v>20</v>
      </c>
      <c r="F2887" s="1" t="str">
        <f aca="false">TEXT(B2887,"mmm-yyyy")</f>
        <v>Dec-2024</v>
      </c>
    </row>
    <row r="2888" customFormat="false" ht="130.5" hidden="false" customHeight="true" outlineLevel="0" collapsed="false">
      <c r="A2888" s="1" t="n">
        <v>1</v>
      </c>
      <c r="B2888" s="10" t="n">
        <v>45646</v>
      </c>
      <c r="C2888" s="11" t="s">
        <v>2907</v>
      </c>
      <c r="D2888" s="1" t="s">
        <v>2901</v>
      </c>
      <c r="E2888" s="1" t="s">
        <v>20</v>
      </c>
      <c r="F2888" s="1" t="str">
        <f aca="false">TEXT(B2888,"mmm-yyyy")</f>
        <v>Dec-2024</v>
      </c>
    </row>
    <row r="2889" customFormat="false" ht="101.25" hidden="false" customHeight="true" outlineLevel="0" collapsed="false">
      <c r="A2889" s="1" t="n">
        <v>1</v>
      </c>
      <c r="B2889" s="10" t="n">
        <v>45647</v>
      </c>
      <c r="C2889" s="11" t="s">
        <v>2908</v>
      </c>
      <c r="D2889" s="1" t="s">
        <v>2901</v>
      </c>
      <c r="E2889" s="1" t="s">
        <v>20</v>
      </c>
      <c r="F2889" s="1" t="str">
        <f aca="false">TEXT(B2889,"mmm-yyyy")</f>
        <v>Dec-2024</v>
      </c>
    </row>
    <row r="2890" customFormat="false" ht="115.5" hidden="false" customHeight="true" outlineLevel="0" collapsed="false">
      <c r="A2890" s="1" t="n">
        <v>1</v>
      </c>
      <c r="B2890" s="10" t="n">
        <v>45643</v>
      </c>
      <c r="C2890" s="11" t="s">
        <v>2909</v>
      </c>
      <c r="D2890" s="1" t="s">
        <v>2901</v>
      </c>
      <c r="E2890" s="1" t="s">
        <v>18</v>
      </c>
      <c r="F2890" s="1" t="str">
        <f aca="false">TEXT(B2890,"mmm-yyyy")</f>
        <v>Dec-2024</v>
      </c>
    </row>
    <row r="2891" customFormat="false" ht="87" hidden="false" customHeight="true" outlineLevel="0" collapsed="false">
      <c r="A2891" s="1" t="n">
        <v>1</v>
      </c>
      <c r="B2891" s="10" t="n">
        <v>45649</v>
      </c>
      <c r="C2891" s="11" t="s">
        <v>2910</v>
      </c>
      <c r="D2891" s="1" t="s">
        <v>2901</v>
      </c>
      <c r="E2891" s="1" t="s">
        <v>20</v>
      </c>
      <c r="F2891" s="1" t="str">
        <f aca="false">TEXT(B2891,"mmm-yyyy")</f>
        <v>Dec-2024</v>
      </c>
    </row>
    <row r="2892" customFormat="false" ht="101.25" hidden="false" customHeight="true" outlineLevel="0" collapsed="false">
      <c r="A2892" s="1" t="n">
        <v>1</v>
      </c>
      <c r="B2892" s="10" t="n">
        <v>45645</v>
      </c>
      <c r="C2892" s="11" t="s">
        <v>2911</v>
      </c>
      <c r="D2892" s="1" t="s">
        <v>2901</v>
      </c>
      <c r="E2892" s="1" t="s">
        <v>18</v>
      </c>
      <c r="F2892" s="1" t="str">
        <f aca="false">TEXT(B2892,"mmm-yyyy")</f>
        <v>Dec-2024</v>
      </c>
    </row>
    <row r="2893" customFormat="false" ht="87" hidden="false" customHeight="true" outlineLevel="0" collapsed="false">
      <c r="A2893" s="1" t="n">
        <v>1</v>
      </c>
      <c r="B2893" s="10" t="n">
        <v>45642</v>
      </c>
      <c r="C2893" s="11" t="s">
        <v>2912</v>
      </c>
      <c r="D2893" s="1" t="s">
        <v>2901</v>
      </c>
      <c r="E2893" s="1" t="s">
        <v>20</v>
      </c>
      <c r="F2893" s="1" t="str">
        <f aca="false">TEXT(B2893,"mmm-yyyy")</f>
        <v>Dec-2024</v>
      </c>
    </row>
    <row r="2894" customFormat="false" ht="115.5" hidden="false" customHeight="true" outlineLevel="0" collapsed="false">
      <c r="A2894" s="1" t="n">
        <v>1</v>
      </c>
      <c r="B2894" s="10" t="n">
        <v>45650</v>
      </c>
      <c r="C2894" s="11" t="s">
        <v>2913</v>
      </c>
      <c r="D2894" s="1" t="s">
        <v>2901</v>
      </c>
      <c r="E2894" s="1" t="s">
        <v>20</v>
      </c>
      <c r="F2894" s="1" t="str">
        <f aca="false">TEXT(B2894,"mmm-yyyy")</f>
        <v>Dec-2024</v>
      </c>
    </row>
    <row r="2895" customFormat="false" ht="87" hidden="false" customHeight="true" outlineLevel="0" collapsed="false">
      <c r="A2895" s="1" t="n">
        <v>1</v>
      </c>
      <c r="B2895" s="10" t="n">
        <v>45642</v>
      </c>
      <c r="C2895" s="11" t="s">
        <v>2914</v>
      </c>
      <c r="D2895" s="1" t="s">
        <v>2901</v>
      </c>
      <c r="E2895" s="1" t="s">
        <v>20</v>
      </c>
      <c r="F2895" s="1" t="str">
        <f aca="false">TEXT(B2895,"mmm-yyyy")</f>
        <v>Dec-2024</v>
      </c>
    </row>
    <row r="2896" customFormat="false" ht="115.5" hidden="false" customHeight="true" outlineLevel="0" collapsed="false">
      <c r="A2896" s="1" t="n">
        <v>1</v>
      </c>
      <c r="B2896" s="10" t="n">
        <v>45646</v>
      </c>
      <c r="C2896" s="11" t="s">
        <v>2915</v>
      </c>
      <c r="D2896" s="1" t="s">
        <v>2901</v>
      </c>
      <c r="E2896" s="1" t="s">
        <v>18</v>
      </c>
      <c r="F2896" s="1" t="str">
        <f aca="false">TEXT(B2896,"mmm-yyyy")</f>
        <v>Dec-2024</v>
      </c>
    </row>
    <row r="2897" customFormat="false" ht="144.75" hidden="false" customHeight="true" outlineLevel="0" collapsed="false">
      <c r="A2897" s="1" t="n">
        <v>2</v>
      </c>
      <c r="B2897" s="10" t="n">
        <v>45624</v>
      </c>
      <c r="C2897" s="11" t="s">
        <v>2916</v>
      </c>
      <c r="D2897" s="1" t="s">
        <v>2901</v>
      </c>
      <c r="E2897" s="1" t="s">
        <v>20</v>
      </c>
      <c r="F2897" s="1" t="str">
        <f aca="false">TEXT(B2897,"mmm-yyyy")</f>
        <v>Nov-2024</v>
      </c>
    </row>
    <row r="2898" customFormat="false" ht="130.5" hidden="false" customHeight="true" outlineLevel="0" collapsed="false">
      <c r="A2898" s="1" t="n">
        <v>1</v>
      </c>
      <c r="B2898" s="10" t="n">
        <v>45645</v>
      </c>
      <c r="C2898" s="11" t="s">
        <v>2917</v>
      </c>
      <c r="D2898" s="1" t="s">
        <v>2901</v>
      </c>
      <c r="E2898" s="1" t="s">
        <v>20</v>
      </c>
      <c r="F2898" s="1" t="str">
        <f aca="false">TEXT(B2898,"mmm-yyyy")</f>
        <v>Dec-2024</v>
      </c>
    </row>
    <row r="2899" customFormat="false" ht="115.5" hidden="false" customHeight="true" outlineLevel="0" collapsed="false">
      <c r="A2899" s="1" t="n">
        <v>1</v>
      </c>
      <c r="B2899" s="10" t="n">
        <v>45637</v>
      </c>
      <c r="C2899" s="11" t="s">
        <v>2918</v>
      </c>
      <c r="D2899" s="1" t="s">
        <v>2901</v>
      </c>
      <c r="E2899" s="1" t="s">
        <v>20</v>
      </c>
      <c r="F2899" s="1" t="str">
        <f aca="false">TEXT(B2899,"mmm-yyyy")</f>
        <v>Dec-2024</v>
      </c>
    </row>
    <row r="2900" customFormat="false" ht="87" hidden="false" customHeight="true" outlineLevel="0" collapsed="false">
      <c r="A2900" s="1" t="n">
        <v>1</v>
      </c>
      <c r="B2900" s="10" t="n">
        <v>45641</v>
      </c>
      <c r="C2900" s="11" t="s">
        <v>2919</v>
      </c>
      <c r="D2900" s="1" t="s">
        <v>2901</v>
      </c>
      <c r="E2900" s="1" t="s">
        <v>20</v>
      </c>
      <c r="F2900" s="1" t="str">
        <f aca="false">TEXT(B2900,"mmm-yyyy")</f>
        <v>Dec-2024</v>
      </c>
    </row>
    <row r="2901" customFormat="false" ht="115.5" hidden="false" customHeight="true" outlineLevel="0" collapsed="false">
      <c r="A2901" s="1" t="n">
        <v>1</v>
      </c>
      <c r="B2901" s="10" t="n">
        <v>45632</v>
      </c>
      <c r="C2901" s="11" t="s">
        <v>2920</v>
      </c>
      <c r="D2901" s="1" t="s">
        <v>2901</v>
      </c>
      <c r="E2901" s="1" t="s">
        <v>20</v>
      </c>
      <c r="F2901" s="1" t="str">
        <f aca="false">TEXT(B2901,"mmm-yyyy")</f>
        <v>Dec-2024</v>
      </c>
    </row>
    <row r="2902" customFormat="false" ht="115.5" hidden="false" customHeight="true" outlineLevel="0" collapsed="false">
      <c r="A2902" s="1" t="n">
        <v>1</v>
      </c>
      <c r="B2902" s="10" t="n">
        <v>45656</v>
      </c>
      <c r="C2902" s="11" t="s">
        <v>2921</v>
      </c>
      <c r="D2902" s="1" t="s">
        <v>2901</v>
      </c>
      <c r="E2902" s="1" t="s">
        <v>18</v>
      </c>
      <c r="F2902" s="1" t="str">
        <f aca="false">TEXT(B2902,"mmm-yyyy")</f>
        <v>Dec-2024</v>
      </c>
    </row>
    <row r="2903" customFormat="false" ht="115.5" hidden="false" customHeight="true" outlineLevel="0" collapsed="false">
      <c r="A2903" s="1" t="n">
        <v>1</v>
      </c>
      <c r="B2903" s="10" t="n">
        <v>45612</v>
      </c>
      <c r="C2903" s="11" t="s">
        <v>2922</v>
      </c>
      <c r="D2903" s="1" t="s">
        <v>2901</v>
      </c>
      <c r="E2903" s="1" t="s">
        <v>20</v>
      </c>
      <c r="F2903" s="1" t="str">
        <f aca="false">TEXT(B2903,"mmm-yyyy")</f>
        <v>Nov-2024</v>
      </c>
    </row>
    <row r="2904" customFormat="false" ht="130.5" hidden="false" customHeight="true" outlineLevel="0" collapsed="false">
      <c r="A2904" s="1" t="n">
        <v>1</v>
      </c>
      <c r="B2904" s="10" t="n">
        <v>45648</v>
      </c>
      <c r="C2904" s="11" t="s">
        <v>2923</v>
      </c>
      <c r="D2904" s="1" t="s">
        <v>2901</v>
      </c>
      <c r="E2904" s="1" t="s">
        <v>20</v>
      </c>
      <c r="F2904" s="1" t="str">
        <f aca="false">TEXT(B2904,"mmm-yyyy")</f>
        <v>Dec-2024</v>
      </c>
    </row>
    <row r="2905" customFormat="false" ht="130.5" hidden="false" customHeight="true" outlineLevel="0" collapsed="false">
      <c r="A2905" s="1" t="n">
        <v>1</v>
      </c>
      <c r="B2905" s="10" t="n">
        <v>45650</v>
      </c>
      <c r="C2905" s="11" t="s">
        <v>2924</v>
      </c>
      <c r="D2905" s="1" t="s">
        <v>2901</v>
      </c>
      <c r="E2905" s="1" t="s">
        <v>20</v>
      </c>
      <c r="F2905" s="1" t="str">
        <f aca="false">TEXT(B2905,"mmm-yyyy")</f>
        <v>Dec-2024</v>
      </c>
    </row>
    <row r="2906" customFormat="false" ht="130.5" hidden="false" customHeight="true" outlineLevel="0" collapsed="false">
      <c r="A2906" s="1" t="n">
        <v>1</v>
      </c>
      <c r="B2906" s="10" t="n">
        <v>45612</v>
      </c>
      <c r="C2906" s="11" t="s">
        <v>2925</v>
      </c>
      <c r="D2906" s="1" t="s">
        <v>2901</v>
      </c>
      <c r="E2906" s="1" t="s">
        <v>18</v>
      </c>
      <c r="F2906" s="1" t="str">
        <f aca="false">TEXT(B2906,"mmm-yyyy")</f>
        <v>Nov-2024</v>
      </c>
    </row>
    <row r="2907" customFormat="false" ht="101.25" hidden="false" customHeight="true" outlineLevel="0" collapsed="false">
      <c r="A2907" s="1" t="n">
        <v>1</v>
      </c>
      <c r="B2907" s="10" t="n">
        <v>45617</v>
      </c>
      <c r="C2907" s="11" t="s">
        <v>2926</v>
      </c>
      <c r="D2907" s="1" t="s">
        <v>2901</v>
      </c>
      <c r="E2907" s="1" t="s">
        <v>20</v>
      </c>
      <c r="F2907" s="1" t="str">
        <f aca="false">TEXT(B2907,"mmm-yyyy")</f>
        <v>Nov-2024</v>
      </c>
    </row>
    <row r="2908" customFormat="false" ht="115.5" hidden="false" customHeight="true" outlineLevel="0" collapsed="false">
      <c r="A2908" s="1" t="n">
        <v>1</v>
      </c>
      <c r="B2908" s="10" t="n">
        <v>45614</v>
      </c>
      <c r="C2908" s="11" t="s">
        <v>2927</v>
      </c>
      <c r="D2908" s="1" t="s">
        <v>2901</v>
      </c>
      <c r="E2908" s="1" t="s">
        <v>20</v>
      </c>
      <c r="F2908" s="1" t="str">
        <f aca="false">TEXT(B2908,"mmm-yyyy")</f>
        <v>Nov-2024</v>
      </c>
    </row>
    <row r="2909" customFormat="false" ht="101.25" hidden="false" customHeight="true" outlineLevel="0" collapsed="false">
      <c r="A2909" s="1" t="n">
        <v>1</v>
      </c>
      <c r="B2909" s="10" t="n">
        <v>45629</v>
      </c>
      <c r="C2909" s="11" t="s">
        <v>2928</v>
      </c>
      <c r="D2909" s="1" t="s">
        <v>2901</v>
      </c>
      <c r="E2909" s="1" t="s">
        <v>20</v>
      </c>
      <c r="F2909" s="1" t="str">
        <f aca="false">TEXT(B2909,"mmm-yyyy")</f>
        <v>Dec-2024</v>
      </c>
    </row>
    <row r="2910" customFormat="false" ht="115.5" hidden="false" customHeight="true" outlineLevel="0" collapsed="false">
      <c r="A2910" s="1" t="n">
        <v>1</v>
      </c>
      <c r="B2910" s="10" t="n">
        <v>45630</v>
      </c>
      <c r="C2910" s="11" t="s">
        <v>2929</v>
      </c>
      <c r="D2910" s="1" t="s">
        <v>2901</v>
      </c>
      <c r="E2910" s="1" t="s">
        <v>20</v>
      </c>
      <c r="F2910" s="1" t="str">
        <f aca="false">TEXT(B2910,"mmm-yyyy")</f>
        <v>Dec-2024</v>
      </c>
    </row>
    <row r="2911" customFormat="false" ht="130.5" hidden="false" customHeight="true" outlineLevel="0" collapsed="false">
      <c r="A2911" s="1" t="n">
        <v>1</v>
      </c>
      <c r="B2911" s="10" t="n">
        <v>45636</v>
      </c>
      <c r="C2911" s="11" t="s">
        <v>2930</v>
      </c>
      <c r="D2911" s="1" t="s">
        <v>2901</v>
      </c>
      <c r="E2911" s="1" t="s">
        <v>18</v>
      </c>
      <c r="F2911" s="1" t="str">
        <f aca="false">TEXT(B2911,"mmm-yyyy")</f>
        <v>Dec-2024</v>
      </c>
    </row>
    <row r="2912" customFormat="false" ht="130.5" hidden="false" customHeight="true" outlineLevel="0" collapsed="false">
      <c r="A2912" s="1" t="n">
        <v>1</v>
      </c>
      <c r="B2912" s="10" t="n">
        <v>45617</v>
      </c>
      <c r="C2912" s="11" t="s">
        <v>2931</v>
      </c>
      <c r="D2912" s="1" t="s">
        <v>2901</v>
      </c>
      <c r="E2912" s="1" t="s">
        <v>18</v>
      </c>
      <c r="F2912" s="1" t="str">
        <f aca="false">TEXT(B2912,"mmm-yyyy")</f>
        <v>Nov-2024</v>
      </c>
    </row>
    <row r="2913" customFormat="false" ht="115.5" hidden="false" customHeight="true" outlineLevel="0" collapsed="false">
      <c r="A2913" s="1" t="n">
        <v>1</v>
      </c>
      <c r="B2913" s="10" t="n">
        <v>45578</v>
      </c>
      <c r="C2913" s="11" t="s">
        <v>2932</v>
      </c>
      <c r="D2913" s="1" t="s">
        <v>2901</v>
      </c>
      <c r="E2913" s="1" t="s">
        <v>20</v>
      </c>
      <c r="F2913" s="1" t="str">
        <f aca="false">TEXT(B2913,"mmm-yyyy")</f>
        <v>Oct-2024</v>
      </c>
    </row>
    <row r="2914" customFormat="false" ht="115.5" hidden="false" customHeight="true" outlineLevel="0" collapsed="false">
      <c r="A2914" s="1" t="n">
        <v>1</v>
      </c>
      <c r="B2914" s="10" t="n">
        <v>45618</v>
      </c>
      <c r="C2914" s="11" t="s">
        <v>2933</v>
      </c>
      <c r="D2914" s="1" t="s">
        <v>2901</v>
      </c>
      <c r="E2914" s="1" t="s">
        <v>20</v>
      </c>
      <c r="F2914" s="1" t="str">
        <f aca="false">TEXT(B2914,"mmm-yyyy")</f>
        <v>Nov-2024</v>
      </c>
    </row>
    <row r="2915" customFormat="false" ht="130.5" hidden="false" customHeight="true" outlineLevel="0" collapsed="false">
      <c r="A2915" s="1" t="n">
        <v>1</v>
      </c>
      <c r="B2915" s="10" t="n">
        <v>45588</v>
      </c>
      <c r="C2915" s="11" t="s">
        <v>2934</v>
      </c>
      <c r="D2915" s="1" t="s">
        <v>2901</v>
      </c>
      <c r="E2915" s="1" t="s">
        <v>18</v>
      </c>
      <c r="F2915" s="1" t="str">
        <f aca="false">TEXT(B2915,"mmm-yyyy")</f>
        <v>Oct-2024</v>
      </c>
    </row>
    <row r="2916" customFormat="false" ht="101.25" hidden="false" customHeight="true" outlineLevel="0" collapsed="false">
      <c r="A2916" s="1" t="n">
        <v>1</v>
      </c>
      <c r="B2916" s="10" t="n">
        <v>45612</v>
      </c>
      <c r="C2916" s="11" t="s">
        <v>2935</v>
      </c>
      <c r="D2916" s="1" t="s">
        <v>2901</v>
      </c>
      <c r="E2916" s="1" t="s">
        <v>20</v>
      </c>
      <c r="F2916" s="1" t="str">
        <f aca="false">TEXT(B2916,"mmm-yyyy")</f>
        <v>Nov-2024</v>
      </c>
    </row>
    <row r="2917" customFormat="false" ht="101.25" hidden="false" customHeight="true" outlineLevel="0" collapsed="false">
      <c r="A2917" s="1" t="n">
        <v>1</v>
      </c>
      <c r="B2917" s="10" t="n">
        <v>45618</v>
      </c>
      <c r="C2917" s="11" t="s">
        <v>2936</v>
      </c>
      <c r="D2917" s="1" t="s">
        <v>2901</v>
      </c>
      <c r="E2917" s="1" t="s">
        <v>18</v>
      </c>
      <c r="F2917" s="1" t="str">
        <f aca="false">TEXT(B2917,"mmm-yyyy")</f>
        <v>Nov-2024</v>
      </c>
    </row>
    <row r="2918" customFormat="false" ht="130.5" hidden="false" customHeight="true" outlineLevel="0" collapsed="false">
      <c r="A2918" s="1" t="n">
        <v>1</v>
      </c>
      <c r="B2918" s="10" t="n">
        <v>45576</v>
      </c>
      <c r="C2918" s="11" t="s">
        <v>2937</v>
      </c>
      <c r="D2918" s="1" t="s">
        <v>2901</v>
      </c>
      <c r="E2918" s="1" t="s">
        <v>18</v>
      </c>
      <c r="F2918" s="1" t="str">
        <f aca="false">TEXT(B2918,"mmm-yyyy")</f>
        <v>Oct-2024</v>
      </c>
    </row>
    <row r="2919" customFormat="false" ht="87" hidden="false" customHeight="true" outlineLevel="0" collapsed="false">
      <c r="A2919" s="1" t="n">
        <v>1</v>
      </c>
      <c r="B2919" s="10" t="n">
        <v>45618</v>
      </c>
      <c r="C2919" s="11" t="s">
        <v>2938</v>
      </c>
      <c r="D2919" s="1" t="s">
        <v>2901</v>
      </c>
      <c r="E2919" s="1" t="s">
        <v>20</v>
      </c>
      <c r="F2919" s="1" t="str">
        <f aca="false">TEXT(B2919,"mmm-yyyy")</f>
        <v>Nov-2024</v>
      </c>
    </row>
    <row r="2920" customFormat="false" ht="130.5" hidden="false" customHeight="true" outlineLevel="0" collapsed="false">
      <c r="A2920" s="1" t="n">
        <v>1</v>
      </c>
      <c r="B2920" s="10" t="n">
        <v>45627</v>
      </c>
      <c r="C2920" s="11" t="s">
        <v>2939</v>
      </c>
      <c r="D2920" s="1" t="s">
        <v>2901</v>
      </c>
      <c r="E2920" s="1" t="s">
        <v>18</v>
      </c>
      <c r="F2920" s="1" t="str">
        <f aca="false">TEXT(B2920,"mmm-yyyy")</f>
        <v>Dec-2024</v>
      </c>
    </row>
    <row r="2921" customFormat="false" ht="130.5" hidden="false" customHeight="true" outlineLevel="0" collapsed="false">
      <c r="A2921" s="1" t="n">
        <v>1</v>
      </c>
      <c r="B2921" s="10" t="n">
        <v>45619</v>
      </c>
      <c r="C2921" s="11" t="s">
        <v>2940</v>
      </c>
      <c r="D2921" s="1" t="s">
        <v>2901</v>
      </c>
      <c r="E2921" s="1" t="s">
        <v>20</v>
      </c>
      <c r="F2921" s="1" t="str">
        <f aca="false">TEXT(B2921,"mmm-yyyy")</f>
        <v>Nov-2024</v>
      </c>
    </row>
    <row r="2922" customFormat="false" ht="130.5" hidden="false" customHeight="true" outlineLevel="0" collapsed="false">
      <c r="A2922" s="1" t="n">
        <v>1</v>
      </c>
      <c r="B2922" s="10" t="n">
        <v>45646</v>
      </c>
      <c r="C2922" s="11" t="s">
        <v>2941</v>
      </c>
      <c r="D2922" s="1" t="s">
        <v>2901</v>
      </c>
      <c r="E2922" s="1" t="s">
        <v>20</v>
      </c>
      <c r="F2922" s="1" t="str">
        <f aca="false">TEXT(B2922,"mmm-yyyy")</f>
        <v>Dec-2024</v>
      </c>
    </row>
    <row r="2923" customFormat="false" ht="115.5" hidden="false" customHeight="true" outlineLevel="0" collapsed="false">
      <c r="A2923" s="1" t="n">
        <v>1</v>
      </c>
      <c r="B2923" s="10" t="n">
        <v>45636</v>
      </c>
      <c r="C2923" s="11" t="s">
        <v>2942</v>
      </c>
      <c r="D2923" s="1" t="s">
        <v>2901</v>
      </c>
      <c r="E2923" s="1" t="s">
        <v>20</v>
      </c>
      <c r="F2923" s="1" t="str">
        <f aca="false">TEXT(B2923,"mmm-yyyy")</f>
        <v>Dec-2024</v>
      </c>
    </row>
    <row r="2924" customFormat="false" ht="130.5" hidden="false" customHeight="true" outlineLevel="0" collapsed="false">
      <c r="A2924" s="1" t="n">
        <v>1</v>
      </c>
      <c r="B2924" s="10" t="n">
        <v>45638</v>
      </c>
      <c r="C2924" s="11" t="s">
        <v>2943</v>
      </c>
      <c r="D2924" s="1" t="s">
        <v>2901</v>
      </c>
      <c r="E2924" s="1" t="s">
        <v>20</v>
      </c>
      <c r="F2924" s="1" t="str">
        <f aca="false">TEXT(B2924,"mmm-yyyy")</f>
        <v>Dec-2024</v>
      </c>
    </row>
    <row r="2925" customFormat="false" ht="101.25" hidden="false" customHeight="true" outlineLevel="0" collapsed="false">
      <c r="A2925" s="1" t="n">
        <v>1</v>
      </c>
      <c r="B2925" s="10" t="n">
        <v>45649</v>
      </c>
      <c r="C2925" s="11" t="s">
        <v>2944</v>
      </c>
      <c r="D2925" s="1" t="s">
        <v>2901</v>
      </c>
      <c r="E2925" s="1" t="s">
        <v>20</v>
      </c>
      <c r="F2925" s="1" t="str">
        <f aca="false">TEXT(B2925,"mmm-yyyy")</f>
        <v>Dec-2024</v>
      </c>
    </row>
    <row r="2926" customFormat="false" ht="101.25" hidden="false" customHeight="true" outlineLevel="0" collapsed="false">
      <c r="A2926" s="1" t="n">
        <v>1</v>
      </c>
      <c r="B2926" s="10" t="n">
        <v>45652</v>
      </c>
      <c r="C2926" s="11" t="s">
        <v>2945</v>
      </c>
      <c r="D2926" s="1" t="s">
        <v>2901</v>
      </c>
      <c r="E2926" s="1" t="s">
        <v>20</v>
      </c>
      <c r="F2926" s="1" t="str">
        <f aca="false">TEXT(B2926,"mmm-yyyy")</f>
        <v>Dec-2024</v>
      </c>
    </row>
    <row r="2927" customFormat="false" ht="87" hidden="false" customHeight="true" outlineLevel="0" collapsed="false">
      <c r="A2927" s="1" t="n">
        <v>1</v>
      </c>
      <c r="B2927" s="10" t="n">
        <v>45638</v>
      </c>
      <c r="C2927" s="11" t="s">
        <v>2946</v>
      </c>
      <c r="D2927" s="1" t="s">
        <v>2901</v>
      </c>
      <c r="E2927" s="1" t="s">
        <v>20</v>
      </c>
      <c r="F2927" s="1" t="str">
        <f aca="false">TEXT(B2927,"mmm-yyyy")</f>
        <v>Dec-2024</v>
      </c>
    </row>
    <row r="2928" customFormat="false" ht="115.5" hidden="false" customHeight="true" outlineLevel="0" collapsed="false">
      <c r="A2928" s="1" t="n">
        <v>1</v>
      </c>
      <c r="B2928" s="10" t="n">
        <v>45641</v>
      </c>
      <c r="C2928" s="11" t="s">
        <v>2947</v>
      </c>
      <c r="D2928" s="1" t="s">
        <v>2901</v>
      </c>
      <c r="E2928" s="1" t="s">
        <v>20</v>
      </c>
      <c r="F2928" s="1" t="str">
        <f aca="false">TEXT(B2928,"mmm-yyyy")</f>
        <v>Dec-2024</v>
      </c>
    </row>
    <row r="2929" customFormat="false" ht="101.25" hidden="false" customHeight="true" outlineLevel="0" collapsed="false">
      <c r="A2929" s="1" t="n">
        <v>1</v>
      </c>
      <c r="B2929" s="10" t="n">
        <v>45651</v>
      </c>
      <c r="C2929" s="11" t="s">
        <v>2948</v>
      </c>
      <c r="D2929" s="1" t="s">
        <v>2901</v>
      </c>
      <c r="E2929" s="1" t="s">
        <v>18</v>
      </c>
      <c r="F2929" s="1" t="str">
        <f aca="false">TEXT(B2929,"mmm-yyyy")</f>
        <v>Dec-2024</v>
      </c>
    </row>
    <row r="2930" customFormat="false" ht="101.25" hidden="false" customHeight="true" outlineLevel="0" collapsed="false">
      <c r="A2930" s="1" t="n">
        <v>1</v>
      </c>
      <c r="B2930" s="10" t="n">
        <v>45647</v>
      </c>
      <c r="C2930" s="11" t="s">
        <v>2949</v>
      </c>
      <c r="D2930" s="1" t="s">
        <v>2901</v>
      </c>
      <c r="E2930" s="1" t="s">
        <v>20</v>
      </c>
      <c r="F2930" s="1" t="str">
        <f aca="false">TEXT(B2930,"mmm-yyyy")</f>
        <v>Dec-2024</v>
      </c>
    </row>
    <row r="2931" customFormat="false" ht="72" hidden="false" customHeight="true" outlineLevel="0" collapsed="false">
      <c r="A2931" s="1" t="n">
        <v>1</v>
      </c>
      <c r="B2931" s="10" t="n">
        <v>45646</v>
      </c>
      <c r="C2931" s="11" t="s">
        <v>2950</v>
      </c>
      <c r="D2931" s="1" t="s">
        <v>2901</v>
      </c>
      <c r="E2931" s="1" t="s">
        <v>20</v>
      </c>
      <c r="F2931" s="1" t="str">
        <f aca="false">TEXT(B2931,"mmm-yyyy")</f>
        <v>Dec-2024</v>
      </c>
    </row>
    <row r="2932" customFormat="false" ht="115.5" hidden="false" customHeight="true" outlineLevel="0" collapsed="false">
      <c r="A2932" s="1" t="n">
        <v>1</v>
      </c>
      <c r="B2932" s="10" t="n">
        <v>45641</v>
      </c>
      <c r="C2932" s="11" t="s">
        <v>2951</v>
      </c>
      <c r="D2932" s="1" t="s">
        <v>2901</v>
      </c>
      <c r="E2932" s="1" t="s">
        <v>32</v>
      </c>
      <c r="F2932" s="1" t="str">
        <f aca="false">TEXT(B2932,"mmm-yyyy")</f>
        <v>Dec-2024</v>
      </c>
    </row>
    <row r="2933" customFormat="false" ht="101.25" hidden="false" customHeight="true" outlineLevel="0" collapsed="false">
      <c r="A2933" s="1" t="n">
        <v>1</v>
      </c>
      <c r="B2933" s="10" t="n">
        <v>45656</v>
      </c>
      <c r="C2933" s="11" t="s">
        <v>2952</v>
      </c>
      <c r="D2933" s="1" t="s">
        <v>2901</v>
      </c>
      <c r="E2933" s="1" t="s">
        <v>20</v>
      </c>
      <c r="F2933" s="1" t="str">
        <f aca="false">TEXT(B2933,"mmm-yyyy")</f>
        <v>Dec-2024</v>
      </c>
    </row>
    <row r="2934" customFormat="false" ht="115.5" hidden="false" customHeight="true" outlineLevel="0" collapsed="false">
      <c r="A2934" s="1" t="n">
        <v>1</v>
      </c>
      <c r="B2934" s="10" t="n">
        <v>45649</v>
      </c>
      <c r="C2934" s="11" t="s">
        <v>2953</v>
      </c>
      <c r="D2934" s="1" t="s">
        <v>2901</v>
      </c>
      <c r="E2934" s="1" t="s">
        <v>20</v>
      </c>
      <c r="F2934" s="1" t="str">
        <f aca="false">TEXT(B2934,"mmm-yyyy")</f>
        <v>Dec-2024</v>
      </c>
    </row>
    <row r="2935" customFormat="false" ht="72" hidden="false" customHeight="true" outlineLevel="0" collapsed="false">
      <c r="A2935" s="1" t="n">
        <v>1</v>
      </c>
      <c r="B2935" s="10" t="n">
        <v>45653</v>
      </c>
      <c r="C2935" s="11" t="s">
        <v>2954</v>
      </c>
      <c r="D2935" s="1" t="s">
        <v>2901</v>
      </c>
      <c r="E2935" s="1" t="s">
        <v>20</v>
      </c>
      <c r="F2935" s="1" t="str">
        <f aca="false">TEXT(B2935,"mmm-yyyy")</f>
        <v>Dec-2024</v>
      </c>
    </row>
    <row r="2936" customFormat="false" ht="101.25" hidden="false" customHeight="true" outlineLevel="0" collapsed="false">
      <c r="A2936" s="1" t="n">
        <v>1</v>
      </c>
      <c r="B2936" s="10" t="n">
        <v>45637</v>
      </c>
      <c r="C2936" s="11" t="s">
        <v>2955</v>
      </c>
      <c r="D2936" s="1" t="s">
        <v>2901</v>
      </c>
      <c r="E2936" s="1" t="s">
        <v>20</v>
      </c>
      <c r="F2936" s="1" t="str">
        <f aca="false">TEXT(B2936,"mmm-yyyy")</f>
        <v>Dec-2024</v>
      </c>
    </row>
    <row r="2937" customFormat="false" ht="87" hidden="false" customHeight="true" outlineLevel="0" collapsed="false">
      <c r="A2937" s="1" t="n">
        <v>1</v>
      </c>
      <c r="B2937" s="10" t="n">
        <v>45650</v>
      </c>
      <c r="C2937" s="11" t="s">
        <v>2956</v>
      </c>
      <c r="D2937" s="1" t="s">
        <v>2901</v>
      </c>
      <c r="E2937" s="1" t="s">
        <v>18</v>
      </c>
      <c r="F2937" s="1" t="str">
        <f aca="false">TEXT(B2937,"mmm-yyyy")</f>
        <v>Dec-2024</v>
      </c>
    </row>
    <row r="2938" customFormat="false" ht="87" hidden="false" customHeight="true" outlineLevel="0" collapsed="false">
      <c r="A2938" s="1" t="n">
        <v>1</v>
      </c>
      <c r="B2938" s="10" t="n">
        <v>45651</v>
      </c>
      <c r="C2938" s="11" t="s">
        <v>2957</v>
      </c>
      <c r="D2938" s="1" t="s">
        <v>2901</v>
      </c>
      <c r="E2938" s="1" t="s">
        <v>20</v>
      </c>
      <c r="F2938" s="1" t="str">
        <f aca="false">TEXT(B2938,"mmm-yyyy")</f>
        <v>Dec-2024</v>
      </c>
    </row>
    <row r="2939" customFormat="false" ht="101.25" hidden="false" customHeight="true" outlineLevel="0" collapsed="false">
      <c r="A2939" s="1" t="n">
        <v>1</v>
      </c>
      <c r="B2939" s="10" t="n">
        <v>45630</v>
      </c>
      <c r="C2939" s="11" t="s">
        <v>2958</v>
      </c>
      <c r="D2939" s="1" t="s">
        <v>2901</v>
      </c>
      <c r="E2939" s="1" t="s">
        <v>20</v>
      </c>
      <c r="F2939" s="1" t="str">
        <f aca="false">TEXT(B2939,"mmm-yyyy")</f>
        <v>Dec-2024</v>
      </c>
    </row>
    <row r="2940" customFormat="false" ht="115.5" hidden="false" customHeight="true" outlineLevel="0" collapsed="false">
      <c r="A2940" s="1" t="n">
        <v>1</v>
      </c>
      <c r="B2940" s="10" t="n">
        <v>45639</v>
      </c>
      <c r="C2940" s="11" t="s">
        <v>2959</v>
      </c>
      <c r="D2940" s="1" t="s">
        <v>2901</v>
      </c>
      <c r="E2940" s="1" t="s">
        <v>18</v>
      </c>
      <c r="F2940" s="1" t="str">
        <f aca="false">TEXT(B2940,"mmm-yyyy")</f>
        <v>Dec-2024</v>
      </c>
    </row>
    <row r="2941" customFormat="false" ht="115.5" hidden="false" customHeight="true" outlineLevel="0" collapsed="false">
      <c r="A2941" s="1" t="n">
        <v>1</v>
      </c>
      <c r="B2941" s="10" t="n">
        <v>45651</v>
      </c>
      <c r="C2941" s="11" t="s">
        <v>2960</v>
      </c>
      <c r="D2941" s="1" t="s">
        <v>2901</v>
      </c>
      <c r="E2941" s="1" t="s">
        <v>20</v>
      </c>
      <c r="F2941" s="1" t="str">
        <f aca="false">TEXT(B2941,"mmm-yyyy")</f>
        <v>Dec-2024</v>
      </c>
    </row>
    <row r="2942" customFormat="false" ht="115.5" hidden="false" customHeight="true" outlineLevel="0" collapsed="false">
      <c r="A2942" s="1" t="n">
        <v>5</v>
      </c>
      <c r="B2942" s="10" t="n">
        <v>45646</v>
      </c>
      <c r="C2942" s="11" t="s">
        <v>2961</v>
      </c>
      <c r="D2942" s="1" t="s">
        <v>2901</v>
      </c>
      <c r="E2942" s="1" t="s">
        <v>18</v>
      </c>
      <c r="F2942" s="1" t="str">
        <f aca="false">TEXT(B2942,"mmm-yyyy")</f>
        <v>Dec-2024</v>
      </c>
    </row>
    <row r="2943" customFormat="false" ht="87" hidden="false" customHeight="true" outlineLevel="0" collapsed="false">
      <c r="A2943" s="1" t="n">
        <v>1</v>
      </c>
      <c r="B2943" s="10" t="n">
        <v>45650</v>
      </c>
      <c r="C2943" s="11" t="s">
        <v>2962</v>
      </c>
      <c r="D2943" s="1" t="s">
        <v>2901</v>
      </c>
      <c r="E2943" s="1" t="s">
        <v>20</v>
      </c>
      <c r="F2943" s="1" t="str">
        <f aca="false">TEXT(B2943,"mmm-yyyy")</f>
        <v>Dec-2024</v>
      </c>
    </row>
    <row r="2944" customFormat="false" ht="87" hidden="false" customHeight="true" outlineLevel="0" collapsed="false">
      <c r="A2944" s="1" t="n">
        <v>1</v>
      </c>
      <c r="B2944" s="10" t="n">
        <v>45653</v>
      </c>
      <c r="C2944" s="11" t="s">
        <v>2963</v>
      </c>
      <c r="D2944" s="1" t="s">
        <v>2901</v>
      </c>
      <c r="E2944" s="1" t="s">
        <v>20</v>
      </c>
      <c r="F2944" s="1" t="str">
        <f aca="false">TEXT(B2944,"mmm-yyyy")</f>
        <v>Dec-2024</v>
      </c>
    </row>
    <row r="2945" customFormat="false" ht="130.5" hidden="false" customHeight="true" outlineLevel="0" collapsed="false">
      <c r="A2945" s="1" t="n">
        <v>5</v>
      </c>
      <c r="B2945" s="10" t="n">
        <v>45649</v>
      </c>
      <c r="C2945" s="11" t="s">
        <v>2964</v>
      </c>
      <c r="D2945" s="1" t="s">
        <v>2901</v>
      </c>
      <c r="E2945" s="1" t="s">
        <v>18</v>
      </c>
      <c r="F2945" s="1" t="str">
        <f aca="false">TEXT(B2945,"mmm-yyyy")</f>
        <v>Dec-2024</v>
      </c>
    </row>
    <row r="2946" customFormat="false" ht="115.5" hidden="false" customHeight="true" outlineLevel="0" collapsed="false">
      <c r="A2946" s="1" t="n">
        <v>1</v>
      </c>
      <c r="B2946" s="10" t="n">
        <v>45649</v>
      </c>
      <c r="C2946" s="11" t="s">
        <v>2965</v>
      </c>
      <c r="D2946" s="1" t="s">
        <v>2901</v>
      </c>
      <c r="E2946" s="1" t="s">
        <v>18</v>
      </c>
      <c r="F2946" s="1" t="str">
        <f aca="false">TEXT(B2946,"mmm-yyyy")</f>
        <v>Dec-2024</v>
      </c>
    </row>
    <row r="2947" customFormat="false" ht="72" hidden="false" customHeight="true" outlineLevel="0" collapsed="false">
      <c r="A2947" s="1" t="n">
        <v>1</v>
      </c>
      <c r="B2947" s="10" t="n">
        <v>45651</v>
      </c>
      <c r="C2947" s="11" t="s">
        <v>2966</v>
      </c>
      <c r="D2947" s="1" t="s">
        <v>2901</v>
      </c>
      <c r="E2947" s="1" t="s">
        <v>18</v>
      </c>
      <c r="F2947" s="1" t="str">
        <f aca="false">TEXT(B2947,"mmm-yyyy")</f>
        <v>Dec-2024</v>
      </c>
    </row>
    <row r="2948" customFormat="false" ht="87" hidden="false" customHeight="true" outlineLevel="0" collapsed="false">
      <c r="A2948" s="1" t="n">
        <v>1</v>
      </c>
      <c r="B2948" s="10" t="n">
        <v>45643</v>
      </c>
      <c r="C2948" s="11" t="s">
        <v>2967</v>
      </c>
      <c r="D2948" s="1" t="s">
        <v>2901</v>
      </c>
      <c r="E2948" s="1" t="s">
        <v>32</v>
      </c>
      <c r="F2948" s="1" t="str">
        <f aca="false">TEXT(B2948,"mmm-yyyy")</f>
        <v>Dec-2024</v>
      </c>
    </row>
    <row r="2949" customFormat="false" ht="101.25" hidden="false" customHeight="true" outlineLevel="0" collapsed="false">
      <c r="A2949" s="1" t="n">
        <v>1</v>
      </c>
      <c r="B2949" s="10" t="n">
        <v>45640</v>
      </c>
      <c r="C2949" s="11" t="s">
        <v>2968</v>
      </c>
      <c r="D2949" s="1" t="s">
        <v>2901</v>
      </c>
      <c r="E2949" s="1" t="s">
        <v>20</v>
      </c>
      <c r="F2949" s="1" t="str">
        <f aca="false">TEXT(B2949,"mmm-yyyy")</f>
        <v>Dec-2024</v>
      </c>
    </row>
    <row r="2950" customFormat="false" ht="130.5" hidden="false" customHeight="true" outlineLevel="0" collapsed="false">
      <c r="A2950" s="1" t="n">
        <v>1</v>
      </c>
      <c r="B2950" s="10" t="n">
        <v>45637</v>
      </c>
      <c r="C2950" s="11" t="s">
        <v>2969</v>
      </c>
      <c r="D2950" s="1" t="s">
        <v>2901</v>
      </c>
      <c r="E2950" s="1" t="s">
        <v>18</v>
      </c>
      <c r="F2950" s="1" t="str">
        <f aca="false">TEXT(B2950,"mmm-yyyy")</f>
        <v>Dec-2024</v>
      </c>
    </row>
    <row r="2951" customFormat="false" ht="115.5" hidden="false" customHeight="true" outlineLevel="0" collapsed="false">
      <c r="A2951" s="1" t="n">
        <v>1</v>
      </c>
      <c r="B2951" s="10" t="n">
        <v>45657</v>
      </c>
      <c r="C2951" s="11" t="s">
        <v>2970</v>
      </c>
      <c r="D2951" s="1" t="s">
        <v>2901</v>
      </c>
      <c r="E2951" s="1" t="s">
        <v>20</v>
      </c>
      <c r="F2951" s="1" t="str">
        <f aca="false">TEXT(B2951,"mmm-yyyy")</f>
        <v>Dec-2024</v>
      </c>
    </row>
    <row r="2952" customFormat="false" ht="115.5" hidden="false" customHeight="true" outlineLevel="0" collapsed="false">
      <c r="A2952" s="1" t="n">
        <v>1</v>
      </c>
      <c r="B2952" s="10" t="n">
        <v>45653</v>
      </c>
      <c r="C2952" s="11" t="s">
        <v>2971</v>
      </c>
      <c r="D2952" s="1" t="s">
        <v>2901</v>
      </c>
      <c r="E2952" s="1" t="s">
        <v>20</v>
      </c>
      <c r="F2952" s="1" t="str">
        <f aca="false">TEXT(B2952,"mmm-yyyy")</f>
        <v>Dec-2024</v>
      </c>
    </row>
    <row r="2953" customFormat="false" ht="87" hidden="false" customHeight="true" outlineLevel="0" collapsed="false">
      <c r="A2953" s="1" t="n">
        <v>1</v>
      </c>
      <c r="B2953" s="10" t="n">
        <v>45642</v>
      </c>
      <c r="C2953" s="11" t="s">
        <v>2972</v>
      </c>
      <c r="D2953" s="1" t="s">
        <v>2901</v>
      </c>
      <c r="E2953" s="1" t="s">
        <v>20</v>
      </c>
      <c r="F2953" s="1" t="str">
        <f aca="false">TEXT(B2953,"mmm-yyyy")</f>
        <v>Dec-2024</v>
      </c>
    </row>
    <row r="2954" customFormat="false" ht="101.25" hidden="false" customHeight="true" outlineLevel="0" collapsed="false">
      <c r="A2954" s="1" t="n">
        <v>1</v>
      </c>
      <c r="B2954" s="10" t="n">
        <v>45642</v>
      </c>
      <c r="C2954" s="11" t="s">
        <v>2973</v>
      </c>
      <c r="D2954" s="1" t="s">
        <v>2901</v>
      </c>
      <c r="E2954" s="1" t="s">
        <v>20</v>
      </c>
      <c r="F2954" s="1" t="str">
        <f aca="false">TEXT(B2954,"mmm-yyyy")</f>
        <v>Dec-2024</v>
      </c>
    </row>
    <row r="2955" customFormat="false" ht="101.25" hidden="false" customHeight="true" outlineLevel="0" collapsed="false">
      <c r="A2955" s="1" t="n">
        <v>2</v>
      </c>
      <c r="B2955" s="10" t="n">
        <v>45649</v>
      </c>
      <c r="C2955" s="11" t="s">
        <v>2974</v>
      </c>
      <c r="D2955" s="1" t="s">
        <v>2901</v>
      </c>
      <c r="E2955" s="1" t="s">
        <v>18</v>
      </c>
      <c r="F2955" s="1" t="str">
        <f aca="false">TEXT(B2955,"mmm-yyyy")</f>
        <v>Dec-2024</v>
      </c>
    </row>
    <row r="2956" customFormat="false" ht="72" hidden="false" customHeight="true" outlineLevel="0" collapsed="false">
      <c r="A2956" s="1" t="n">
        <v>1</v>
      </c>
      <c r="B2956" s="10" t="n">
        <v>45654</v>
      </c>
      <c r="C2956" s="11" t="s">
        <v>2975</v>
      </c>
      <c r="D2956" s="1" t="s">
        <v>2901</v>
      </c>
      <c r="E2956" s="1" t="s">
        <v>20</v>
      </c>
      <c r="F2956" s="1" t="str">
        <f aca="false">TEXT(B2956,"mmm-yyyy")</f>
        <v>Dec-2024</v>
      </c>
    </row>
    <row r="2957" customFormat="false" ht="72" hidden="false" customHeight="true" outlineLevel="0" collapsed="false">
      <c r="A2957" s="1" t="n">
        <v>1</v>
      </c>
      <c r="B2957" s="10" t="n">
        <v>45649</v>
      </c>
      <c r="C2957" s="11" t="s">
        <v>2976</v>
      </c>
      <c r="D2957" s="1" t="s">
        <v>2901</v>
      </c>
      <c r="E2957" s="1" t="s">
        <v>18</v>
      </c>
      <c r="F2957" s="1" t="str">
        <f aca="false">TEXT(B2957,"mmm-yyyy")</f>
        <v>Dec-2024</v>
      </c>
    </row>
    <row r="2958" customFormat="false" ht="115.5" hidden="false" customHeight="true" outlineLevel="0" collapsed="false">
      <c r="A2958" s="1" t="n">
        <v>1</v>
      </c>
      <c r="B2958" s="10" t="n">
        <v>45641</v>
      </c>
      <c r="C2958" s="11" t="s">
        <v>2977</v>
      </c>
      <c r="D2958" s="1" t="s">
        <v>2901</v>
      </c>
      <c r="E2958" s="1" t="s">
        <v>18</v>
      </c>
      <c r="F2958" s="1" t="str">
        <f aca="false">TEXT(B2958,"mmm-yyyy")</f>
        <v>Dec-2024</v>
      </c>
    </row>
    <row r="2959" customFormat="false" ht="115.5" hidden="false" customHeight="true" outlineLevel="0" collapsed="false">
      <c r="A2959" s="1" t="n">
        <v>1</v>
      </c>
      <c r="B2959" s="10" t="n">
        <v>45641</v>
      </c>
      <c r="C2959" s="11" t="s">
        <v>2978</v>
      </c>
      <c r="D2959" s="1" t="s">
        <v>2901</v>
      </c>
      <c r="E2959" s="1" t="s">
        <v>20</v>
      </c>
      <c r="F2959" s="1" t="str">
        <f aca="false">TEXT(B2959,"mmm-yyyy")</f>
        <v>Dec-2024</v>
      </c>
    </row>
    <row r="2960" customFormat="false" ht="144.75" hidden="false" customHeight="true" outlineLevel="0" collapsed="false">
      <c r="A2960" s="1" t="n">
        <v>1</v>
      </c>
      <c r="B2960" s="10" t="n">
        <v>45651</v>
      </c>
      <c r="C2960" s="11" t="s">
        <v>2979</v>
      </c>
      <c r="D2960" s="1" t="s">
        <v>2901</v>
      </c>
      <c r="E2960" s="1" t="s">
        <v>20</v>
      </c>
      <c r="F2960" s="1" t="str">
        <f aca="false">TEXT(B2960,"mmm-yyyy")</f>
        <v>Dec-2024</v>
      </c>
    </row>
    <row r="2961" customFormat="false" ht="72" hidden="false" customHeight="true" outlineLevel="0" collapsed="false">
      <c r="A2961" s="1" t="n">
        <v>1</v>
      </c>
      <c r="B2961" s="10" t="n">
        <v>45638</v>
      </c>
      <c r="C2961" s="11" t="s">
        <v>2980</v>
      </c>
      <c r="D2961" s="1" t="s">
        <v>2901</v>
      </c>
      <c r="E2961" s="1" t="s">
        <v>18</v>
      </c>
      <c r="F2961" s="1" t="str">
        <f aca="false">TEXT(B2961,"mmm-yyyy")</f>
        <v>Dec-2024</v>
      </c>
    </row>
    <row r="2962" customFormat="false" ht="101.25" hidden="false" customHeight="true" outlineLevel="0" collapsed="false">
      <c r="A2962" s="1" t="n">
        <v>1</v>
      </c>
      <c r="B2962" s="10" t="n">
        <v>45638</v>
      </c>
      <c r="C2962" s="11" t="s">
        <v>2981</v>
      </c>
      <c r="D2962" s="1" t="s">
        <v>2901</v>
      </c>
      <c r="E2962" s="1" t="s">
        <v>20</v>
      </c>
      <c r="F2962" s="1" t="str">
        <f aca="false">TEXT(B2962,"mmm-yyyy")</f>
        <v>Dec-2024</v>
      </c>
    </row>
    <row r="2963" customFormat="false" ht="130.5" hidden="false" customHeight="true" outlineLevel="0" collapsed="false">
      <c r="A2963" s="1" t="n">
        <v>1</v>
      </c>
      <c r="B2963" s="10" t="n">
        <v>45636</v>
      </c>
      <c r="C2963" s="11" t="s">
        <v>2982</v>
      </c>
      <c r="D2963" s="1" t="s">
        <v>2901</v>
      </c>
      <c r="E2963" s="1" t="s">
        <v>20</v>
      </c>
      <c r="F2963" s="1" t="str">
        <f aca="false">TEXT(B2963,"mmm-yyyy")</f>
        <v>Dec-2024</v>
      </c>
    </row>
    <row r="2964" customFormat="false" ht="130.5" hidden="false" customHeight="true" outlineLevel="0" collapsed="false">
      <c r="A2964" s="1" t="n">
        <v>1</v>
      </c>
      <c r="B2964" s="10" t="n">
        <v>45650</v>
      </c>
      <c r="C2964" s="11" t="s">
        <v>2983</v>
      </c>
      <c r="D2964" s="1" t="s">
        <v>2901</v>
      </c>
      <c r="E2964" s="1" t="s">
        <v>20</v>
      </c>
      <c r="F2964" s="1" t="str">
        <f aca="false">TEXT(B2964,"mmm-yyyy")</f>
        <v>Dec-2024</v>
      </c>
    </row>
    <row r="2965" customFormat="false" ht="101.25" hidden="false" customHeight="true" outlineLevel="0" collapsed="false">
      <c r="A2965" s="1" t="n">
        <v>1</v>
      </c>
      <c r="B2965" s="10" t="n">
        <v>45656</v>
      </c>
      <c r="C2965" s="11" t="s">
        <v>2984</v>
      </c>
      <c r="D2965" s="1" t="s">
        <v>2901</v>
      </c>
      <c r="E2965" s="1" t="s">
        <v>18</v>
      </c>
      <c r="F2965" s="1" t="str">
        <f aca="false">TEXT(B2965,"mmm-yyyy")</f>
        <v>Dec-2024</v>
      </c>
    </row>
    <row r="2966" customFormat="false" ht="130.5" hidden="false" customHeight="true" outlineLevel="0" collapsed="false">
      <c r="A2966" s="1" t="n">
        <v>1</v>
      </c>
      <c r="B2966" s="10" t="n">
        <v>45644</v>
      </c>
      <c r="C2966" s="11" t="s">
        <v>2985</v>
      </c>
      <c r="D2966" s="1" t="s">
        <v>2901</v>
      </c>
      <c r="E2966" s="1" t="s">
        <v>20</v>
      </c>
      <c r="F2966" s="1" t="str">
        <f aca="false">TEXT(B2966,"mmm-yyyy")</f>
        <v>Dec-2024</v>
      </c>
    </row>
    <row r="2967" customFormat="false" ht="101.25" hidden="false" customHeight="true" outlineLevel="0" collapsed="false">
      <c r="A2967" s="1" t="n">
        <v>1</v>
      </c>
      <c r="B2967" s="10" t="n">
        <v>45639</v>
      </c>
      <c r="C2967" s="11" t="s">
        <v>2986</v>
      </c>
      <c r="D2967" s="1" t="s">
        <v>2901</v>
      </c>
      <c r="E2967" s="1" t="s">
        <v>20</v>
      </c>
      <c r="F2967" s="1" t="str">
        <f aca="false">TEXT(B2967,"mmm-yyyy")</f>
        <v>Dec-2024</v>
      </c>
    </row>
    <row r="2968" customFormat="false" ht="87" hidden="false" customHeight="true" outlineLevel="0" collapsed="false">
      <c r="A2968" s="1" t="n">
        <v>1</v>
      </c>
      <c r="B2968" s="10" t="n">
        <v>45650</v>
      </c>
      <c r="C2968" s="11" t="s">
        <v>2987</v>
      </c>
      <c r="D2968" s="1" t="s">
        <v>2901</v>
      </c>
      <c r="E2968" s="1" t="s">
        <v>20</v>
      </c>
      <c r="F2968" s="1" t="str">
        <f aca="false">TEXT(B2968,"mmm-yyyy")</f>
        <v>Dec-2024</v>
      </c>
    </row>
    <row r="2969" customFormat="false" ht="130.5" hidden="false" customHeight="true" outlineLevel="0" collapsed="false">
      <c r="A2969" s="1" t="n">
        <v>3</v>
      </c>
      <c r="B2969" s="10" t="n">
        <v>45651</v>
      </c>
      <c r="C2969" s="11" t="s">
        <v>2988</v>
      </c>
      <c r="D2969" s="1" t="s">
        <v>2901</v>
      </c>
      <c r="E2969" s="1" t="s">
        <v>20</v>
      </c>
      <c r="F2969" s="1" t="str">
        <f aca="false">TEXT(B2969,"mmm-yyyy")</f>
        <v>Dec-2024</v>
      </c>
    </row>
    <row r="2970" customFormat="false" ht="72" hidden="false" customHeight="true" outlineLevel="0" collapsed="false">
      <c r="A2970" s="1" t="n">
        <v>1</v>
      </c>
      <c r="B2970" s="10" t="n">
        <v>45646</v>
      </c>
      <c r="C2970" s="11" t="s">
        <v>2989</v>
      </c>
      <c r="D2970" s="1" t="s">
        <v>2901</v>
      </c>
      <c r="E2970" s="1" t="s">
        <v>20</v>
      </c>
      <c r="F2970" s="1" t="str">
        <f aca="false">TEXT(B2970,"mmm-yyyy")</f>
        <v>Dec-2024</v>
      </c>
    </row>
    <row r="2971" customFormat="false" ht="72" hidden="false" customHeight="true" outlineLevel="0" collapsed="false">
      <c r="A2971" s="1" t="n">
        <v>1</v>
      </c>
      <c r="B2971" s="10" t="n">
        <v>45651</v>
      </c>
      <c r="C2971" s="11" t="s">
        <v>2990</v>
      </c>
      <c r="D2971" s="1" t="s">
        <v>2901</v>
      </c>
      <c r="E2971" s="1" t="s">
        <v>20</v>
      </c>
      <c r="F2971" s="1" t="str">
        <f aca="false">TEXT(B2971,"mmm-yyyy")</f>
        <v>Dec-2024</v>
      </c>
    </row>
    <row r="2972" customFormat="false" ht="101.25" hidden="false" customHeight="true" outlineLevel="0" collapsed="false">
      <c r="A2972" s="1" t="n">
        <v>1</v>
      </c>
      <c r="B2972" s="10" t="n">
        <v>45638</v>
      </c>
      <c r="C2972" s="11" t="s">
        <v>2991</v>
      </c>
      <c r="D2972" s="1" t="s">
        <v>2901</v>
      </c>
      <c r="E2972" s="1" t="s">
        <v>32</v>
      </c>
      <c r="F2972" s="1" t="str">
        <f aca="false">TEXT(B2972,"mmm-yyyy")</f>
        <v>Dec-2024</v>
      </c>
    </row>
    <row r="2973" customFormat="false" ht="130.5" hidden="false" customHeight="true" outlineLevel="0" collapsed="false">
      <c r="A2973" s="1" t="n">
        <v>1</v>
      </c>
      <c r="B2973" s="10" t="n">
        <v>45655</v>
      </c>
      <c r="C2973" s="11" t="s">
        <v>2992</v>
      </c>
      <c r="D2973" s="1" t="s">
        <v>2901</v>
      </c>
      <c r="E2973" s="1" t="s">
        <v>18</v>
      </c>
      <c r="F2973" s="1" t="str">
        <f aca="false">TEXT(B2973,"mmm-yyyy")</f>
        <v>Dec-2024</v>
      </c>
    </row>
    <row r="2974" customFormat="false" ht="87" hidden="false" customHeight="true" outlineLevel="0" collapsed="false">
      <c r="A2974" s="1" t="n">
        <v>1</v>
      </c>
      <c r="B2974" s="10" t="n">
        <v>45646</v>
      </c>
      <c r="C2974" s="11" t="s">
        <v>2993</v>
      </c>
      <c r="D2974" s="1" t="s">
        <v>2901</v>
      </c>
      <c r="E2974" s="1" t="s">
        <v>20</v>
      </c>
      <c r="F2974" s="1" t="str">
        <f aca="false">TEXT(B2974,"mmm-yyyy")</f>
        <v>Dec-2024</v>
      </c>
    </row>
    <row r="2975" customFormat="false" ht="115.5" hidden="false" customHeight="true" outlineLevel="0" collapsed="false">
      <c r="A2975" s="1" t="n">
        <v>1</v>
      </c>
      <c r="B2975" s="10" t="n">
        <v>45645</v>
      </c>
      <c r="C2975" s="11" t="s">
        <v>2994</v>
      </c>
      <c r="D2975" s="1" t="s">
        <v>2901</v>
      </c>
      <c r="E2975" s="1" t="s">
        <v>18</v>
      </c>
      <c r="F2975" s="1" t="str">
        <f aca="false">TEXT(B2975,"mmm-yyyy")</f>
        <v>Dec-2024</v>
      </c>
    </row>
    <row r="2976" customFormat="false" ht="72" hidden="false" customHeight="true" outlineLevel="0" collapsed="false">
      <c r="A2976" s="1" t="n">
        <v>1</v>
      </c>
      <c r="B2976" s="10" t="n">
        <v>45652</v>
      </c>
      <c r="C2976" s="11" t="s">
        <v>2995</v>
      </c>
      <c r="D2976" s="1" t="s">
        <v>2901</v>
      </c>
      <c r="E2976" s="1" t="s">
        <v>20</v>
      </c>
      <c r="F2976" s="1" t="str">
        <f aca="false">TEXT(B2976,"mmm-yyyy")</f>
        <v>Dec-2024</v>
      </c>
    </row>
    <row r="2977" customFormat="false" ht="101.25" hidden="false" customHeight="true" outlineLevel="0" collapsed="false">
      <c r="A2977" s="1" t="n">
        <v>1</v>
      </c>
      <c r="B2977" s="10" t="n">
        <v>45648</v>
      </c>
      <c r="C2977" s="11" t="s">
        <v>2996</v>
      </c>
      <c r="D2977" s="1" t="s">
        <v>2901</v>
      </c>
      <c r="E2977" s="1" t="s">
        <v>18</v>
      </c>
      <c r="F2977" s="1" t="str">
        <f aca="false">TEXT(B2977,"mmm-yyyy")</f>
        <v>Dec-2024</v>
      </c>
    </row>
    <row r="2978" customFormat="false" ht="87" hidden="false" customHeight="true" outlineLevel="0" collapsed="false">
      <c r="A2978" s="1" t="n">
        <v>1</v>
      </c>
      <c r="B2978" s="10" t="n">
        <v>45649</v>
      </c>
      <c r="C2978" s="11" t="s">
        <v>2997</v>
      </c>
      <c r="D2978" s="1" t="s">
        <v>2901</v>
      </c>
      <c r="E2978" s="1" t="s">
        <v>20</v>
      </c>
      <c r="F2978" s="1" t="str">
        <f aca="false">TEXT(B2978,"mmm-yyyy")</f>
        <v>Dec-2024</v>
      </c>
    </row>
    <row r="2979" customFormat="false" ht="87" hidden="false" customHeight="true" outlineLevel="0" collapsed="false">
      <c r="A2979" s="1" t="n">
        <v>1</v>
      </c>
      <c r="B2979" s="10" t="n">
        <v>45641</v>
      </c>
      <c r="C2979" s="11" t="s">
        <v>2998</v>
      </c>
      <c r="D2979" s="1" t="s">
        <v>2901</v>
      </c>
      <c r="E2979" s="1" t="s">
        <v>20</v>
      </c>
      <c r="F2979" s="1" t="str">
        <f aca="false">TEXT(B2979,"mmm-yyyy")</f>
        <v>Dec-2024</v>
      </c>
    </row>
    <row r="2980" customFormat="false" ht="101.25" hidden="false" customHeight="true" outlineLevel="0" collapsed="false">
      <c r="A2980" s="1" t="n">
        <v>1</v>
      </c>
      <c r="B2980" s="10" t="n">
        <v>45652</v>
      </c>
      <c r="C2980" s="11" t="s">
        <v>2999</v>
      </c>
      <c r="D2980" s="1" t="s">
        <v>2901</v>
      </c>
      <c r="E2980" s="1" t="s">
        <v>20</v>
      </c>
      <c r="F2980" s="1" t="str">
        <f aca="false">TEXT(B2980,"mmm-yyyy")</f>
        <v>Dec-2024</v>
      </c>
    </row>
    <row r="2981" customFormat="false" ht="130.5" hidden="false" customHeight="true" outlineLevel="0" collapsed="false">
      <c r="A2981" s="1" t="n">
        <v>1</v>
      </c>
      <c r="B2981" s="10" t="n">
        <v>45651</v>
      </c>
      <c r="C2981" s="11" t="s">
        <v>3000</v>
      </c>
      <c r="D2981" s="1" t="s">
        <v>2901</v>
      </c>
      <c r="E2981" s="1" t="s">
        <v>20</v>
      </c>
      <c r="F2981" s="1" t="str">
        <f aca="false">TEXT(B2981,"mmm-yyyy")</f>
        <v>Dec-2024</v>
      </c>
    </row>
    <row r="2982" customFormat="false" ht="130.5" hidden="false" customHeight="true" outlineLevel="0" collapsed="false">
      <c r="A2982" s="1" t="n">
        <v>2</v>
      </c>
      <c r="B2982" s="10" t="n">
        <v>45648</v>
      </c>
      <c r="C2982" s="11" t="s">
        <v>3001</v>
      </c>
      <c r="D2982" s="1" t="s">
        <v>2901</v>
      </c>
      <c r="E2982" s="1" t="s">
        <v>20</v>
      </c>
      <c r="F2982" s="1" t="str">
        <f aca="false">TEXT(B2982,"mmm-yyyy")</f>
        <v>Dec-2024</v>
      </c>
    </row>
    <row r="2983" customFormat="false" ht="130.5" hidden="false" customHeight="true" outlineLevel="0" collapsed="false">
      <c r="A2983" s="1" t="n">
        <v>1</v>
      </c>
      <c r="B2983" s="10" t="n">
        <v>45636</v>
      </c>
      <c r="C2983" s="11" t="s">
        <v>3002</v>
      </c>
      <c r="D2983" s="1" t="s">
        <v>2901</v>
      </c>
      <c r="E2983" s="1" t="s">
        <v>20</v>
      </c>
      <c r="F2983" s="1" t="str">
        <f aca="false">TEXT(B2983,"mmm-yyyy")</f>
        <v>Dec-2024</v>
      </c>
    </row>
    <row r="2984" customFormat="false" ht="115.5" hidden="false" customHeight="true" outlineLevel="0" collapsed="false">
      <c r="A2984" s="1" t="n">
        <v>1</v>
      </c>
      <c r="B2984" s="10" t="n">
        <v>45653</v>
      </c>
      <c r="C2984" s="11" t="s">
        <v>3003</v>
      </c>
      <c r="D2984" s="1" t="s">
        <v>2901</v>
      </c>
      <c r="E2984" s="1" t="s">
        <v>18</v>
      </c>
      <c r="F2984" s="1" t="str">
        <f aca="false">TEXT(B2984,"mmm-yyyy")</f>
        <v>Dec-2024</v>
      </c>
    </row>
    <row r="2985" customFormat="false" ht="72" hidden="false" customHeight="true" outlineLevel="0" collapsed="false">
      <c r="A2985" s="1" t="n">
        <v>1</v>
      </c>
      <c r="B2985" s="10" t="n">
        <v>45649</v>
      </c>
      <c r="C2985" s="11" t="s">
        <v>3004</v>
      </c>
      <c r="D2985" s="1" t="s">
        <v>2901</v>
      </c>
      <c r="E2985" s="1" t="s">
        <v>20</v>
      </c>
      <c r="F2985" s="1" t="str">
        <f aca="false">TEXT(B2985,"mmm-yyyy")</f>
        <v>Dec-2024</v>
      </c>
    </row>
    <row r="2986" customFormat="false" ht="115.5" hidden="false" customHeight="true" outlineLevel="0" collapsed="false">
      <c r="A2986" s="1" t="n">
        <v>1</v>
      </c>
      <c r="B2986" s="10" t="n">
        <v>45649</v>
      </c>
      <c r="C2986" s="11" t="s">
        <v>3005</v>
      </c>
      <c r="D2986" s="1" t="s">
        <v>2901</v>
      </c>
      <c r="E2986" s="1" t="s">
        <v>18</v>
      </c>
      <c r="F2986" s="1" t="str">
        <f aca="false">TEXT(B2986,"mmm-yyyy")</f>
        <v>Dec-2024</v>
      </c>
    </row>
    <row r="2987" customFormat="false" ht="87" hidden="false" customHeight="true" outlineLevel="0" collapsed="false">
      <c r="A2987" s="1" t="n">
        <v>1</v>
      </c>
      <c r="B2987" s="10" t="n">
        <v>45644</v>
      </c>
      <c r="C2987" s="11" t="s">
        <v>3006</v>
      </c>
      <c r="D2987" s="1" t="s">
        <v>2901</v>
      </c>
      <c r="E2987" s="1" t="s">
        <v>20</v>
      </c>
      <c r="F2987" s="1" t="str">
        <f aca="false">TEXT(B2987,"mmm-yyyy")</f>
        <v>Dec-2024</v>
      </c>
    </row>
    <row r="2988" customFormat="false" ht="101.25" hidden="false" customHeight="true" outlineLevel="0" collapsed="false">
      <c r="A2988" s="1" t="n">
        <v>1</v>
      </c>
      <c r="B2988" s="10" t="n">
        <v>45651</v>
      </c>
      <c r="C2988" s="11" t="s">
        <v>3007</v>
      </c>
      <c r="D2988" s="1" t="s">
        <v>2901</v>
      </c>
      <c r="E2988" s="1" t="s">
        <v>20</v>
      </c>
      <c r="F2988" s="1" t="str">
        <f aca="false">TEXT(B2988,"mmm-yyyy")</f>
        <v>Dec-2024</v>
      </c>
    </row>
    <row r="2989" customFormat="false" ht="101.25" hidden="false" customHeight="true" outlineLevel="0" collapsed="false">
      <c r="A2989" s="1" t="n">
        <v>1</v>
      </c>
      <c r="B2989" s="10" t="n">
        <v>45650</v>
      </c>
      <c r="C2989" s="11" t="s">
        <v>3008</v>
      </c>
      <c r="D2989" s="1" t="s">
        <v>2901</v>
      </c>
      <c r="E2989" s="1" t="s">
        <v>20</v>
      </c>
      <c r="F2989" s="1" t="str">
        <f aca="false">TEXT(B2989,"mmm-yyyy")</f>
        <v>Dec-2024</v>
      </c>
    </row>
    <row r="2990" customFormat="false" ht="101.25" hidden="false" customHeight="true" outlineLevel="0" collapsed="false">
      <c r="A2990" s="1" t="n">
        <v>1</v>
      </c>
      <c r="B2990" s="10" t="n">
        <v>45650</v>
      </c>
      <c r="C2990" s="11" t="s">
        <v>3009</v>
      </c>
      <c r="D2990" s="1" t="s">
        <v>2901</v>
      </c>
      <c r="E2990" s="1" t="s">
        <v>18</v>
      </c>
      <c r="F2990" s="1" t="str">
        <f aca="false">TEXT(B2990,"mmm-yyyy")</f>
        <v>Dec-2024</v>
      </c>
    </row>
    <row r="2991" customFormat="false" ht="115.5" hidden="false" customHeight="true" outlineLevel="0" collapsed="false">
      <c r="A2991" s="1" t="n">
        <v>1</v>
      </c>
      <c r="B2991" s="10" t="n">
        <v>45653</v>
      </c>
      <c r="C2991" s="11" t="s">
        <v>3010</v>
      </c>
      <c r="D2991" s="1" t="s">
        <v>2901</v>
      </c>
      <c r="E2991" s="1" t="s">
        <v>18</v>
      </c>
      <c r="F2991" s="1" t="str">
        <f aca="false">TEXT(B2991,"mmm-yyyy")</f>
        <v>Dec-2024</v>
      </c>
    </row>
    <row r="2992" customFormat="false" ht="130.5" hidden="false" customHeight="true" outlineLevel="0" collapsed="false">
      <c r="A2992" s="1" t="n">
        <v>1</v>
      </c>
      <c r="B2992" s="10" t="n">
        <v>45653</v>
      </c>
      <c r="C2992" s="11" t="s">
        <v>3011</v>
      </c>
      <c r="D2992" s="1" t="s">
        <v>2901</v>
      </c>
      <c r="E2992" s="1" t="s">
        <v>18</v>
      </c>
      <c r="F2992" s="1" t="str">
        <f aca="false">TEXT(B2992,"mmm-yyyy")</f>
        <v>Dec-2024</v>
      </c>
    </row>
    <row r="2993" customFormat="false" ht="130.5" hidden="false" customHeight="true" outlineLevel="0" collapsed="false">
      <c r="A2993" s="1" t="n">
        <v>3</v>
      </c>
      <c r="B2993" s="10" t="n">
        <v>45651</v>
      </c>
      <c r="C2993" s="11" t="s">
        <v>3012</v>
      </c>
      <c r="D2993" s="1" t="s">
        <v>2901</v>
      </c>
      <c r="E2993" s="1" t="s">
        <v>18</v>
      </c>
      <c r="F2993" s="1" t="str">
        <f aca="false">TEXT(B2993,"mmm-yyyy")</f>
        <v>Dec-2024</v>
      </c>
    </row>
    <row r="2994" customFormat="false" ht="130.5" hidden="false" customHeight="true" outlineLevel="0" collapsed="false">
      <c r="A2994" s="1" t="n">
        <v>1</v>
      </c>
      <c r="B2994" s="10" t="n">
        <v>45654</v>
      </c>
      <c r="C2994" s="11" t="s">
        <v>3013</v>
      </c>
      <c r="D2994" s="1" t="s">
        <v>2901</v>
      </c>
      <c r="E2994" s="1" t="s">
        <v>20</v>
      </c>
      <c r="F2994" s="1" t="str">
        <f aca="false">TEXT(B2994,"mmm-yyyy")</f>
        <v>Dec-2024</v>
      </c>
    </row>
    <row r="2995" customFormat="false" ht="101.25" hidden="false" customHeight="true" outlineLevel="0" collapsed="false">
      <c r="A2995" s="1" t="n">
        <v>1</v>
      </c>
      <c r="B2995" s="10" t="n">
        <v>45646</v>
      </c>
      <c r="C2995" s="11" t="s">
        <v>3014</v>
      </c>
      <c r="D2995" s="1" t="s">
        <v>2901</v>
      </c>
      <c r="E2995" s="1" t="s">
        <v>18</v>
      </c>
      <c r="F2995" s="1" t="str">
        <f aca="false">TEXT(B2995,"mmm-yyyy")</f>
        <v>Dec-2024</v>
      </c>
    </row>
    <row r="2996" customFormat="false" ht="130.5" hidden="false" customHeight="true" outlineLevel="0" collapsed="false">
      <c r="A2996" s="1" t="n">
        <v>1</v>
      </c>
      <c r="B2996" s="10" t="n">
        <v>45651</v>
      </c>
      <c r="C2996" s="11" t="s">
        <v>3015</v>
      </c>
      <c r="D2996" s="1" t="s">
        <v>2901</v>
      </c>
      <c r="E2996" s="1" t="s">
        <v>18</v>
      </c>
      <c r="F2996" s="1" t="str">
        <f aca="false">TEXT(B2996,"mmm-yyyy")</f>
        <v>Dec-2024</v>
      </c>
    </row>
    <row r="2997" customFormat="false" ht="130.5" hidden="false" customHeight="true" outlineLevel="0" collapsed="false">
      <c r="A2997" s="1" t="n">
        <v>1</v>
      </c>
      <c r="B2997" s="10" t="n">
        <v>45644</v>
      </c>
      <c r="C2997" s="11" t="s">
        <v>3016</v>
      </c>
      <c r="D2997" s="1" t="s">
        <v>2901</v>
      </c>
      <c r="E2997" s="1" t="s">
        <v>20</v>
      </c>
      <c r="F2997" s="1" t="str">
        <f aca="false">TEXT(B2997,"mmm-yyyy")</f>
        <v>Dec-2024</v>
      </c>
    </row>
    <row r="2998" customFormat="false" ht="130.5" hidden="false" customHeight="true" outlineLevel="0" collapsed="false">
      <c r="A2998" s="1" t="n">
        <v>1</v>
      </c>
      <c r="B2998" s="10" t="n">
        <v>45646</v>
      </c>
      <c r="C2998" s="11" t="s">
        <v>3017</v>
      </c>
      <c r="D2998" s="1" t="s">
        <v>2901</v>
      </c>
      <c r="E2998" s="1" t="s">
        <v>18</v>
      </c>
      <c r="F2998" s="1" t="str">
        <f aca="false">TEXT(B2998,"mmm-yyyy")</f>
        <v>Dec-2024</v>
      </c>
    </row>
    <row r="2999" customFormat="false" ht="72" hidden="false" customHeight="true" outlineLevel="0" collapsed="false">
      <c r="A2999" s="1" t="n">
        <v>1</v>
      </c>
      <c r="B2999" s="10" t="n">
        <v>45644</v>
      </c>
      <c r="C2999" s="11" t="s">
        <v>3018</v>
      </c>
      <c r="D2999" s="1" t="s">
        <v>2901</v>
      </c>
      <c r="E2999" s="1" t="s">
        <v>18</v>
      </c>
      <c r="F2999" s="1" t="str">
        <f aca="false">TEXT(B2999,"mmm-yyyy")</f>
        <v>Dec-2024</v>
      </c>
    </row>
    <row r="3000" customFormat="false" ht="101.25" hidden="false" customHeight="true" outlineLevel="0" collapsed="false">
      <c r="A3000" s="1" t="n">
        <v>1</v>
      </c>
      <c r="B3000" s="10" t="n">
        <v>45654</v>
      </c>
      <c r="C3000" s="11" t="s">
        <v>3019</v>
      </c>
      <c r="D3000" s="1" t="s">
        <v>2901</v>
      </c>
      <c r="E3000" s="1" t="s">
        <v>20</v>
      </c>
      <c r="F3000" s="1" t="str">
        <f aca="false">TEXT(B3000,"mmm-yyyy")</f>
        <v>Dec-2024</v>
      </c>
    </row>
    <row r="3001" customFormat="false" ht="72" hidden="false" customHeight="true" outlineLevel="0" collapsed="false">
      <c r="A3001" s="1" t="n">
        <v>4</v>
      </c>
      <c r="B3001" s="10" t="n">
        <v>45651</v>
      </c>
      <c r="C3001" s="11" t="s">
        <v>3020</v>
      </c>
      <c r="D3001" s="1" t="s">
        <v>2901</v>
      </c>
      <c r="E3001" s="1" t="s">
        <v>18</v>
      </c>
      <c r="F3001" s="1" t="str">
        <f aca="false">TEXT(B3001,"mmm-yyyy")</f>
        <v>Dec-2024</v>
      </c>
    </row>
    <row r="3002" customFormat="false" ht="101.25" hidden="false" customHeight="true" outlineLevel="0" collapsed="false">
      <c r="A3002" s="1" t="n">
        <v>1</v>
      </c>
      <c r="B3002" s="10" t="n">
        <v>45651</v>
      </c>
      <c r="C3002" s="11" t="s">
        <v>3021</v>
      </c>
      <c r="D3002" s="1" t="s">
        <v>2901</v>
      </c>
      <c r="E3002" s="1" t="s">
        <v>20</v>
      </c>
      <c r="F3002" s="1" t="str">
        <f aca="false">TEXT(B3002,"mmm-yyyy")</f>
        <v>Dec-2024</v>
      </c>
    </row>
    <row r="3003" customFormat="false" ht="87" hidden="false" customHeight="true" outlineLevel="0" collapsed="false">
      <c r="A3003" s="1" t="n">
        <v>1</v>
      </c>
      <c r="B3003" s="10" t="n">
        <v>45648</v>
      </c>
      <c r="C3003" s="11" t="s">
        <v>3022</v>
      </c>
      <c r="D3003" s="1" t="s">
        <v>2901</v>
      </c>
      <c r="E3003" s="1" t="s">
        <v>20</v>
      </c>
      <c r="F3003" s="1" t="str">
        <f aca="false">TEXT(B3003,"mmm-yyyy")</f>
        <v>Dec-2024</v>
      </c>
    </row>
    <row r="3004" customFormat="false" ht="101.25" hidden="false" customHeight="true" outlineLevel="0" collapsed="false">
      <c r="A3004" s="1" t="n">
        <v>1</v>
      </c>
      <c r="B3004" s="10" t="n">
        <v>45655</v>
      </c>
      <c r="C3004" s="11" t="s">
        <v>3023</v>
      </c>
      <c r="D3004" s="1" t="s">
        <v>2901</v>
      </c>
      <c r="E3004" s="1" t="s">
        <v>20</v>
      </c>
      <c r="F3004" s="1" t="str">
        <f aca="false">TEXT(B3004,"mmm-yyyy")</f>
        <v>Dec-2024</v>
      </c>
    </row>
    <row r="3005" customFormat="false" ht="130.5" hidden="false" customHeight="true" outlineLevel="0" collapsed="false">
      <c r="A3005" s="1" t="n">
        <v>1</v>
      </c>
      <c r="B3005" s="10" t="n">
        <v>45651</v>
      </c>
      <c r="C3005" s="11" t="s">
        <v>3024</v>
      </c>
      <c r="D3005" s="1" t="s">
        <v>2901</v>
      </c>
      <c r="E3005" s="1" t="s">
        <v>20</v>
      </c>
      <c r="F3005" s="1" t="str">
        <f aca="false">TEXT(B3005,"mmm-yyyy")</f>
        <v>Dec-2024</v>
      </c>
    </row>
    <row r="3006" customFormat="false" ht="101.25" hidden="false" customHeight="true" outlineLevel="0" collapsed="false">
      <c r="A3006" s="1" t="n">
        <v>1</v>
      </c>
      <c r="B3006" s="10" t="n">
        <v>45646</v>
      </c>
      <c r="C3006" s="11" t="s">
        <v>3025</v>
      </c>
      <c r="D3006" s="1" t="s">
        <v>2901</v>
      </c>
      <c r="E3006" s="1" t="s">
        <v>20</v>
      </c>
      <c r="F3006" s="1" t="str">
        <f aca="false">TEXT(B3006,"mmm-yyyy")</f>
        <v>Dec-2024</v>
      </c>
    </row>
    <row r="3007" customFormat="false" ht="72" hidden="false" customHeight="true" outlineLevel="0" collapsed="false">
      <c r="A3007" s="1" t="n">
        <v>1</v>
      </c>
      <c r="B3007" s="10" t="n">
        <v>45647</v>
      </c>
      <c r="C3007" s="11" t="s">
        <v>3026</v>
      </c>
      <c r="D3007" s="1" t="s">
        <v>2901</v>
      </c>
      <c r="E3007" s="1" t="s">
        <v>20</v>
      </c>
      <c r="F3007" s="1" t="str">
        <f aca="false">TEXT(B3007,"mmm-yyyy")</f>
        <v>Dec-2024</v>
      </c>
    </row>
    <row r="3008" customFormat="false" ht="130.5" hidden="false" customHeight="true" outlineLevel="0" collapsed="false">
      <c r="A3008" s="1" t="n">
        <v>3</v>
      </c>
      <c r="B3008" s="10" t="n">
        <v>45653</v>
      </c>
      <c r="C3008" s="11" t="s">
        <v>3027</v>
      </c>
      <c r="D3008" s="1" t="s">
        <v>2901</v>
      </c>
      <c r="E3008" s="1" t="s">
        <v>20</v>
      </c>
      <c r="F3008" s="1" t="str">
        <f aca="false">TEXT(B3008,"mmm-yyyy")</f>
        <v>Dec-2024</v>
      </c>
    </row>
    <row r="3009" customFormat="false" ht="87" hidden="false" customHeight="true" outlineLevel="0" collapsed="false">
      <c r="A3009" s="1" t="n">
        <v>1</v>
      </c>
      <c r="B3009" s="10" t="n">
        <v>45645</v>
      </c>
      <c r="C3009" s="11" t="s">
        <v>3028</v>
      </c>
      <c r="D3009" s="1" t="s">
        <v>2901</v>
      </c>
      <c r="E3009" s="1" t="s">
        <v>20</v>
      </c>
      <c r="F3009" s="1" t="str">
        <f aca="false">TEXT(B3009,"mmm-yyyy")</f>
        <v>Dec-2024</v>
      </c>
    </row>
    <row r="3010" customFormat="false" ht="101.25" hidden="false" customHeight="true" outlineLevel="0" collapsed="false">
      <c r="A3010" s="1" t="n">
        <v>1</v>
      </c>
      <c r="B3010" s="10" t="n">
        <v>45641</v>
      </c>
      <c r="C3010" s="11" t="s">
        <v>3029</v>
      </c>
      <c r="D3010" s="1" t="s">
        <v>2901</v>
      </c>
      <c r="E3010" s="1" t="s">
        <v>20</v>
      </c>
      <c r="F3010" s="1" t="str">
        <f aca="false">TEXT(B3010,"mmm-yyyy")</f>
        <v>Dec-2024</v>
      </c>
    </row>
    <row r="3011" customFormat="false" ht="72" hidden="false" customHeight="true" outlineLevel="0" collapsed="false">
      <c r="A3011" s="1" t="n">
        <v>1</v>
      </c>
      <c r="B3011" s="10" t="n">
        <v>45649</v>
      </c>
      <c r="C3011" s="11" t="s">
        <v>3030</v>
      </c>
      <c r="D3011" s="1" t="s">
        <v>2901</v>
      </c>
      <c r="E3011" s="1" t="s">
        <v>20</v>
      </c>
      <c r="F3011" s="1" t="str">
        <f aca="false">TEXT(B3011,"mmm-yyyy")</f>
        <v>Dec-2024</v>
      </c>
    </row>
    <row r="3012" customFormat="false" ht="87" hidden="false" customHeight="true" outlineLevel="0" collapsed="false">
      <c r="A3012" s="1" t="n">
        <v>1</v>
      </c>
      <c r="B3012" s="10" t="n">
        <v>45642</v>
      </c>
      <c r="C3012" s="11" t="s">
        <v>3031</v>
      </c>
      <c r="D3012" s="1" t="s">
        <v>2901</v>
      </c>
      <c r="E3012" s="1" t="s">
        <v>20</v>
      </c>
      <c r="F3012" s="1" t="str">
        <f aca="false">TEXT(B3012,"mmm-yyyy")</f>
        <v>Dec-2024</v>
      </c>
    </row>
    <row r="3013" customFormat="false" ht="130.5" hidden="false" customHeight="true" outlineLevel="0" collapsed="false">
      <c r="A3013" s="1" t="n">
        <v>2</v>
      </c>
      <c r="B3013" s="10" t="n">
        <v>45639</v>
      </c>
      <c r="C3013" s="11" t="s">
        <v>3032</v>
      </c>
      <c r="D3013" s="1" t="s">
        <v>2901</v>
      </c>
      <c r="E3013" s="1" t="s">
        <v>20</v>
      </c>
      <c r="F3013" s="1" t="str">
        <f aca="false">TEXT(B3013,"mmm-yyyy")</f>
        <v>Dec-2024</v>
      </c>
    </row>
    <row r="3014" customFormat="false" ht="144.75" hidden="false" customHeight="true" outlineLevel="0" collapsed="false">
      <c r="A3014" s="1" t="n">
        <v>1</v>
      </c>
      <c r="B3014" s="10" t="n">
        <v>45643</v>
      </c>
      <c r="C3014" s="11" t="s">
        <v>3033</v>
      </c>
      <c r="D3014" s="1" t="s">
        <v>2901</v>
      </c>
      <c r="E3014" s="1" t="s">
        <v>18</v>
      </c>
      <c r="F3014" s="1" t="str">
        <f aca="false">TEXT(B3014,"mmm-yyyy")</f>
        <v>Dec-2024</v>
      </c>
    </row>
    <row r="3015" customFormat="false" ht="115.5" hidden="false" customHeight="true" outlineLevel="0" collapsed="false">
      <c r="A3015" s="1" t="n">
        <v>1</v>
      </c>
      <c r="B3015" s="10" t="n">
        <v>45639</v>
      </c>
      <c r="C3015" s="11" t="s">
        <v>3034</v>
      </c>
      <c r="D3015" s="1" t="s">
        <v>2901</v>
      </c>
      <c r="E3015" s="1" t="s">
        <v>20</v>
      </c>
      <c r="F3015" s="1" t="str">
        <f aca="false">TEXT(B3015,"mmm-yyyy")</f>
        <v>Dec-2024</v>
      </c>
    </row>
    <row r="3016" customFormat="false" ht="130.5" hidden="false" customHeight="true" outlineLevel="0" collapsed="false">
      <c r="A3016" s="1" t="n">
        <v>1</v>
      </c>
      <c r="B3016" s="10" t="n">
        <v>45646</v>
      </c>
      <c r="C3016" s="11" t="s">
        <v>3035</v>
      </c>
      <c r="D3016" s="1" t="s">
        <v>2901</v>
      </c>
      <c r="E3016" s="1" t="s">
        <v>18</v>
      </c>
      <c r="F3016" s="1" t="str">
        <f aca="false">TEXT(B3016,"mmm-yyyy")</f>
        <v>Dec-2024</v>
      </c>
    </row>
    <row r="3017" customFormat="false" ht="130.5" hidden="false" customHeight="true" outlineLevel="0" collapsed="false">
      <c r="A3017" s="1" t="n">
        <v>4</v>
      </c>
      <c r="B3017" s="10" t="n">
        <v>45646</v>
      </c>
      <c r="C3017" s="11" t="s">
        <v>3036</v>
      </c>
      <c r="D3017" s="1" t="s">
        <v>2901</v>
      </c>
      <c r="E3017" s="1" t="s">
        <v>20</v>
      </c>
      <c r="F3017" s="1" t="str">
        <f aca="false">TEXT(B3017,"mmm-yyyy")</f>
        <v>Dec-2024</v>
      </c>
    </row>
    <row r="3018" customFormat="false" ht="115.5" hidden="false" customHeight="true" outlineLevel="0" collapsed="false">
      <c r="A3018" s="1" t="n">
        <v>1</v>
      </c>
      <c r="B3018" s="10" t="n">
        <v>45650</v>
      </c>
      <c r="C3018" s="11" t="s">
        <v>3037</v>
      </c>
      <c r="D3018" s="1" t="s">
        <v>2901</v>
      </c>
      <c r="E3018" s="1" t="s">
        <v>20</v>
      </c>
      <c r="F3018" s="1" t="str">
        <f aca="false">TEXT(B3018,"mmm-yyyy")</f>
        <v>Dec-2024</v>
      </c>
    </row>
    <row r="3019" customFormat="false" ht="87" hidden="false" customHeight="true" outlineLevel="0" collapsed="false">
      <c r="A3019" s="1" t="n">
        <v>1</v>
      </c>
      <c r="B3019" s="10" t="n">
        <v>45645</v>
      </c>
      <c r="C3019" s="11" t="s">
        <v>3038</v>
      </c>
      <c r="D3019" s="1" t="s">
        <v>2901</v>
      </c>
      <c r="E3019" s="1" t="s">
        <v>20</v>
      </c>
      <c r="F3019" s="1" t="str">
        <f aca="false">TEXT(B3019,"mmm-yyyy")</f>
        <v>Dec-2024</v>
      </c>
    </row>
    <row r="3020" customFormat="false" ht="72" hidden="false" customHeight="true" outlineLevel="0" collapsed="false">
      <c r="A3020" s="1" t="n">
        <v>1</v>
      </c>
      <c r="B3020" s="10" t="n">
        <v>45639</v>
      </c>
      <c r="C3020" s="11" t="s">
        <v>3039</v>
      </c>
      <c r="D3020" s="1" t="s">
        <v>2901</v>
      </c>
      <c r="E3020" s="1" t="s">
        <v>18</v>
      </c>
      <c r="F3020" s="1" t="str">
        <f aca="false">TEXT(B3020,"mmm-yyyy")</f>
        <v>Dec-2024</v>
      </c>
    </row>
    <row r="3021" customFormat="false" ht="87" hidden="false" customHeight="true" outlineLevel="0" collapsed="false">
      <c r="A3021" s="1" t="n">
        <v>1</v>
      </c>
      <c r="B3021" s="10" t="n">
        <v>45656</v>
      </c>
      <c r="C3021" s="11" t="s">
        <v>3040</v>
      </c>
      <c r="D3021" s="1" t="s">
        <v>2901</v>
      </c>
      <c r="E3021" s="1" t="s">
        <v>20</v>
      </c>
      <c r="F3021" s="1" t="str">
        <f aca="false">TEXT(B3021,"mmm-yyyy")</f>
        <v>Dec-2024</v>
      </c>
    </row>
    <row r="3022" customFormat="false" ht="101.25" hidden="false" customHeight="true" outlineLevel="0" collapsed="false">
      <c r="A3022" s="1" t="n">
        <v>1</v>
      </c>
      <c r="B3022" s="10" t="n">
        <v>45642</v>
      </c>
      <c r="C3022" s="11" t="s">
        <v>3041</v>
      </c>
      <c r="D3022" s="1" t="s">
        <v>2901</v>
      </c>
      <c r="E3022" s="1" t="s">
        <v>18</v>
      </c>
      <c r="F3022" s="1" t="str">
        <f aca="false">TEXT(B3022,"mmm-yyyy")</f>
        <v>Dec-2024</v>
      </c>
    </row>
    <row r="3023" customFormat="false" ht="115.5" hidden="false" customHeight="true" outlineLevel="0" collapsed="false">
      <c r="A3023" s="1" t="n">
        <v>1</v>
      </c>
      <c r="B3023" s="10" t="n">
        <v>45654</v>
      </c>
      <c r="C3023" s="11" t="s">
        <v>3042</v>
      </c>
      <c r="D3023" s="1" t="s">
        <v>2901</v>
      </c>
      <c r="E3023" s="1" t="s">
        <v>18</v>
      </c>
      <c r="F3023" s="1" t="str">
        <f aca="false">TEXT(B3023,"mmm-yyyy")</f>
        <v>Dec-2024</v>
      </c>
    </row>
    <row r="3024" customFormat="false" ht="101.25" hidden="false" customHeight="true" outlineLevel="0" collapsed="false">
      <c r="A3024" s="1" t="n">
        <v>1</v>
      </c>
      <c r="B3024" s="10" t="n">
        <v>45640</v>
      </c>
      <c r="C3024" s="11" t="s">
        <v>3043</v>
      </c>
      <c r="D3024" s="1" t="s">
        <v>2901</v>
      </c>
      <c r="E3024" s="1" t="s">
        <v>32</v>
      </c>
      <c r="F3024" s="1" t="str">
        <f aca="false">TEXT(B3024,"mmm-yyyy")</f>
        <v>Dec-2024</v>
      </c>
    </row>
    <row r="3025" customFormat="false" ht="87" hidden="false" customHeight="true" outlineLevel="0" collapsed="false">
      <c r="A3025" s="1" t="n">
        <v>1</v>
      </c>
      <c r="B3025" s="10" t="n">
        <v>45636</v>
      </c>
      <c r="C3025" s="11" t="s">
        <v>3044</v>
      </c>
      <c r="D3025" s="1" t="s">
        <v>2901</v>
      </c>
      <c r="E3025" s="1" t="s">
        <v>18</v>
      </c>
      <c r="F3025" s="1" t="str">
        <f aca="false">TEXT(B3025,"mmm-yyyy")</f>
        <v>Dec-2024</v>
      </c>
    </row>
    <row r="3026" customFormat="false" ht="101.25" hidden="false" customHeight="true" outlineLevel="0" collapsed="false">
      <c r="A3026" s="1" t="n">
        <v>1</v>
      </c>
      <c r="B3026" s="10" t="n">
        <v>45641</v>
      </c>
      <c r="C3026" s="11" t="s">
        <v>3045</v>
      </c>
      <c r="D3026" s="1" t="s">
        <v>2901</v>
      </c>
      <c r="E3026" s="1" t="s">
        <v>20</v>
      </c>
      <c r="F3026" s="1" t="str">
        <f aca="false">TEXT(B3026,"mmm-yyyy")</f>
        <v>Dec-2024</v>
      </c>
    </row>
    <row r="3027" customFormat="false" ht="115.5" hidden="false" customHeight="true" outlineLevel="0" collapsed="false">
      <c r="A3027" s="1" t="n">
        <v>1</v>
      </c>
      <c r="B3027" s="10" t="n">
        <v>45653</v>
      </c>
      <c r="C3027" s="11" t="s">
        <v>3046</v>
      </c>
      <c r="D3027" s="1" t="s">
        <v>2901</v>
      </c>
      <c r="E3027" s="1" t="s">
        <v>20</v>
      </c>
      <c r="F3027" s="1" t="str">
        <f aca="false">TEXT(B3027,"mmm-yyyy")</f>
        <v>Dec-2024</v>
      </c>
    </row>
    <row r="3028" customFormat="false" ht="115.5" hidden="false" customHeight="true" outlineLevel="0" collapsed="false">
      <c r="A3028" s="1" t="n">
        <v>1</v>
      </c>
      <c r="B3028" s="10" t="n">
        <v>45650</v>
      </c>
      <c r="C3028" s="11" t="s">
        <v>3047</v>
      </c>
      <c r="D3028" s="1" t="s">
        <v>2901</v>
      </c>
      <c r="E3028" s="1" t="s">
        <v>20</v>
      </c>
      <c r="F3028" s="1" t="str">
        <f aca="false">TEXT(B3028,"mmm-yyyy")</f>
        <v>Dec-2024</v>
      </c>
    </row>
    <row r="3029" customFormat="false" ht="101.25" hidden="false" customHeight="true" outlineLevel="0" collapsed="false">
      <c r="A3029" s="1" t="n">
        <v>1</v>
      </c>
      <c r="B3029" s="10" t="n">
        <v>45654</v>
      </c>
      <c r="C3029" s="11" t="s">
        <v>3048</v>
      </c>
      <c r="D3029" s="1" t="s">
        <v>2901</v>
      </c>
      <c r="E3029" s="1" t="s">
        <v>20</v>
      </c>
      <c r="F3029" s="1" t="str">
        <f aca="false">TEXT(B3029,"mmm-yyyy")</f>
        <v>Dec-2024</v>
      </c>
    </row>
    <row r="3030" customFormat="false" ht="87" hidden="false" customHeight="true" outlineLevel="0" collapsed="false">
      <c r="A3030" s="1" t="n">
        <v>1</v>
      </c>
      <c r="B3030" s="10" t="n">
        <v>45644</v>
      </c>
      <c r="C3030" s="11" t="s">
        <v>3049</v>
      </c>
      <c r="D3030" s="1" t="s">
        <v>2901</v>
      </c>
      <c r="E3030" s="1" t="s">
        <v>18</v>
      </c>
      <c r="F3030" s="1" t="str">
        <f aca="false">TEXT(B3030,"mmm-yyyy")</f>
        <v>Dec-2024</v>
      </c>
    </row>
    <row r="3031" customFormat="false" ht="72" hidden="false" customHeight="true" outlineLevel="0" collapsed="false">
      <c r="A3031" s="1" t="n">
        <v>4</v>
      </c>
      <c r="B3031" s="10" t="n">
        <v>45653</v>
      </c>
      <c r="C3031" s="11" t="s">
        <v>3050</v>
      </c>
      <c r="D3031" s="1" t="s">
        <v>2901</v>
      </c>
      <c r="E3031" s="1" t="s">
        <v>18</v>
      </c>
      <c r="F3031" s="1" t="str">
        <f aca="false">TEXT(B3031,"mmm-yyyy")</f>
        <v>Dec-2024</v>
      </c>
    </row>
    <row r="3032" customFormat="false" ht="130.5" hidden="false" customHeight="true" outlineLevel="0" collapsed="false">
      <c r="A3032" s="1" t="n">
        <v>1</v>
      </c>
      <c r="B3032" s="10" t="n">
        <v>45655</v>
      </c>
      <c r="C3032" s="11" t="s">
        <v>3051</v>
      </c>
      <c r="D3032" s="1" t="s">
        <v>2901</v>
      </c>
      <c r="E3032" s="1" t="s">
        <v>18</v>
      </c>
      <c r="F3032" s="1" t="str">
        <f aca="false">TEXT(B3032,"mmm-yyyy")</f>
        <v>Dec-2024</v>
      </c>
    </row>
    <row r="3033" customFormat="false" ht="72" hidden="false" customHeight="true" outlineLevel="0" collapsed="false">
      <c r="A3033" s="1" t="n">
        <v>2</v>
      </c>
      <c r="B3033" s="10" t="n">
        <v>45654</v>
      </c>
      <c r="C3033" s="11" t="s">
        <v>3052</v>
      </c>
      <c r="D3033" s="1" t="s">
        <v>2901</v>
      </c>
      <c r="E3033" s="1" t="s">
        <v>18</v>
      </c>
      <c r="F3033" s="1" t="str">
        <f aca="false">TEXT(B3033,"mmm-yyyy")</f>
        <v>Dec-2024</v>
      </c>
    </row>
    <row r="3034" customFormat="false" ht="101.25" hidden="false" customHeight="true" outlineLevel="0" collapsed="false">
      <c r="A3034" s="1" t="n">
        <v>1</v>
      </c>
      <c r="B3034" s="10" t="n">
        <v>45650</v>
      </c>
      <c r="C3034" s="11" t="s">
        <v>3053</v>
      </c>
      <c r="D3034" s="1" t="s">
        <v>2901</v>
      </c>
      <c r="E3034" s="1" t="s">
        <v>20</v>
      </c>
      <c r="F3034" s="1" t="str">
        <f aca="false">TEXT(B3034,"mmm-yyyy")</f>
        <v>Dec-2024</v>
      </c>
    </row>
    <row r="3035" customFormat="false" ht="87" hidden="false" customHeight="true" outlineLevel="0" collapsed="false">
      <c r="A3035" s="1" t="n">
        <v>1</v>
      </c>
      <c r="B3035" s="10" t="n">
        <v>45636</v>
      </c>
      <c r="C3035" s="11" t="s">
        <v>3054</v>
      </c>
      <c r="D3035" s="1" t="s">
        <v>2901</v>
      </c>
      <c r="E3035" s="1" t="s">
        <v>20</v>
      </c>
      <c r="F3035" s="1" t="str">
        <f aca="false">TEXT(B3035,"mmm-yyyy")</f>
        <v>Dec-2024</v>
      </c>
    </row>
    <row r="3036" customFormat="false" ht="130.5" hidden="false" customHeight="true" outlineLevel="0" collapsed="false">
      <c r="A3036" s="1" t="n">
        <v>1</v>
      </c>
      <c r="B3036" s="10" t="n">
        <v>45655</v>
      </c>
      <c r="C3036" s="11" t="s">
        <v>3055</v>
      </c>
      <c r="D3036" s="1" t="s">
        <v>2901</v>
      </c>
      <c r="E3036" s="1" t="s">
        <v>20</v>
      </c>
      <c r="F3036" s="1" t="str">
        <f aca="false">TEXT(B3036,"mmm-yyyy")</f>
        <v>Dec-2024</v>
      </c>
    </row>
    <row r="3037" customFormat="false" ht="115.5" hidden="false" customHeight="true" outlineLevel="0" collapsed="false">
      <c r="A3037" s="1" t="n">
        <v>1</v>
      </c>
      <c r="B3037" s="10" t="n">
        <v>45651</v>
      </c>
      <c r="C3037" s="11" t="s">
        <v>3056</v>
      </c>
      <c r="D3037" s="1" t="s">
        <v>2901</v>
      </c>
      <c r="E3037" s="1" t="s">
        <v>20</v>
      </c>
      <c r="F3037" s="1" t="str">
        <f aca="false">TEXT(B3037,"mmm-yyyy")</f>
        <v>Dec-2024</v>
      </c>
    </row>
    <row r="3038" customFormat="false" ht="130.5" hidden="false" customHeight="true" outlineLevel="0" collapsed="false">
      <c r="A3038" s="1" t="n">
        <v>1</v>
      </c>
      <c r="B3038" s="10" t="n">
        <v>45656</v>
      </c>
      <c r="C3038" s="11" t="s">
        <v>3057</v>
      </c>
      <c r="D3038" s="1" t="s">
        <v>2901</v>
      </c>
      <c r="E3038" s="1" t="s">
        <v>20</v>
      </c>
      <c r="F3038" s="1" t="str">
        <f aca="false">TEXT(B3038,"mmm-yyyy")</f>
        <v>Dec-2024</v>
      </c>
    </row>
    <row r="3039" customFormat="false" ht="57.75" hidden="false" customHeight="true" outlineLevel="0" collapsed="false">
      <c r="A3039" s="1" t="n">
        <v>1</v>
      </c>
      <c r="B3039" s="10" t="n">
        <v>45654</v>
      </c>
      <c r="C3039" s="11" t="s">
        <v>3058</v>
      </c>
      <c r="D3039" s="1" t="s">
        <v>2901</v>
      </c>
      <c r="E3039" s="1" t="s">
        <v>20</v>
      </c>
      <c r="F3039" s="1" t="str">
        <f aca="false">TEXT(B3039,"mmm-yyyy")</f>
        <v>Dec-2024</v>
      </c>
    </row>
    <row r="3040" customFormat="false" ht="72" hidden="false" customHeight="true" outlineLevel="0" collapsed="false">
      <c r="A3040" s="1" t="n">
        <v>1</v>
      </c>
      <c r="B3040" s="10" t="n">
        <v>45644</v>
      </c>
      <c r="C3040" s="11" t="s">
        <v>3059</v>
      </c>
      <c r="D3040" s="1" t="s">
        <v>2901</v>
      </c>
      <c r="E3040" s="1" t="s">
        <v>18</v>
      </c>
      <c r="F3040" s="1" t="str">
        <f aca="false">TEXT(B3040,"mmm-yyyy")</f>
        <v>Dec-2024</v>
      </c>
    </row>
    <row r="3041" customFormat="false" ht="101.25" hidden="false" customHeight="true" outlineLevel="0" collapsed="false">
      <c r="A3041" s="1" t="n">
        <v>1</v>
      </c>
      <c r="B3041" s="10" t="n">
        <v>45651</v>
      </c>
      <c r="C3041" s="11" t="s">
        <v>3060</v>
      </c>
      <c r="D3041" s="1" t="s">
        <v>2901</v>
      </c>
      <c r="E3041" s="1" t="s">
        <v>18</v>
      </c>
      <c r="F3041" s="1" t="str">
        <f aca="false">TEXT(B3041,"mmm-yyyy")</f>
        <v>Dec-2024</v>
      </c>
    </row>
    <row r="3042" customFormat="false" ht="115.5" hidden="false" customHeight="true" outlineLevel="0" collapsed="false">
      <c r="A3042" s="1" t="n">
        <v>1</v>
      </c>
      <c r="B3042" s="10" t="n">
        <v>45647</v>
      </c>
      <c r="C3042" s="11" t="s">
        <v>3061</v>
      </c>
      <c r="D3042" s="1" t="s">
        <v>2901</v>
      </c>
      <c r="E3042" s="1" t="s">
        <v>20</v>
      </c>
      <c r="F3042" s="1" t="str">
        <f aca="false">TEXT(B3042,"mmm-yyyy")</f>
        <v>Dec-2024</v>
      </c>
    </row>
    <row r="3043" customFormat="false" ht="72" hidden="false" customHeight="true" outlineLevel="0" collapsed="false">
      <c r="A3043" s="1" t="n">
        <v>1</v>
      </c>
      <c r="B3043" s="10" t="n">
        <v>45652</v>
      </c>
      <c r="C3043" s="11" t="s">
        <v>3062</v>
      </c>
      <c r="D3043" s="1" t="s">
        <v>2901</v>
      </c>
      <c r="E3043" s="1" t="s">
        <v>20</v>
      </c>
      <c r="F3043" s="1" t="str">
        <f aca="false">TEXT(B3043,"mmm-yyyy")</f>
        <v>Dec-2024</v>
      </c>
    </row>
    <row r="3044" customFormat="false" ht="115.5" hidden="false" customHeight="true" outlineLevel="0" collapsed="false">
      <c r="A3044" s="1" t="n">
        <v>1</v>
      </c>
      <c r="B3044" s="10" t="n">
        <v>45650</v>
      </c>
      <c r="C3044" s="11" t="s">
        <v>3063</v>
      </c>
      <c r="D3044" s="1" t="s">
        <v>2901</v>
      </c>
      <c r="E3044" s="1" t="s">
        <v>18</v>
      </c>
      <c r="F3044" s="1" t="str">
        <f aca="false">TEXT(B3044,"mmm-yyyy")</f>
        <v>Dec-2024</v>
      </c>
    </row>
    <row r="3045" customFormat="false" ht="87" hidden="false" customHeight="true" outlineLevel="0" collapsed="false">
      <c r="A3045" s="1" t="n">
        <v>1</v>
      </c>
      <c r="B3045" s="10" t="n">
        <v>45654</v>
      </c>
      <c r="C3045" s="11" t="s">
        <v>3064</v>
      </c>
      <c r="D3045" s="1" t="s">
        <v>2901</v>
      </c>
      <c r="E3045" s="1" t="s">
        <v>20</v>
      </c>
      <c r="F3045" s="1" t="str">
        <f aca="false">TEXT(B3045,"mmm-yyyy")</f>
        <v>Dec-2024</v>
      </c>
    </row>
    <row r="3046" customFormat="false" ht="87" hidden="false" customHeight="true" outlineLevel="0" collapsed="false">
      <c r="A3046" s="1" t="n">
        <v>1</v>
      </c>
      <c r="B3046" s="10" t="n">
        <v>45650</v>
      </c>
      <c r="C3046" s="11" t="s">
        <v>3065</v>
      </c>
      <c r="D3046" s="1" t="s">
        <v>2901</v>
      </c>
      <c r="E3046" s="1" t="s">
        <v>18</v>
      </c>
      <c r="F3046" s="1" t="str">
        <f aca="false">TEXT(B3046,"mmm-yyyy")</f>
        <v>Dec-2024</v>
      </c>
    </row>
    <row r="3047" customFormat="false" ht="87" hidden="false" customHeight="true" outlineLevel="0" collapsed="false">
      <c r="A3047" s="1" t="n">
        <v>1</v>
      </c>
      <c r="B3047" s="10" t="n">
        <v>45640</v>
      </c>
      <c r="C3047" s="11" t="s">
        <v>3066</v>
      </c>
      <c r="D3047" s="1" t="s">
        <v>2901</v>
      </c>
      <c r="E3047" s="1" t="s">
        <v>20</v>
      </c>
      <c r="F3047" s="1" t="str">
        <f aca="false">TEXT(B3047,"mmm-yyyy")</f>
        <v>Dec-2024</v>
      </c>
    </row>
    <row r="3048" customFormat="false" ht="87" hidden="false" customHeight="true" outlineLevel="0" collapsed="false">
      <c r="A3048" s="1" t="n">
        <v>4</v>
      </c>
      <c r="B3048" s="10" t="n">
        <v>45648</v>
      </c>
      <c r="C3048" s="11" t="s">
        <v>3067</v>
      </c>
      <c r="D3048" s="1" t="s">
        <v>2901</v>
      </c>
      <c r="E3048" s="1" t="s">
        <v>18</v>
      </c>
      <c r="F3048" s="1" t="str">
        <f aca="false">TEXT(B3048,"mmm-yyyy")</f>
        <v>Dec-2024</v>
      </c>
    </row>
    <row r="3049" customFormat="false" ht="87" hidden="false" customHeight="true" outlineLevel="0" collapsed="false">
      <c r="A3049" s="1" t="n">
        <v>1</v>
      </c>
      <c r="B3049" s="10" t="n">
        <v>45653</v>
      </c>
      <c r="C3049" s="11" t="s">
        <v>3068</v>
      </c>
      <c r="D3049" s="1" t="s">
        <v>2901</v>
      </c>
      <c r="E3049" s="1" t="s">
        <v>20</v>
      </c>
      <c r="F3049" s="1" t="str">
        <f aca="false">TEXT(B3049,"mmm-yyyy")</f>
        <v>Dec-2024</v>
      </c>
    </row>
    <row r="3050" customFormat="false" ht="87" hidden="false" customHeight="true" outlineLevel="0" collapsed="false">
      <c r="A3050" s="1" t="n">
        <v>1</v>
      </c>
      <c r="B3050" s="10" t="n">
        <v>45654</v>
      </c>
      <c r="C3050" s="11" t="s">
        <v>3069</v>
      </c>
      <c r="D3050" s="1" t="s">
        <v>2901</v>
      </c>
      <c r="E3050" s="1" t="s">
        <v>20</v>
      </c>
      <c r="F3050" s="1" t="str">
        <f aca="false">TEXT(B3050,"mmm-yyyy")</f>
        <v>Dec-2024</v>
      </c>
    </row>
    <row r="3051" customFormat="false" ht="115.5" hidden="false" customHeight="true" outlineLevel="0" collapsed="false">
      <c r="A3051" s="1" t="n">
        <v>2</v>
      </c>
      <c r="B3051" s="10" t="n">
        <v>45639</v>
      </c>
      <c r="C3051" s="11" t="s">
        <v>3070</v>
      </c>
      <c r="D3051" s="1" t="s">
        <v>2901</v>
      </c>
      <c r="E3051" s="1" t="s">
        <v>20</v>
      </c>
      <c r="F3051" s="1" t="str">
        <f aca="false">TEXT(B3051,"mmm-yyyy")</f>
        <v>Dec-2024</v>
      </c>
    </row>
    <row r="3052" customFormat="false" ht="72" hidden="false" customHeight="true" outlineLevel="0" collapsed="false">
      <c r="A3052" s="1" t="n">
        <v>1</v>
      </c>
      <c r="B3052" s="10" t="n">
        <v>45642</v>
      </c>
      <c r="C3052" s="11" t="s">
        <v>3071</v>
      </c>
      <c r="D3052" s="1" t="s">
        <v>2901</v>
      </c>
      <c r="E3052" s="1" t="s">
        <v>20</v>
      </c>
      <c r="F3052" s="1" t="str">
        <f aca="false">TEXT(B3052,"mmm-yyyy")</f>
        <v>Dec-2024</v>
      </c>
    </row>
    <row r="3053" customFormat="false" ht="101.25" hidden="false" customHeight="true" outlineLevel="0" collapsed="false">
      <c r="A3053" s="1" t="n">
        <v>3</v>
      </c>
      <c r="B3053" s="10" t="n">
        <v>45650</v>
      </c>
      <c r="C3053" s="11" t="s">
        <v>3072</v>
      </c>
      <c r="D3053" s="1" t="s">
        <v>2901</v>
      </c>
      <c r="E3053" s="1" t="s">
        <v>18</v>
      </c>
      <c r="F3053" s="1" t="str">
        <f aca="false">TEXT(B3053,"mmm-yyyy")</f>
        <v>Dec-2024</v>
      </c>
    </row>
    <row r="3054" customFormat="false" ht="130.5" hidden="false" customHeight="true" outlineLevel="0" collapsed="false">
      <c r="A3054" s="1" t="n">
        <v>1</v>
      </c>
      <c r="B3054" s="10" t="n">
        <v>45647</v>
      </c>
      <c r="C3054" s="11" t="s">
        <v>3073</v>
      </c>
      <c r="D3054" s="1" t="s">
        <v>2901</v>
      </c>
      <c r="E3054" s="1" t="s">
        <v>18</v>
      </c>
      <c r="F3054" s="1" t="str">
        <f aca="false">TEXT(B3054,"mmm-yyyy")</f>
        <v>Dec-2024</v>
      </c>
    </row>
    <row r="3055" customFormat="false" ht="115.5" hidden="false" customHeight="true" outlineLevel="0" collapsed="false">
      <c r="A3055" s="1" t="n">
        <v>1</v>
      </c>
      <c r="B3055" s="10" t="n">
        <v>45651</v>
      </c>
      <c r="C3055" s="11" t="s">
        <v>3074</v>
      </c>
      <c r="D3055" s="1" t="s">
        <v>2901</v>
      </c>
      <c r="E3055" s="1" t="s">
        <v>20</v>
      </c>
      <c r="F3055" s="1" t="str">
        <f aca="false">TEXT(B3055,"mmm-yyyy")</f>
        <v>Dec-2024</v>
      </c>
    </row>
    <row r="3056" customFormat="false" ht="57.75" hidden="false" customHeight="true" outlineLevel="0" collapsed="false">
      <c r="A3056" s="1" t="n">
        <v>1</v>
      </c>
      <c r="B3056" s="10" t="n">
        <v>45656</v>
      </c>
      <c r="C3056" s="11" t="s">
        <v>3075</v>
      </c>
      <c r="D3056" s="1" t="s">
        <v>2901</v>
      </c>
      <c r="E3056" s="1" t="s">
        <v>20</v>
      </c>
      <c r="F3056" s="1" t="str">
        <f aca="false">TEXT(B3056,"mmm-yyyy")</f>
        <v>Dec-2024</v>
      </c>
    </row>
    <row r="3057" customFormat="false" ht="101.25" hidden="false" customHeight="true" outlineLevel="0" collapsed="false">
      <c r="A3057" s="1" t="n">
        <v>1</v>
      </c>
      <c r="B3057" s="10" t="n">
        <v>45656</v>
      </c>
      <c r="C3057" s="11" t="s">
        <v>3076</v>
      </c>
      <c r="D3057" s="1" t="s">
        <v>2901</v>
      </c>
      <c r="E3057" s="1" t="s">
        <v>20</v>
      </c>
      <c r="F3057" s="1" t="str">
        <f aca="false">TEXT(B3057,"mmm-yyyy")</f>
        <v>Dec-2024</v>
      </c>
    </row>
    <row r="3058" customFormat="false" ht="115.5" hidden="false" customHeight="true" outlineLevel="0" collapsed="false">
      <c r="A3058" s="1" t="n">
        <v>2</v>
      </c>
      <c r="B3058" s="10" t="n">
        <v>45655</v>
      </c>
      <c r="C3058" s="11" t="s">
        <v>3077</v>
      </c>
      <c r="D3058" s="1" t="s">
        <v>2901</v>
      </c>
      <c r="E3058" s="1" t="s">
        <v>18</v>
      </c>
      <c r="F3058" s="1" t="str">
        <f aca="false">TEXT(B3058,"mmm-yyyy")</f>
        <v>Dec-2024</v>
      </c>
    </row>
    <row r="3059" customFormat="false" ht="101.25" hidden="false" customHeight="true" outlineLevel="0" collapsed="false">
      <c r="A3059" s="1" t="n">
        <v>1</v>
      </c>
      <c r="B3059" s="10" t="n">
        <v>45645</v>
      </c>
      <c r="C3059" s="11" t="s">
        <v>3078</v>
      </c>
      <c r="D3059" s="1" t="s">
        <v>2901</v>
      </c>
      <c r="E3059" s="1" t="s">
        <v>20</v>
      </c>
      <c r="F3059" s="1" t="str">
        <f aca="false">TEXT(B3059,"mmm-yyyy")</f>
        <v>Dec-2024</v>
      </c>
    </row>
    <row r="3060" customFormat="false" ht="101.25" hidden="false" customHeight="true" outlineLevel="0" collapsed="false">
      <c r="A3060" s="1" t="n">
        <v>1</v>
      </c>
      <c r="B3060" s="10" t="n">
        <v>45648</v>
      </c>
      <c r="C3060" s="11" t="s">
        <v>3079</v>
      </c>
      <c r="D3060" s="1" t="s">
        <v>2901</v>
      </c>
      <c r="E3060" s="1" t="s">
        <v>20</v>
      </c>
      <c r="F3060" s="1" t="str">
        <f aca="false">TEXT(B3060,"mmm-yyyy")</f>
        <v>Dec-2024</v>
      </c>
    </row>
    <row r="3061" customFormat="false" ht="87" hidden="false" customHeight="true" outlineLevel="0" collapsed="false">
      <c r="A3061" s="1" t="n">
        <v>1</v>
      </c>
      <c r="B3061" s="10" t="n">
        <v>45650</v>
      </c>
      <c r="C3061" s="11" t="s">
        <v>3080</v>
      </c>
      <c r="D3061" s="1" t="s">
        <v>2901</v>
      </c>
      <c r="E3061" s="1" t="s">
        <v>20</v>
      </c>
      <c r="F3061" s="1" t="str">
        <f aca="false">TEXT(B3061,"mmm-yyyy")</f>
        <v>Dec-2024</v>
      </c>
    </row>
    <row r="3062" customFormat="false" ht="115.5" hidden="false" customHeight="true" outlineLevel="0" collapsed="false">
      <c r="A3062" s="1" t="n">
        <v>1</v>
      </c>
      <c r="B3062" s="10" t="n">
        <v>45650</v>
      </c>
      <c r="C3062" s="11" t="s">
        <v>3081</v>
      </c>
      <c r="D3062" s="1" t="s">
        <v>2901</v>
      </c>
      <c r="E3062" s="1" t="s">
        <v>18</v>
      </c>
      <c r="F3062" s="1" t="str">
        <f aca="false">TEXT(B3062,"mmm-yyyy")</f>
        <v>Dec-2024</v>
      </c>
    </row>
    <row r="3063" customFormat="false" ht="72" hidden="false" customHeight="true" outlineLevel="0" collapsed="false">
      <c r="A3063" s="1" t="n">
        <v>2</v>
      </c>
      <c r="B3063" s="10" t="n">
        <v>45655</v>
      </c>
      <c r="C3063" s="11" t="s">
        <v>3082</v>
      </c>
      <c r="D3063" s="1" t="s">
        <v>2901</v>
      </c>
      <c r="E3063" s="1" t="s">
        <v>18</v>
      </c>
      <c r="F3063" s="1" t="str">
        <f aca="false">TEXT(B3063,"mmm-yyyy")</f>
        <v>Dec-2024</v>
      </c>
    </row>
    <row r="3064" customFormat="false" ht="72" hidden="false" customHeight="true" outlineLevel="0" collapsed="false">
      <c r="A3064" s="1" t="n">
        <v>1</v>
      </c>
      <c r="B3064" s="10" t="n">
        <v>45650</v>
      </c>
      <c r="C3064" s="11" t="s">
        <v>3083</v>
      </c>
      <c r="D3064" s="1" t="s">
        <v>2901</v>
      </c>
      <c r="E3064" s="1" t="s">
        <v>18</v>
      </c>
      <c r="F3064" s="1" t="str">
        <f aca="false">TEXT(B3064,"mmm-yyyy")</f>
        <v>Dec-2024</v>
      </c>
    </row>
    <row r="3065" customFormat="false" ht="72" hidden="false" customHeight="true" outlineLevel="0" collapsed="false">
      <c r="A3065" s="1" t="n">
        <v>1</v>
      </c>
      <c r="B3065" s="10" t="n">
        <v>45655</v>
      </c>
      <c r="C3065" s="11" t="s">
        <v>3084</v>
      </c>
      <c r="D3065" s="1" t="s">
        <v>2901</v>
      </c>
      <c r="E3065" s="1" t="s">
        <v>20</v>
      </c>
      <c r="F3065" s="1" t="str">
        <f aca="false">TEXT(B3065,"mmm-yyyy")</f>
        <v>Dec-2024</v>
      </c>
    </row>
    <row r="3066" customFormat="false" ht="115.5" hidden="false" customHeight="true" outlineLevel="0" collapsed="false">
      <c r="A3066" s="1" t="n">
        <v>1</v>
      </c>
      <c r="B3066" s="10" t="n">
        <v>45657</v>
      </c>
      <c r="C3066" s="11" t="s">
        <v>3085</v>
      </c>
      <c r="D3066" s="1" t="s">
        <v>2901</v>
      </c>
      <c r="E3066" s="1" t="s">
        <v>18</v>
      </c>
      <c r="F3066" s="1" t="str">
        <f aca="false">TEXT(B3066,"mmm-yyyy")</f>
        <v>Dec-2024</v>
      </c>
    </row>
    <row r="3067" customFormat="false" ht="101.25" hidden="false" customHeight="true" outlineLevel="0" collapsed="false">
      <c r="A3067" s="1" t="n">
        <v>1</v>
      </c>
      <c r="B3067" s="10" t="n">
        <v>45657</v>
      </c>
      <c r="C3067" s="11" t="s">
        <v>3086</v>
      </c>
      <c r="D3067" s="1" t="s">
        <v>2901</v>
      </c>
      <c r="E3067" s="1" t="s">
        <v>20</v>
      </c>
      <c r="F3067" s="1" t="str">
        <f aca="false">TEXT(B3067,"mmm-yyyy")</f>
        <v>Dec-2024</v>
      </c>
    </row>
    <row r="3068" customFormat="false" ht="101.25" hidden="false" customHeight="true" outlineLevel="0" collapsed="false">
      <c r="A3068" s="1" t="n">
        <v>1</v>
      </c>
      <c r="B3068" s="10" t="n">
        <v>45639</v>
      </c>
      <c r="C3068" s="11" t="s">
        <v>3087</v>
      </c>
      <c r="D3068" s="1" t="s">
        <v>2901</v>
      </c>
      <c r="E3068" s="1" t="s">
        <v>20</v>
      </c>
      <c r="F3068" s="1" t="str">
        <f aca="false">TEXT(B3068,"mmm-yyyy")</f>
        <v>Dec-2024</v>
      </c>
    </row>
    <row r="3069" customFormat="false" ht="87" hidden="false" customHeight="true" outlineLevel="0" collapsed="false">
      <c r="A3069" s="1" t="n">
        <v>1</v>
      </c>
      <c r="B3069" s="10" t="n">
        <v>45643</v>
      </c>
      <c r="C3069" s="11" t="s">
        <v>3088</v>
      </c>
      <c r="D3069" s="1" t="s">
        <v>2901</v>
      </c>
      <c r="E3069" s="1" t="s">
        <v>18</v>
      </c>
      <c r="F3069" s="1" t="str">
        <f aca="false">TEXT(B3069,"mmm-yyyy")</f>
        <v>Dec-2024</v>
      </c>
    </row>
    <row r="3070" customFormat="false" ht="130.5" hidden="false" customHeight="true" outlineLevel="0" collapsed="false">
      <c r="A3070" s="1" t="n">
        <v>3</v>
      </c>
      <c r="B3070" s="10" t="n">
        <v>45652</v>
      </c>
      <c r="C3070" s="11" t="s">
        <v>3089</v>
      </c>
      <c r="D3070" s="1" t="s">
        <v>2901</v>
      </c>
      <c r="E3070" s="1" t="s">
        <v>18</v>
      </c>
      <c r="F3070" s="1" t="str">
        <f aca="false">TEXT(B3070,"mmm-yyyy")</f>
        <v>Dec-2024</v>
      </c>
    </row>
    <row r="3071" customFormat="false" ht="130.5" hidden="false" customHeight="true" outlineLevel="0" collapsed="false">
      <c r="A3071" s="1" t="n">
        <v>1</v>
      </c>
      <c r="B3071" s="10" t="n">
        <v>45649</v>
      </c>
      <c r="C3071" s="11" t="s">
        <v>3090</v>
      </c>
      <c r="D3071" s="1" t="s">
        <v>2901</v>
      </c>
      <c r="E3071" s="1" t="s">
        <v>20</v>
      </c>
      <c r="F3071" s="1" t="str">
        <f aca="false">TEXT(B3071,"mmm-yyyy")</f>
        <v>Dec-2024</v>
      </c>
    </row>
    <row r="3072" customFormat="false" ht="130.5" hidden="false" customHeight="true" outlineLevel="0" collapsed="false">
      <c r="A3072" s="1" t="n">
        <v>1</v>
      </c>
      <c r="B3072" s="10" t="n">
        <v>45655</v>
      </c>
      <c r="C3072" s="11" t="s">
        <v>3091</v>
      </c>
      <c r="D3072" s="1" t="s">
        <v>2901</v>
      </c>
      <c r="E3072" s="1" t="s">
        <v>20</v>
      </c>
      <c r="F3072" s="1" t="str">
        <f aca="false">TEXT(B3072,"mmm-yyyy")</f>
        <v>Dec-2024</v>
      </c>
    </row>
    <row r="3073" customFormat="false" ht="101.25" hidden="false" customHeight="true" outlineLevel="0" collapsed="false">
      <c r="A3073" s="1" t="n">
        <v>1</v>
      </c>
      <c r="B3073" s="10" t="n">
        <v>45651</v>
      </c>
      <c r="C3073" s="11" t="s">
        <v>3092</v>
      </c>
      <c r="D3073" s="1" t="s">
        <v>2901</v>
      </c>
      <c r="E3073" s="1" t="s">
        <v>20</v>
      </c>
      <c r="F3073" s="1" t="str">
        <f aca="false">TEXT(B3073,"mmm-yyyy")</f>
        <v>Dec-2024</v>
      </c>
    </row>
    <row r="3074" customFormat="false" ht="115.5" hidden="false" customHeight="true" outlineLevel="0" collapsed="false">
      <c r="A3074" s="1" t="n">
        <v>1</v>
      </c>
      <c r="B3074" s="10" t="n">
        <v>45644</v>
      </c>
      <c r="C3074" s="11" t="s">
        <v>3093</v>
      </c>
      <c r="D3074" s="1" t="s">
        <v>2901</v>
      </c>
      <c r="E3074" s="1" t="s">
        <v>20</v>
      </c>
      <c r="F3074" s="1" t="str">
        <f aca="false">TEXT(B3074,"mmm-yyyy")</f>
        <v>Dec-2024</v>
      </c>
    </row>
    <row r="3075" customFormat="false" ht="144.75" hidden="false" customHeight="true" outlineLevel="0" collapsed="false">
      <c r="A3075" s="1" t="n">
        <v>1</v>
      </c>
      <c r="B3075" s="10" t="n">
        <v>45646</v>
      </c>
      <c r="C3075" s="11" t="s">
        <v>3094</v>
      </c>
      <c r="D3075" s="1" t="s">
        <v>2901</v>
      </c>
      <c r="E3075" s="1" t="s">
        <v>20</v>
      </c>
      <c r="F3075" s="1" t="str">
        <f aca="false">TEXT(B3075,"mmm-yyyy")</f>
        <v>Dec-2024</v>
      </c>
    </row>
    <row r="3076" customFormat="false" ht="130.5" hidden="false" customHeight="true" outlineLevel="0" collapsed="false">
      <c r="A3076" s="1" t="n">
        <v>1</v>
      </c>
      <c r="B3076" s="10" t="n">
        <v>45648</v>
      </c>
      <c r="C3076" s="11" t="s">
        <v>3095</v>
      </c>
      <c r="D3076" s="1" t="s">
        <v>2901</v>
      </c>
      <c r="E3076" s="1" t="s">
        <v>20</v>
      </c>
      <c r="F3076" s="1" t="str">
        <f aca="false">TEXT(B3076,"mmm-yyyy")</f>
        <v>Dec-2024</v>
      </c>
    </row>
    <row r="3077" customFormat="false" ht="72" hidden="false" customHeight="true" outlineLevel="0" collapsed="false">
      <c r="A3077" s="1" t="n">
        <v>1</v>
      </c>
      <c r="B3077" s="10" t="n">
        <v>45651</v>
      </c>
      <c r="C3077" s="11" t="s">
        <v>3096</v>
      </c>
      <c r="D3077" s="1" t="s">
        <v>2901</v>
      </c>
      <c r="E3077" s="1" t="s">
        <v>18</v>
      </c>
      <c r="F3077" s="1" t="str">
        <f aca="false">TEXT(B3077,"mmm-yyyy")</f>
        <v>Dec-2024</v>
      </c>
    </row>
    <row r="3078" customFormat="false" ht="87" hidden="false" customHeight="true" outlineLevel="0" collapsed="false">
      <c r="A3078" s="1" t="n">
        <v>1</v>
      </c>
      <c r="B3078" s="10" t="n">
        <v>45651</v>
      </c>
      <c r="C3078" s="11" t="s">
        <v>3097</v>
      </c>
      <c r="D3078" s="1" t="s">
        <v>2901</v>
      </c>
      <c r="E3078" s="1" t="s">
        <v>20</v>
      </c>
      <c r="F3078" s="1" t="str">
        <f aca="false">TEXT(B3078,"mmm-yyyy")</f>
        <v>Dec-2024</v>
      </c>
    </row>
    <row r="3079" customFormat="false" ht="72" hidden="false" customHeight="true" outlineLevel="0" collapsed="false">
      <c r="A3079" s="1" t="n">
        <v>1</v>
      </c>
      <c r="B3079" s="10" t="n">
        <v>45639</v>
      </c>
      <c r="C3079" s="11" t="s">
        <v>3098</v>
      </c>
      <c r="D3079" s="1" t="s">
        <v>2901</v>
      </c>
      <c r="E3079" s="1" t="s">
        <v>20</v>
      </c>
      <c r="F3079" s="1" t="str">
        <f aca="false">TEXT(B3079,"mmm-yyyy")</f>
        <v>Dec-2024</v>
      </c>
    </row>
    <row r="3080" customFormat="false" ht="87" hidden="false" customHeight="true" outlineLevel="0" collapsed="false">
      <c r="A3080" s="1" t="n">
        <v>1</v>
      </c>
      <c r="B3080" s="10" t="n">
        <v>45650</v>
      </c>
      <c r="C3080" s="11" t="s">
        <v>3099</v>
      </c>
      <c r="D3080" s="1" t="s">
        <v>2901</v>
      </c>
      <c r="E3080" s="1" t="s">
        <v>18</v>
      </c>
      <c r="F3080" s="1" t="str">
        <f aca="false">TEXT(B3080,"mmm-yyyy")</f>
        <v>Dec-2024</v>
      </c>
    </row>
    <row r="3081" customFormat="false" ht="57.75" hidden="false" customHeight="true" outlineLevel="0" collapsed="false">
      <c r="A3081" s="1" t="n">
        <v>1</v>
      </c>
      <c r="B3081" s="10" t="n">
        <v>45650</v>
      </c>
      <c r="C3081" s="11" t="s">
        <v>3100</v>
      </c>
      <c r="D3081" s="1" t="s">
        <v>2901</v>
      </c>
      <c r="E3081" s="1" t="s">
        <v>20</v>
      </c>
      <c r="F3081" s="1" t="str">
        <f aca="false">TEXT(B3081,"mmm-yyyy")</f>
        <v>Dec-2024</v>
      </c>
    </row>
    <row r="3082" customFormat="false" ht="87" hidden="false" customHeight="true" outlineLevel="0" collapsed="false">
      <c r="A3082" s="1" t="n">
        <v>1</v>
      </c>
      <c r="B3082" s="10" t="n">
        <v>45657</v>
      </c>
      <c r="C3082" s="11" t="s">
        <v>3101</v>
      </c>
      <c r="D3082" s="1" t="s">
        <v>2901</v>
      </c>
      <c r="E3082" s="1" t="s">
        <v>32</v>
      </c>
      <c r="F3082" s="1" t="str">
        <f aca="false">TEXT(B3082,"mmm-yyyy")</f>
        <v>Dec-2024</v>
      </c>
    </row>
    <row r="3083" customFormat="false" ht="130.5" hidden="false" customHeight="true" outlineLevel="0" collapsed="false">
      <c r="A3083" s="1" t="n">
        <v>1</v>
      </c>
      <c r="B3083" s="10" t="n">
        <v>45646</v>
      </c>
      <c r="C3083" s="11" t="s">
        <v>3102</v>
      </c>
      <c r="D3083" s="1" t="s">
        <v>2901</v>
      </c>
      <c r="E3083" s="1" t="s">
        <v>20</v>
      </c>
      <c r="F3083" s="1" t="str">
        <f aca="false">TEXT(B3083,"mmm-yyyy")</f>
        <v>Dec-2024</v>
      </c>
    </row>
    <row r="3084" customFormat="false" ht="115.5" hidden="false" customHeight="true" outlineLevel="0" collapsed="false">
      <c r="A3084" s="1" t="n">
        <v>1</v>
      </c>
      <c r="B3084" s="10" t="n">
        <v>45640</v>
      </c>
      <c r="C3084" s="11" t="s">
        <v>3103</v>
      </c>
      <c r="D3084" s="1" t="s">
        <v>2901</v>
      </c>
      <c r="E3084" s="1" t="s">
        <v>20</v>
      </c>
      <c r="F3084" s="1" t="str">
        <f aca="false">TEXT(B3084,"mmm-yyyy")</f>
        <v>Dec-2024</v>
      </c>
    </row>
    <row r="3085" customFormat="false" ht="87" hidden="false" customHeight="true" outlineLevel="0" collapsed="false">
      <c r="A3085" s="1" t="n">
        <v>1</v>
      </c>
      <c r="B3085" s="10" t="n">
        <v>45650</v>
      </c>
      <c r="C3085" s="11" t="s">
        <v>3104</v>
      </c>
      <c r="D3085" s="1" t="s">
        <v>2901</v>
      </c>
      <c r="E3085" s="1" t="s">
        <v>20</v>
      </c>
      <c r="F3085" s="1" t="str">
        <f aca="false">TEXT(B3085,"mmm-yyyy")</f>
        <v>Dec-2024</v>
      </c>
    </row>
    <row r="3086" customFormat="false" ht="87" hidden="false" customHeight="true" outlineLevel="0" collapsed="false">
      <c r="A3086" s="1" t="n">
        <v>1</v>
      </c>
      <c r="B3086" s="10" t="n">
        <v>45645</v>
      </c>
      <c r="C3086" s="11" t="s">
        <v>3105</v>
      </c>
      <c r="D3086" s="1" t="s">
        <v>2901</v>
      </c>
      <c r="E3086" s="1" t="s">
        <v>18</v>
      </c>
      <c r="F3086" s="1" t="str">
        <f aca="false">TEXT(B3086,"mmm-yyyy")</f>
        <v>Dec-2024</v>
      </c>
    </row>
    <row r="3087" customFormat="false" ht="87" hidden="false" customHeight="true" outlineLevel="0" collapsed="false">
      <c r="A3087" s="1" t="n">
        <v>1</v>
      </c>
      <c r="B3087" s="10" t="n">
        <v>45642</v>
      </c>
      <c r="C3087" s="11" t="s">
        <v>3106</v>
      </c>
      <c r="D3087" s="1" t="s">
        <v>2901</v>
      </c>
      <c r="E3087" s="1" t="s">
        <v>20</v>
      </c>
      <c r="F3087" s="1" t="str">
        <f aca="false">TEXT(B3087,"mmm-yyyy")</f>
        <v>Dec-2024</v>
      </c>
    </row>
    <row r="3088" customFormat="false" ht="87" hidden="false" customHeight="true" outlineLevel="0" collapsed="false">
      <c r="A3088" s="1" t="n">
        <v>1</v>
      </c>
      <c r="B3088" s="10" t="n">
        <v>45636</v>
      </c>
      <c r="C3088" s="11" t="s">
        <v>3107</v>
      </c>
      <c r="D3088" s="1" t="s">
        <v>2901</v>
      </c>
      <c r="E3088" s="1" t="s">
        <v>20</v>
      </c>
      <c r="F3088" s="1" t="str">
        <f aca="false">TEXT(B3088,"mmm-yyyy")</f>
        <v>Dec-2024</v>
      </c>
    </row>
    <row r="3089" customFormat="false" ht="101.25" hidden="false" customHeight="true" outlineLevel="0" collapsed="false">
      <c r="A3089" s="1" t="n">
        <v>1</v>
      </c>
      <c r="B3089" s="10" t="n">
        <v>45643</v>
      </c>
      <c r="C3089" s="11" t="s">
        <v>3108</v>
      </c>
      <c r="D3089" s="1" t="s">
        <v>2901</v>
      </c>
      <c r="E3089" s="1" t="s">
        <v>20</v>
      </c>
      <c r="F3089" s="1" t="str">
        <f aca="false">TEXT(B3089,"mmm-yyyy")</f>
        <v>Dec-2024</v>
      </c>
    </row>
    <row r="3090" customFormat="false" ht="115.5" hidden="false" customHeight="true" outlineLevel="0" collapsed="false">
      <c r="A3090" s="1" t="n">
        <v>2</v>
      </c>
      <c r="B3090" s="10" t="n">
        <v>45640</v>
      </c>
      <c r="C3090" s="11" t="s">
        <v>3109</v>
      </c>
      <c r="D3090" s="1" t="s">
        <v>2901</v>
      </c>
      <c r="E3090" s="1" t="s">
        <v>20</v>
      </c>
      <c r="F3090" s="1" t="str">
        <f aca="false">TEXT(B3090,"mmm-yyyy")</f>
        <v>Dec-2024</v>
      </c>
    </row>
    <row r="3091" customFormat="false" ht="72" hidden="false" customHeight="true" outlineLevel="0" collapsed="false">
      <c r="A3091" s="1" t="n">
        <v>1</v>
      </c>
      <c r="B3091" s="10" t="n">
        <v>45640</v>
      </c>
      <c r="C3091" s="11" t="s">
        <v>3110</v>
      </c>
      <c r="D3091" s="1" t="s">
        <v>2901</v>
      </c>
      <c r="E3091" s="1" t="s">
        <v>20</v>
      </c>
      <c r="F3091" s="1" t="str">
        <f aca="false">TEXT(B3091,"mmm-yyyy")</f>
        <v>Dec-2024</v>
      </c>
    </row>
    <row r="3092" customFormat="false" ht="87" hidden="false" customHeight="true" outlineLevel="0" collapsed="false">
      <c r="A3092" s="1" t="n">
        <v>1</v>
      </c>
      <c r="B3092" s="10" t="n">
        <v>45645</v>
      </c>
      <c r="C3092" s="11" t="s">
        <v>3111</v>
      </c>
      <c r="D3092" s="1" t="s">
        <v>2901</v>
      </c>
      <c r="E3092" s="1" t="s">
        <v>20</v>
      </c>
      <c r="F3092" s="1" t="str">
        <f aca="false">TEXT(B3092,"mmm-yyyy")</f>
        <v>Dec-2024</v>
      </c>
    </row>
    <row r="3093" customFormat="false" ht="72" hidden="false" customHeight="true" outlineLevel="0" collapsed="false">
      <c r="A3093" s="1" t="n">
        <v>2</v>
      </c>
      <c r="B3093" s="10" t="n">
        <v>45642</v>
      </c>
      <c r="C3093" s="11" t="s">
        <v>3112</v>
      </c>
      <c r="D3093" s="1" t="s">
        <v>2901</v>
      </c>
      <c r="E3093" s="1" t="s">
        <v>20</v>
      </c>
      <c r="F3093" s="1" t="str">
        <f aca="false">TEXT(B3093,"mmm-yyyy")</f>
        <v>Dec-2024</v>
      </c>
    </row>
    <row r="3094" customFormat="false" ht="115.5" hidden="false" customHeight="true" outlineLevel="0" collapsed="false">
      <c r="A3094" s="1" t="n">
        <v>1</v>
      </c>
      <c r="B3094" s="10" t="n">
        <v>45633</v>
      </c>
      <c r="C3094" s="11" t="s">
        <v>3113</v>
      </c>
      <c r="D3094" s="1" t="s">
        <v>2901</v>
      </c>
      <c r="E3094" s="1" t="s">
        <v>18</v>
      </c>
      <c r="F3094" s="1" t="str">
        <f aca="false">TEXT(B3094,"mmm-yyyy")</f>
        <v>Dec-2024</v>
      </c>
    </row>
    <row r="3095" customFormat="false" ht="57.75" hidden="false" customHeight="true" outlineLevel="0" collapsed="false">
      <c r="A3095" s="1" t="n">
        <v>1</v>
      </c>
      <c r="B3095" s="10" t="n">
        <v>45642</v>
      </c>
      <c r="C3095" s="11" t="s">
        <v>3114</v>
      </c>
      <c r="D3095" s="1" t="s">
        <v>2901</v>
      </c>
      <c r="E3095" s="1" t="s">
        <v>32</v>
      </c>
      <c r="F3095" s="1" t="str">
        <f aca="false">TEXT(B3095,"mmm-yyyy")</f>
        <v>Dec-2024</v>
      </c>
    </row>
    <row r="3096" customFormat="false" ht="115.5" hidden="false" customHeight="true" outlineLevel="0" collapsed="false">
      <c r="A3096" s="1" t="n">
        <v>1</v>
      </c>
      <c r="B3096" s="10" t="n">
        <v>45641</v>
      </c>
      <c r="C3096" s="11" t="s">
        <v>3115</v>
      </c>
      <c r="D3096" s="1" t="s">
        <v>2901</v>
      </c>
      <c r="E3096" s="1" t="s">
        <v>20</v>
      </c>
      <c r="F3096" s="1" t="str">
        <f aca="false">TEXT(B3096,"mmm-yyyy")</f>
        <v>Dec-2024</v>
      </c>
    </row>
    <row r="3097" customFormat="false" ht="87" hidden="false" customHeight="true" outlineLevel="0" collapsed="false">
      <c r="A3097" s="1" t="n">
        <v>1</v>
      </c>
      <c r="B3097" s="10" t="n">
        <v>45650</v>
      </c>
      <c r="C3097" s="11" t="s">
        <v>3116</v>
      </c>
      <c r="D3097" s="1" t="s">
        <v>2901</v>
      </c>
      <c r="E3097" s="1" t="s">
        <v>20</v>
      </c>
      <c r="F3097" s="1" t="str">
        <f aca="false">TEXT(B3097,"mmm-yyyy")</f>
        <v>Dec-2024</v>
      </c>
    </row>
    <row r="3098" customFormat="false" ht="57.75" hidden="false" customHeight="true" outlineLevel="0" collapsed="false">
      <c r="A3098" s="1" t="n">
        <v>1</v>
      </c>
      <c r="B3098" s="10" t="n">
        <v>45650</v>
      </c>
      <c r="C3098" s="11" t="s">
        <v>3117</v>
      </c>
      <c r="D3098" s="1" t="s">
        <v>2901</v>
      </c>
      <c r="E3098" s="1" t="s">
        <v>18</v>
      </c>
      <c r="F3098" s="1" t="str">
        <f aca="false">TEXT(B3098,"mmm-yyyy")</f>
        <v>Dec-2024</v>
      </c>
    </row>
    <row r="3099" customFormat="false" ht="101.25" hidden="false" customHeight="true" outlineLevel="0" collapsed="false">
      <c r="A3099" s="1" t="n">
        <v>1</v>
      </c>
      <c r="B3099" s="10" t="n">
        <v>45642</v>
      </c>
      <c r="C3099" s="11" t="s">
        <v>3118</v>
      </c>
      <c r="D3099" s="1" t="s">
        <v>2901</v>
      </c>
      <c r="E3099" s="1" t="s">
        <v>20</v>
      </c>
      <c r="F3099" s="1" t="str">
        <f aca="false">TEXT(B3099,"mmm-yyyy")</f>
        <v>Dec-2024</v>
      </c>
    </row>
    <row r="3100" customFormat="false" ht="115.5" hidden="false" customHeight="true" outlineLevel="0" collapsed="false">
      <c r="A3100" s="1" t="n">
        <v>1</v>
      </c>
      <c r="B3100" s="10" t="n">
        <v>45656</v>
      </c>
      <c r="C3100" s="11" t="s">
        <v>3119</v>
      </c>
      <c r="D3100" s="1" t="s">
        <v>2901</v>
      </c>
      <c r="E3100" s="1" t="s">
        <v>20</v>
      </c>
      <c r="F3100" s="1" t="str">
        <f aca="false">TEXT(B3100,"mmm-yyyy")</f>
        <v>Dec-2024</v>
      </c>
    </row>
    <row r="3101" customFormat="false" ht="57.75" hidden="false" customHeight="true" outlineLevel="0" collapsed="false">
      <c r="A3101" s="1" t="n">
        <v>2</v>
      </c>
      <c r="B3101" s="10" t="n">
        <v>45650</v>
      </c>
      <c r="C3101" s="11" t="s">
        <v>3120</v>
      </c>
      <c r="D3101" s="1" t="s">
        <v>2901</v>
      </c>
      <c r="E3101" s="1" t="s">
        <v>20</v>
      </c>
      <c r="F3101" s="1" t="str">
        <f aca="false">TEXT(B3101,"mmm-yyyy")</f>
        <v>Dec-2024</v>
      </c>
    </row>
    <row r="3102" customFormat="false" ht="115.5" hidden="false" customHeight="true" outlineLevel="0" collapsed="false">
      <c r="A3102" s="1" t="n">
        <v>1</v>
      </c>
      <c r="B3102" s="10" t="n">
        <v>45644</v>
      </c>
      <c r="C3102" s="11" t="s">
        <v>3121</v>
      </c>
      <c r="D3102" s="1" t="s">
        <v>2901</v>
      </c>
      <c r="E3102" s="1" t="s">
        <v>20</v>
      </c>
      <c r="F3102" s="1" t="str">
        <f aca="false">TEXT(B3102,"mmm-yyyy")</f>
        <v>Dec-2024</v>
      </c>
    </row>
    <row r="3103" customFormat="false" ht="72" hidden="false" customHeight="true" outlineLevel="0" collapsed="false">
      <c r="A3103" s="1" t="n">
        <v>1</v>
      </c>
      <c r="B3103" s="10" t="n">
        <v>45642</v>
      </c>
      <c r="C3103" s="11" t="s">
        <v>3122</v>
      </c>
      <c r="D3103" s="1" t="s">
        <v>2901</v>
      </c>
      <c r="E3103" s="1" t="s">
        <v>20</v>
      </c>
      <c r="F3103" s="1" t="str">
        <f aca="false">TEXT(B3103,"mmm-yyyy")</f>
        <v>Dec-2024</v>
      </c>
    </row>
    <row r="3104" customFormat="false" ht="130.5" hidden="false" customHeight="true" outlineLevel="0" collapsed="false">
      <c r="A3104" s="1" t="n">
        <v>1</v>
      </c>
      <c r="B3104" s="10" t="n">
        <v>45647</v>
      </c>
      <c r="C3104" s="11" t="s">
        <v>3123</v>
      </c>
      <c r="D3104" s="1" t="s">
        <v>2901</v>
      </c>
      <c r="E3104" s="1" t="s">
        <v>18</v>
      </c>
      <c r="F3104" s="1" t="str">
        <f aca="false">TEXT(B3104,"mmm-yyyy")</f>
        <v>Dec-2024</v>
      </c>
    </row>
    <row r="3105" customFormat="false" ht="57.75" hidden="false" customHeight="true" outlineLevel="0" collapsed="false">
      <c r="A3105" s="1" t="n">
        <v>1</v>
      </c>
      <c r="B3105" s="10" t="n">
        <v>45642</v>
      </c>
      <c r="C3105" s="11" t="s">
        <v>3124</v>
      </c>
      <c r="D3105" s="1" t="s">
        <v>2901</v>
      </c>
      <c r="E3105" s="1" t="s">
        <v>18</v>
      </c>
      <c r="F3105" s="1" t="str">
        <f aca="false">TEXT(B3105,"mmm-yyyy")</f>
        <v>Dec-2024</v>
      </c>
    </row>
    <row r="3106" customFormat="false" ht="130.5" hidden="false" customHeight="true" outlineLevel="0" collapsed="false">
      <c r="A3106" s="1" t="n">
        <v>1</v>
      </c>
      <c r="B3106" s="10" t="n">
        <v>45650</v>
      </c>
      <c r="C3106" s="11" t="s">
        <v>3125</v>
      </c>
      <c r="D3106" s="1" t="s">
        <v>2901</v>
      </c>
      <c r="E3106" s="1" t="s">
        <v>20</v>
      </c>
      <c r="F3106" s="1" t="str">
        <f aca="false">TEXT(B3106,"mmm-yyyy")</f>
        <v>Dec-2024</v>
      </c>
    </row>
    <row r="3107" customFormat="false" ht="87" hidden="false" customHeight="true" outlineLevel="0" collapsed="false">
      <c r="A3107" s="1" t="n">
        <v>1</v>
      </c>
      <c r="B3107" s="10" t="n">
        <v>45651</v>
      </c>
      <c r="C3107" s="11" t="s">
        <v>3126</v>
      </c>
      <c r="D3107" s="1" t="s">
        <v>2901</v>
      </c>
      <c r="E3107" s="1" t="s">
        <v>20</v>
      </c>
      <c r="F3107" s="1" t="str">
        <f aca="false">TEXT(B3107,"mmm-yyyy")</f>
        <v>Dec-2024</v>
      </c>
    </row>
    <row r="3108" customFormat="false" ht="115.5" hidden="false" customHeight="true" outlineLevel="0" collapsed="false">
      <c r="A3108" s="1" t="n">
        <v>1</v>
      </c>
      <c r="B3108" s="10" t="n">
        <v>45647</v>
      </c>
      <c r="C3108" s="11" t="s">
        <v>3127</v>
      </c>
      <c r="D3108" s="1" t="s">
        <v>2901</v>
      </c>
      <c r="E3108" s="1" t="s">
        <v>20</v>
      </c>
      <c r="F3108" s="1" t="str">
        <f aca="false">TEXT(B3108,"mmm-yyyy")</f>
        <v>Dec-2024</v>
      </c>
    </row>
    <row r="3109" customFormat="false" ht="130.5" hidden="false" customHeight="true" outlineLevel="0" collapsed="false">
      <c r="A3109" s="1" t="n">
        <v>1</v>
      </c>
      <c r="B3109" s="10" t="n">
        <v>45618</v>
      </c>
      <c r="C3109" s="11" t="s">
        <v>3128</v>
      </c>
      <c r="D3109" s="1" t="s">
        <v>2901</v>
      </c>
      <c r="E3109" s="1" t="s">
        <v>20</v>
      </c>
      <c r="F3109" s="1" t="str">
        <f aca="false">TEXT(B3109,"mmm-yyyy")</f>
        <v>Nov-2024</v>
      </c>
    </row>
    <row r="3110" customFormat="false" ht="72" hidden="false" customHeight="true" outlineLevel="0" collapsed="false">
      <c r="A3110" s="1" t="n">
        <v>1</v>
      </c>
      <c r="B3110" s="10" t="n">
        <v>45655</v>
      </c>
      <c r="C3110" s="11" t="s">
        <v>3129</v>
      </c>
      <c r="D3110" s="1" t="s">
        <v>2901</v>
      </c>
      <c r="E3110" s="1" t="s">
        <v>20</v>
      </c>
      <c r="F3110" s="1" t="str">
        <f aca="false">TEXT(B3110,"mmm-yyyy")</f>
        <v>Dec-2024</v>
      </c>
    </row>
    <row r="3111" customFormat="false" ht="130.5" hidden="false" customHeight="true" outlineLevel="0" collapsed="false">
      <c r="A3111" s="1" t="n">
        <v>1</v>
      </c>
      <c r="B3111" s="10" t="n">
        <v>45643</v>
      </c>
      <c r="C3111" s="11" t="s">
        <v>3130</v>
      </c>
      <c r="D3111" s="1" t="s">
        <v>2901</v>
      </c>
      <c r="E3111" s="1" t="s">
        <v>20</v>
      </c>
      <c r="F3111" s="1" t="str">
        <f aca="false">TEXT(B3111,"mmm-yyyy")</f>
        <v>Dec-2024</v>
      </c>
    </row>
    <row r="3112" customFormat="false" ht="115.5" hidden="false" customHeight="true" outlineLevel="0" collapsed="false">
      <c r="A3112" s="1" t="n">
        <v>1</v>
      </c>
      <c r="B3112" s="10" t="n">
        <v>45577</v>
      </c>
      <c r="C3112" s="11" t="s">
        <v>3131</v>
      </c>
      <c r="D3112" s="1" t="s">
        <v>2901</v>
      </c>
      <c r="E3112" s="1" t="s">
        <v>18</v>
      </c>
      <c r="F3112" s="1" t="str">
        <f aca="false">TEXT(B3112,"mmm-yyyy")</f>
        <v>Oct-2024</v>
      </c>
    </row>
    <row r="3113" customFormat="false" ht="87" hidden="false" customHeight="true" outlineLevel="0" collapsed="false">
      <c r="A3113" s="1" t="n">
        <v>1</v>
      </c>
      <c r="B3113" s="10" t="n">
        <v>45647</v>
      </c>
      <c r="C3113" s="11" t="s">
        <v>3132</v>
      </c>
      <c r="D3113" s="1" t="s">
        <v>2901</v>
      </c>
      <c r="E3113" s="1" t="s">
        <v>18</v>
      </c>
      <c r="F3113" s="1" t="str">
        <f aca="false">TEXT(B3113,"mmm-yyyy")</f>
        <v>Dec-2024</v>
      </c>
    </row>
    <row r="3114" customFormat="false" ht="144.75" hidden="false" customHeight="true" outlineLevel="0" collapsed="false">
      <c r="A3114" s="1" t="n">
        <v>1</v>
      </c>
      <c r="B3114" s="10" t="n">
        <v>45645</v>
      </c>
      <c r="C3114" s="11" t="s">
        <v>3133</v>
      </c>
      <c r="D3114" s="1" t="s">
        <v>2901</v>
      </c>
      <c r="E3114" s="1" t="s">
        <v>18</v>
      </c>
      <c r="F3114" s="1" t="str">
        <f aca="false">TEXT(B3114,"mmm-yyyy")</f>
        <v>Dec-2024</v>
      </c>
    </row>
    <row r="3115" customFormat="false" ht="72" hidden="false" customHeight="true" outlineLevel="0" collapsed="false">
      <c r="A3115" s="1" t="n">
        <v>1</v>
      </c>
      <c r="B3115" s="10" t="n">
        <v>45655</v>
      </c>
      <c r="C3115" s="11" t="s">
        <v>3134</v>
      </c>
      <c r="D3115" s="1" t="s">
        <v>2901</v>
      </c>
      <c r="E3115" s="1" t="s">
        <v>20</v>
      </c>
      <c r="F3115" s="1" t="str">
        <f aca="false">TEXT(B3115,"mmm-yyyy")</f>
        <v>Dec-2024</v>
      </c>
    </row>
    <row r="3116" customFormat="false" ht="130.5" hidden="false" customHeight="true" outlineLevel="0" collapsed="false">
      <c r="A3116" s="1" t="n">
        <v>1</v>
      </c>
      <c r="B3116" s="10" t="n">
        <v>45645</v>
      </c>
      <c r="C3116" s="11" t="s">
        <v>3135</v>
      </c>
      <c r="D3116" s="1" t="s">
        <v>2901</v>
      </c>
      <c r="E3116" s="1" t="s">
        <v>20</v>
      </c>
      <c r="F3116" s="1" t="str">
        <f aca="false">TEXT(B3116,"mmm-yyyy")</f>
        <v>Dec-2024</v>
      </c>
    </row>
    <row r="3117" customFormat="false" ht="115.5" hidden="false" customHeight="true" outlineLevel="0" collapsed="false">
      <c r="A3117" s="1" t="n">
        <v>1</v>
      </c>
      <c r="B3117" s="10" t="n">
        <v>45642</v>
      </c>
      <c r="C3117" s="11" t="s">
        <v>3136</v>
      </c>
      <c r="D3117" s="1" t="s">
        <v>2901</v>
      </c>
      <c r="E3117" s="1" t="s">
        <v>20</v>
      </c>
      <c r="F3117" s="1" t="str">
        <f aca="false">TEXT(B3117,"mmm-yyyy")</f>
        <v>Dec-2024</v>
      </c>
    </row>
    <row r="3118" customFormat="false" ht="72" hidden="false" customHeight="true" outlineLevel="0" collapsed="false">
      <c r="A3118" s="1" t="n">
        <v>1</v>
      </c>
      <c r="B3118" s="10" t="n">
        <v>45646</v>
      </c>
      <c r="C3118" s="11" t="s">
        <v>3137</v>
      </c>
      <c r="D3118" s="1" t="s">
        <v>2901</v>
      </c>
      <c r="E3118" s="1" t="s">
        <v>20</v>
      </c>
      <c r="F3118" s="1" t="str">
        <f aca="false">TEXT(B3118,"mmm-yyyy")</f>
        <v>Dec-2024</v>
      </c>
    </row>
    <row r="3119" customFormat="false" ht="130.5" hidden="false" customHeight="true" outlineLevel="0" collapsed="false">
      <c r="A3119" s="1" t="n">
        <v>1</v>
      </c>
      <c r="B3119" s="10" t="n">
        <v>45655</v>
      </c>
      <c r="C3119" s="11" t="s">
        <v>3138</v>
      </c>
      <c r="D3119" s="1" t="s">
        <v>2901</v>
      </c>
      <c r="E3119" s="1" t="s">
        <v>18</v>
      </c>
      <c r="F3119" s="1" t="str">
        <f aca="false">TEXT(B3119,"mmm-yyyy")</f>
        <v>Dec-2024</v>
      </c>
    </row>
    <row r="3120" customFormat="false" ht="101.25" hidden="false" customHeight="true" outlineLevel="0" collapsed="false">
      <c r="A3120" s="1" t="n">
        <v>1</v>
      </c>
      <c r="B3120" s="10" t="n">
        <v>45642</v>
      </c>
      <c r="C3120" s="11" t="s">
        <v>3139</v>
      </c>
      <c r="D3120" s="1" t="s">
        <v>2901</v>
      </c>
      <c r="E3120" s="1" t="s">
        <v>20</v>
      </c>
      <c r="F3120" s="1" t="str">
        <f aca="false">TEXT(B3120,"mmm-yyyy")</f>
        <v>Dec-2024</v>
      </c>
    </row>
    <row r="3121" customFormat="false" ht="57.75" hidden="false" customHeight="true" outlineLevel="0" collapsed="false">
      <c r="A3121" s="1" t="n">
        <v>1</v>
      </c>
      <c r="B3121" s="10" t="n">
        <v>45651</v>
      </c>
      <c r="C3121" s="11" t="s">
        <v>3140</v>
      </c>
      <c r="D3121" s="1" t="s">
        <v>2901</v>
      </c>
      <c r="E3121" s="1" t="s">
        <v>20</v>
      </c>
      <c r="F3121" s="1" t="str">
        <f aca="false">TEXT(B3121,"mmm-yyyy")</f>
        <v>Dec-2024</v>
      </c>
    </row>
    <row r="3122" customFormat="false" ht="130.5" hidden="false" customHeight="true" outlineLevel="0" collapsed="false">
      <c r="A3122" s="1" t="n">
        <v>1</v>
      </c>
      <c r="B3122" s="10" t="n">
        <v>45654</v>
      </c>
      <c r="C3122" s="11" t="s">
        <v>3141</v>
      </c>
      <c r="D3122" s="1" t="s">
        <v>2901</v>
      </c>
      <c r="E3122" s="1" t="s">
        <v>18</v>
      </c>
      <c r="F3122" s="1" t="str">
        <f aca="false">TEXT(B3122,"mmm-yyyy")</f>
        <v>Dec-2024</v>
      </c>
    </row>
    <row r="3123" customFormat="false" ht="87" hidden="false" customHeight="true" outlineLevel="0" collapsed="false">
      <c r="A3123" s="1" t="n">
        <v>1</v>
      </c>
      <c r="B3123" s="10" t="n">
        <v>45624</v>
      </c>
      <c r="C3123" s="11" t="s">
        <v>3142</v>
      </c>
      <c r="D3123" s="1" t="s">
        <v>2901</v>
      </c>
      <c r="E3123" s="1" t="s">
        <v>20</v>
      </c>
      <c r="F3123" s="1" t="str">
        <f aca="false">TEXT(B3123,"mmm-yyyy")</f>
        <v>Nov-2024</v>
      </c>
    </row>
    <row r="3124" customFormat="false" ht="130.5" hidden="false" customHeight="true" outlineLevel="0" collapsed="false">
      <c r="A3124" s="1" t="n">
        <v>1</v>
      </c>
      <c r="B3124" s="10" t="n">
        <v>45653</v>
      </c>
      <c r="C3124" s="11" t="s">
        <v>3143</v>
      </c>
      <c r="D3124" s="1" t="s">
        <v>2901</v>
      </c>
      <c r="E3124" s="1" t="s">
        <v>20</v>
      </c>
      <c r="F3124" s="1" t="str">
        <f aca="false">TEXT(B3124,"mmm-yyyy")</f>
        <v>Dec-2024</v>
      </c>
    </row>
    <row r="3125" customFormat="false" ht="72" hidden="false" customHeight="true" outlineLevel="0" collapsed="false">
      <c r="A3125" s="1" t="n">
        <v>1</v>
      </c>
      <c r="B3125" s="10" t="n">
        <v>45651</v>
      </c>
      <c r="C3125" s="11" t="s">
        <v>3144</v>
      </c>
      <c r="D3125" s="1" t="s">
        <v>2901</v>
      </c>
      <c r="E3125" s="1" t="s">
        <v>20</v>
      </c>
      <c r="F3125" s="1" t="str">
        <f aca="false">TEXT(B3125,"mmm-yyyy")</f>
        <v>Dec-2024</v>
      </c>
    </row>
    <row r="3126" customFormat="false" ht="130.5" hidden="false" customHeight="true" outlineLevel="0" collapsed="false">
      <c r="A3126" s="1" t="n">
        <v>1</v>
      </c>
      <c r="B3126" s="10" t="n">
        <v>45618</v>
      </c>
      <c r="C3126" s="11" t="s">
        <v>3145</v>
      </c>
      <c r="D3126" s="1" t="s">
        <v>2901</v>
      </c>
      <c r="E3126" s="1" t="s">
        <v>18</v>
      </c>
      <c r="F3126" s="1" t="str">
        <f aca="false">TEXT(B3126,"mmm-yyyy")</f>
        <v>Nov-2024</v>
      </c>
    </row>
    <row r="3127" customFormat="false" ht="115.5" hidden="false" customHeight="true" outlineLevel="0" collapsed="false">
      <c r="A3127" s="1" t="n">
        <v>1</v>
      </c>
      <c r="B3127" s="10" t="n">
        <v>45655</v>
      </c>
      <c r="C3127" s="11" t="s">
        <v>3146</v>
      </c>
      <c r="D3127" s="1" t="s">
        <v>2901</v>
      </c>
      <c r="E3127" s="1" t="s">
        <v>18</v>
      </c>
      <c r="F3127" s="1" t="str">
        <f aca="false">TEXT(B3127,"mmm-yyyy")</f>
        <v>Dec-2024</v>
      </c>
    </row>
    <row r="3128" customFormat="false" ht="72" hidden="false" customHeight="true" outlineLevel="0" collapsed="false">
      <c r="A3128" s="1" t="n">
        <v>1</v>
      </c>
      <c r="B3128" s="10" t="n">
        <v>45649</v>
      </c>
      <c r="C3128" s="11" t="s">
        <v>3147</v>
      </c>
      <c r="D3128" s="1" t="s">
        <v>2901</v>
      </c>
      <c r="E3128" s="1" t="s">
        <v>20</v>
      </c>
      <c r="F3128" s="1" t="str">
        <f aca="false">TEXT(B3128,"mmm-yyyy")</f>
        <v>Dec-2024</v>
      </c>
    </row>
    <row r="3129" customFormat="false" ht="87" hidden="false" customHeight="true" outlineLevel="0" collapsed="false">
      <c r="A3129" s="1" t="n">
        <v>1</v>
      </c>
      <c r="B3129" s="10" t="n">
        <v>45645</v>
      </c>
      <c r="C3129" s="11" t="s">
        <v>3148</v>
      </c>
      <c r="D3129" s="1" t="s">
        <v>2901</v>
      </c>
      <c r="E3129" s="1" t="s">
        <v>20</v>
      </c>
      <c r="F3129" s="1" t="str">
        <f aca="false">TEXT(B3129,"mmm-yyyy")</f>
        <v>Dec-2024</v>
      </c>
    </row>
    <row r="3130" customFormat="false" ht="87" hidden="false" customHeight="true" outlineLevel="0" collapsed="false">
      <c r="A3130" s="1" t="n">
        <v>1</v>
      </c>
      <c r="B3130" s="10" t="n">
        <v>45639</v>
      </c>
      <c r="C3130" s="11" t="s">
        <v>3149</v>
      </c>
      <c r="D3130" s="1" t="s">
        <v>2901</v>
      </c>
      <c r="E3130" s="1" t="s">
        <v>20</v>
      </c>
      <c r="F3130" s="1" t="str">
        <f aca="false">TEXT(B3130,"mmm-yyyy")</f>
        <v>Dec-2024</v>
      </c>
    </row>
    <row r="3131" customFormat="false" ht="72" hidden="false" customHeight="true" outlineLevel="0" collapsed="false">
      <c r="A3131" s="1" t="n">
        <v>1</v>
      </c>
      <c r="B3131" s="10" t="n">
        <v>45641</v>
      </c>
      <c r="C3131" s="11" t="s">
        <v>3150</v>
      </c>
      <c r="D3131" s="1" t="s">
        <v>2901</v>
      </c>
      <c r="E3131" s="1" t="s">
        <v>18</v>
      </c>
      <c r="F3131" s="1" t="str">
        <f aca="false">TEXT(B3131,"mmm-yyyy")</f>
        <v>Dec-2024</v>
      </c>
    </row>
    <row r="3132" customFormat="false" ht="87" hidden="false" customHeight="true" outlineLevel="0" collapsed="false">
      <c r="A3132" s="1" t="n">
        <v>1</v>
      </c>
      <c r="B3132" s="10" t="n">
        <v>45647</v>
      </c>
      <c r="C3132" s="11" t="s">
        <v>3151</v>
      </c>
      <c r="D3132" s="1" t="s">
        <v>2901</v>
      </c>
      <c r="E3132" s="1" t="s">
        <v>20</v>
      </c>
      <c r="F3132" s="1" t="str">
        <f aca="false">TEXT(B3132,"mmm-yyyy")</f>
        <v>Dec-2024</v>
      </c>
    </row>
    <row r="3133" customFormat="false" ht="115.5" hidden="false" customHeight="true" outlineLevel="0" collapsed="false">
      <c r="A3133" s="1" t="n">
        <v>1</v>
      </c>
      <c r="B3133" s="10" t="n">
        <v>45647</v>
      </c>
      <c r="C3133" s="11" t="s">
        <v>3152</v>
      </c>
      <c r="D3133" s="1" t="s">
        <v>2901</v>
      </c>
      <c r="E3133" s="1" t="s">
        <v>20</v>
      </c>
      <c r="F3133" s="1" t="str">
        <f aca="false">TEXT(B3133,"mmm-yyyy")</f>
        <v>Dec-2024</v>
      </c>
    </row>
    <row r="3134" customFormat="false" ht="101.25" hidden="false" customHeight="true" outlineLevel="0" collapsed="false">
      <c r="A3134" s="1" t="n">
        <v>1</v>
      </c>
      <c r="B3134" s="10" t="n">
        <v>45653</v>
      </c>
      <c r="C3134" s="11" t="s">
        <v>3153</v>
      </c>
      <c r="D3134" s="1" t="s">
        <v>2901</v>
      </c>
      <c r="E3134" s="1" t="s">
        <v>18</v>
      </c>
      <c r="F3134" s="1" t="str">
        <f aca="false">TEXT(B3134,"mmm-yyyy")</f>
        <v>Dec-2024</v>
      </c>
    </row>
    <row r="3135" customFormat="false" ht="130.5" hidden="false" customHeight="true" outlineLevel="0" collapsed="false">
      <c r="A3135" s="1" t="n">
        <v>4</v>
      </c>
      <c r="B3135" s="10" t="n">
        <v>45595</v>
      </c>
      <c r="C3135" s="11" t="s">
        <v>3154</v>
      </c>
      <c r="D3135" s="1" t="s">
        <v>2901</v>
      </c>
      <c r="E3135" s="1" t="s">
        <v>20</v>
      </c>
      <c r="F3135" s="1" t="str">
        <f aca="false">TEXT(B3135,"mmm-yyyy")</f>
        <v>Oct-2024</v>
      </c>
    </row>
    <row r="3136" customFormat="false" ht="72" hidden="false" customHeight="true" outlineLevel="0" collapsed="false">
      <c r="A3136" s="1" t="n">
        <v>2</v>
      </c>
      <c r="B3136" s="10" t="n">
        <v>45652</v>
      </c>
      <c r="C3136" s="11" t="s">
        <v>3155</v>
      </c>
      <c r="D3136" s="1" t="s">
        <v>2901</v>
      </c>
      <c r="E3136" s="1" t="s">
        <v>18</v>
      </c>
      <c r="F3136" s="1" t="str">
        <f aca="false">TEXT(B3136,"mmm-yyyy")</f>
        <v>Dec-2024</v>
      </c>
    </row>
    <row r="3137" customFormat="false" ht="130.5" hidden="false" customHeight="true" outlineLevel="0" collapsed="false">
      <c r="A3137" s="1" t="n">
        <v>1</v>
      </c>
      <c r="B3137" s="10" t="n">
        <v>45637</v>
      </c>
      <c r="C3137" s="11" t="s">
        <v>3156</v>
      </c>
      <c r="D3137" s="1" t="s">
        <v>2901</v>
      </c>
      <c r="E3137" s="1" t="s">
        <v>20</v>
      </c>
      <c r="F3137" s="1" t="str">
        <f aca="false">TEXT(B3137,"mmm-yyyy")</f>
        <v>Dec-2024</v>
      </c>
    </row>
    <row r="3138" customFormat="false" ht="115.5" hidden="false" customHeight="true" outlineLevel="0" collapsed="false">
      <c r="A3138" s="1" t="n">
        <v>1</v>
      </c>
      <c r="B3138" s="10" t="n">
        <v>45650</v>
      </c>
      <c r="C3138" s="11" t="s">
        <v>3157</v>
      </c>
      <c r="D3138" s="1" t="s">
        <v>2901</v>
      </c>
      <c r="E3138" s="1" t="s">
        <v>20</v>
      </c>
      <c r="F3138" s="1" t="str">
        <f aca="false">TEXT(B3138,"mmm-yyyy")</f>
        <v>Dec-2024</v>
      </c>
    </row>
    <row r="3139" customFormat="false" ht="72" hidden="false" customHeight="true" outlineLevel="0" collapsed="false">
      <c r="A3139" s="1" t="n">
        <v>1</v>
      </c>
      <c r="B3139" s="10" t="n">
        <v>45648</v>
      </c>
      <c r="C3139" s="11" t="s">
        <v>3158</v>
      </c>
      <c r="D3139" s="1" t="s">
        <v>2901</v>
      </c>
      <c r="E3139" s="1" t="s">
        <v>18</v>
      </c>
      <c r="F3139" s="1" t="str">
        <f aca="false">TEXT(B3139,"mmm-yyyy")</f>
        <v>Dec-2024</v>
      </c>
    </row>
    <row r="3140" customFormat="false" ht="130.5" hidden="false" customHeight="true" outlineLevel="0" collapsed="false">
      <c r="A3140" s="1" t="n">
        <v>1</v>
      </c>
      <c r="B3140" s="10" t="n">
        <v>45646</v>
      </c>
      <c r="C3140" s="11" t="s">
        <v>3159</v>
      </c>
      <c r="D3140" s="1" t="s">
        <v>2901</v>
      </c>
      <c r="E3140" s="1" t="s">
        <v>32</v>
      </c>
      <c r="F3140" s="1" t="str">
        <f aca="false">TEXT(B3140,"mmm-yyyy")</f>
        <v>Dec-2024</v>
      </c>
    </row>
    <row r="3141" customFormat="false" ht="72" hidden="false" customHeight="true" outlineLevel="0" collapsed="false">
      <c r="A3141" s="1" t="n">
        <v>1</v>
      </c>
      <c r="B3141" s="10" t="n">
        <v>45636</v>
      </c>
      <c r="C3141" s="11" t="s">
        <v>3160</v>
      </c>
      <c r="D3141" s="1" t="s">
        <v>2901</v>
      </c>
      <c r="E3141" s="1" t="s">
        <v>18</v>
      </c>
      <c r="F3141" s="1" t="str">
        <f aca="false">TEXT(B3141,"mmm-yyyy")</f>
        <v>Dec-2024</v>
      </c>
    </row>
    <row r="3142" customFormat="false" ht="87" hidden="false" customHeight="true" outlineLevel="0" collapsed="false">
      <c r="A3142" s="1" t="n">
        <v>1</v>
      </c>
      <c r="B3142" s="10" t="n">
        <v>45612</v>
      </c>
      <c r="C3142" s="11" t="s">
        <v>3161</v>
      </c>
      <c r="D3142" s="1" t="s">
        <v>2901</v>
      </c>
      <c r="E3142" s="1" t="s">
        <v>20</v>
      </c>
      <c r="F3142" s="1" t="str">
        <f aca="false">TEXT(B3142,"mmm-yyyy")</f>
        <v>Nov-2024</v>
      </c>
    </row>
    <row r="3143" customFormat="false" ht="115.5" hidden="false" customHeight="true" outlineLevel="0" collapsed="false">
      <c r="A3143" s="1" t="n">
        <v>1</v>
      </c>
      <c r="B3143" s="10" t="n">
        <v>45657</v>
      </c>
      <c r="C3143" s="11" t="s">
        <v>3162</v>
      </c>
      <c r="D3143" s="1" t="s">
        <v>2901</v>
      </c>
      <c r="E3143" s="1" t="s">
        <v>20</v>
      </c>
      <c r="F3143" s="1" t="str">
        <f aca="false">TEXT(B3143,"mmm-yyyy")</f>
        <v>Dec-2024</v>
      </c>
    </row>
    <row r="3144" customFormat="false" ht="130.5" hidden="false" customHeight="true" outlineLevel="0" collapsed="false">
      <c r="A3144" s="1" t="n">
        <v>1</v>
      </c>
      <c r="B3144" s="10" t="n">
        <v>45649</v>
      </c>
      <c r="C3144" s="11" t="s">
        <v>3163</v>
      </c>
      <c r="D3144" s="1" t="s">
        <v>2901</v>
      </c>
      <c r="E3144" s="1" t="s">
        <v>20</v>
      </c>
      <c r="F3144" s="1" t="str">
        <f aca="false">TEXT(B3144,"mmm-yyyy")</f>
        <v>Dec-2024</v>
      </c>
    </row>
    <row r="3145" customFormat="false" ht="115.5" hidden="false" customHeight="true" outlineLevel="0" collapsed="false">
      <c r="A3145" s="1" t="n">
        <v>1</v>
      </c>
      <c r="B3145" s="10" t="n">
        <v>45638</v>
      </c>
      <c r="C3145" s="11" t="s">
        <v>3164</v>
      </c>
      <c r="D3145" s="1" t="s">
        <v>2901</v>
      </c>
      <c r="E3145" s="1" t="s">
        <v>18</v>
      </c>
      <c r="F3145" s="1" t="str">
        <f aca="false">TEXT(B3145,"mmm-yyyy")</f>
        <v>Dec-2024</v>
      </c>
    </row>
    <row r="3146" customFormat="false" ht="130.5" hidden="false" customHeight="true" outlineLevel="0" collapsed="false">
      <c r="A3146" s="1" t="n">
        <v>1</v>
      </c>
      <c r="B3146" s="10" t="n">
        <v>45650</v>
      </c>
      <c r="C3146" s="11" t="s">
        <v>3165</v>
      </c>
      <c r="D3146" s="1" t="s">
        <v>2901</v>
      </c>
      <c r="E3146" s="1" t="s">
        <v>20</v>
      </c>
      <c r="F3146" s="1" t="str">
        <f aca="false">TEXT(B3146,"mmm-yyyy")</f>
        <v>Dec-2024</v>
      </c>
    </row>
    <row r="3147" customFormat="false" ht="72" hidden="false" customHeight="true" outlineLevel="0" collapsed="false">
      <c r="A3147" s="1" t="n">
        <v>1</v>
      </c>
      <c r="B3147" s="10" t="n">
        <v>45637</v>
      </c>
      <c r="C3147" s="11" t="s">
        <v>3166</v>
      </c>
      <c r="D3147" s="1" t="s">
        <v>2901</v>
      </c>
      <c r="E3147" s="1" t="s">
        <v>20</v>
      </c>
      <c r="F3147" s="1" t="str">
        <f aca="false">TEXT(B3147,"mmm-yyyy")</f>
        <v>Dec-2024</v>
      </c>
    </row>
    <row r="3148" customFormat="false" ht="72" hidden="false" customHeight="true" outlineLevel="0" collapsed="false">
      <c r="A3148" s="1" t="n">
        <v>1</v>
      </c>
      <c r="B3148" s="10" t="n">
        <v>45645</v>
      </c>
      <c r="C3148" s="11" t="s">
        <v>3167</v>
      </c>
      <c r="D3148" s="1" t="s">
        <v>2901</v>
      </c>
      <c r="E3148" s="1" t="s">
        <v>18</v>
      </c>
      <c r="F3148" s="1" t="str">
        <f aca="false">TEXT(B3148,"mmm-yyyy")</f>
        <v>Dec-2024</v>
      </c>
    </row>
    <row r="3149" customFormat="false" ht="72" hidden="false" customHeight="true" outlineLevel="0" collapsed="false">
      <c r="A3149" s="1" t="n">
        <v>2</v>
      </c>
      <c r="B3149" s="10" t="n">
        <v>45640</v>
      </c>
      <c r="C3149" s="11" t="s">
        <v>3168</v>
      </c>
      <c r="D3149" s="1" t="s">
        <v>2901</v>
      </c>
      <c r="E3149" s="1" t="s">
        <v>18</v>
      </c>
      <c r="F3149" s="1" t="str">
        <f aca="false">TEXT(B3149,"mmm-yyyy")</f>
        <v>Dec-2024</v>
      </c>
    </row>
    <row r="3150" customFormat="false" ht="130.5" hidden="false" customHeight="true" outlineLevel="0" collapsed="false">
      <c r="A3150" s="1" t="n">
        <v>1</v>
      </c>
      <c r="B3150" s="10" t="n">
        <v>45652</v>
      </c>
      <c r="C3150" s="11" t="s">
        <v>3169</v>
      </c>
      <c r="D3150" s="1" t="s">
        <v>2901</v>
      </c>
      <c r="E3150" s="1" t="s">
        <v>20</v>
      </c>
      <c r="F3150" s="1" t="str">
        <f aca="false">TEXT(B3150,"mmm-yyyy")</f>
        <v>Dec-2024</v>
      </c>
    </row>
    <row r="3151" customFormat="false" ht="72" hidden="false" customHeight="true" outlineLevel="0" collapsed="false">
      <c r="A3151" s="1" t="n">
        <v>1</v>
      </c>
      <c r="B3151" s="10" t="n">
        <v>45647</v>
      </c>
      <c r="C3151" s="11" t="s">
        <v>3170</v>
      </c>
      <c r="D3151" s="1" t="s">
        <v>2901</v>
      </c>
      <c r="E3151" s="1" t="s">
        <v>18</v>
      </c>
      <c r="F3151" s="1" t="str">
        <f aca="false">TEXT(B3151,"mmm-yyyy")</f>
        <v>Dec-2024</v>
      </c>
    </row>
    <row r="3152" customFormat="false" ht="130.5" hidden="false" customHeight="true" outlineLevel="0" collapsed="false">
      <c r="A3152" s="1" t="n">
        <v>4</v>
      </c>
      <c r="B3152" s="10" t="n">
        <v>45617</v>
      </c>
      <c r="C3152" s="11" t="s">
        <v>3171</v>
      </c>
      <c r="D3152" s="1" t="s">
        <v>2901</v>
      </c>
      <c r="E3152" s="1" t="s">
        <v>20</v>
      </c>
      <c r="F3152" s="1" t="str">
        <f aca="false">TEXT(B3152,"mmm-yyyy")</f>
        <v>Nov-2024</v>
      </c>
    </row>
    <row r="3153" customFormat="false" ht="87" hidden="false" customHeight="true" outlineLevel="0" collapsed="false">
      <c r="A3153" s="1" t="n">
        <v>1</v>
      </c>
      <c r="B3153" s="10" t="n">
        <v>45637</v>
      </c>
      <c r="C3153" s="11" t="s">
        <v>3172</v>
      </c>
      <c r="D3153" s="1" t="s">
        <v>2901</v>
      </c>
      <c r="E3153" s="1" t="s">
        <v>20</v>
      </c>
      <c r="F3153" s="1" t="str">
        <f aca="false">TEXT(B3153,"mmm-yyyy")</f>
        <v>Dec-2024</v>
      </c>
    </row>
    <row r="3154" customFormat="false" ht="115.5" hidden="false" customHeight="true" outlineLevel="0" collapsed="false">
      <c r="A3154" s="1" t="n">
        <v>1</v>
      </c>
      <c r="B3154" s="10" t="n">
        <v>45650</v>
      </c>
      <c r="C3154" s="11" t="s">
        <v>3173</v>
      </c>
      <c r="D3154" s="1" t="s">
        <v>2901</v>
      </c>
      <c r="E3154" s="1" t="s">
        <v>18</v>
      </c>
      <c r="F3154" s="1" t="str">
        <f aca="false">TEXT(B3154,"mmm-yyyy")</f>
        <v>Dec-2024</v>
      </c>
    </row>
    <row r="3155" customFormat="false" ht="57.75" hidden="false" customHeight="true" outlineLevel="0" collapsed="false">
      <c r="A3155" s="1" t="n">
        <v>1</v>
      </c>
      <c r="B3155" s="10" t="n">
        <v>45650</v>
      </c>
      <c r="C3155" s="11" t="s">
        <v>3174</v>
      </c>
      <c r="D3155" s="1" t="s">
        <v>2901</v>
      </c>
      <c r="E3155" s="1" t="s">
        <v>18</v>
      </c>
      <c r="F3155" s="1" t="str">
        <f aca="false">TEXT(B3155,"mmm-yyyy")</f>
        <v>Dec-2024</v>
      </c>
    </row>
    <row r="3156" customFormat="false" ht="130.5" hidden="false" customHeight="true" outlineLevel="0" collapsed="false">
      <c r="A3156" s="1" t="n">
        <v>1</v>
      </c>
      <c r="B3156" s="10" t="n">
        <v>45656</v>
      </c>
      <c r="C3156" s="11" t="s">
        <v>3175</v>
      </c>
      <c r="D3156" s="1" t="s">
        <v>2901</v>
      </c>
      <c r="E3156" s="1" t="s">
        <v>32</v>
      </c>
      <c r="F3156" s="1" t="str">
        <f aca="false">TEXT(B3156,"mmm-yyyy")</f>
        <v>Dec-2024</v>
      </c>
    </row>
    <row r="3157" customFormat="false" ht="101.25" hidden="false" customHeight="true" outlineLevel="0" collapsed="false">
      <c r="A3157" s="1" t="n">
        <v>2</v>
      </c>
      <c r="B3157" s="10" t="n">
        <v>45646</v>
      </c>
      <c r="C3157" s="11" t="s">
        <v>3176</v>
      </c>
      <c r="D3157" s="1" t="s">
        <v>2901</v>
      </c>
      <c r="E3157" s="1" t="s">
        <v>18</v>
      </c>
      <c r="F3157" s="1" t="str">
        <f aca="false">TEXT(B3157,"mmm-yyyy")</f>
        <v>Dec-2024</v>
      </c>
    </row>
    <row r="3158" customFormat="false" ht="130.5" hidden="false" customHeight="true" outlineLevel="0" collapsed="false">
      <c r="A3158" s="1" t="n">
        <v>1</v>
      </c>
      <c r="B3158" s="10" t="n">
        <v>45643</v>
      </c>
      <c r="C3158" s="11" t="s">
        <v>3177</v>
      </c>
      <c r="D3158" s="1" t="s">
        <v>2901</v>
      </c>
      <c r="E3158" s="1" t="s">
        <v>20</v>
      </c>
      <c r="F3158" s="1" t="str">
        <f aca="false">TEXT(B3158,"mmm-yyyy")</f>
        <v>Dec-2024</v>
      </c>
    </row>
    <row r="3159" customFormat="false" ht="101.25" hidden="false" customHeight="true" outlineLevel="0" collapsed="false">
      <c r="A3159" s="1" t="n">
        <v>1</v>
      </c>
      <c r="B3159" s="10" t="n">
        <v>45650</v>
      </c>
      <c r="C3159" s="11" t="s">
        <v>3178</v>
      </c>
      <c r="D3159" s="1" t="s">
        <v>2901</v>
      </c>
      <c r="E3159" s="1" t="s">
        <v>20</v>
      </c>
      <c r="F3159" s="1" t="str">
        <f aca="false">TEXT(B3159,"mmm-yyyy")</f>
        <v>Dec-2024</v>
      </c>
    </row>
    <row r="3160" customFormat="false" ht="72" hidden="false" customHeight="true" outlineLevel="0" collapsed="false">
      <c r="A3160" s="1" t="n">
        <v>1</v>
      </c>
      <c r="B3160" s="10" t="n">
        <v>45650</v>
      </c>
      <c r="C3160" s="11" t="s">
        <v>3179</v>
      </c>
      <c r="D3160" s="1" t="s">
        <v>2901</v>
      </c>
      <c r="E3160" s="1" t="s">
        <v>20</v>
      </c>
      <c r="F3160" s="1" t="str">
        <f aca="false">TEXT(B3160,"mmm-yyyy")</f>
        <v>Dec-2024</v>
      </c>
    </row>
    <row r="3161" customFormat="false" ht="87" hidden="false" customHeight="true" outlineLevel="0" collapsed="false">
      <c r="A3161" s="1" t="n">
        <v>5</v>
      </c>
      <c r="B3161" s="10" t="n">
        <v>45644</v>
      </c>
      <c r="C3161" s="11" t="s">
        <v>3180</v>
      </c>
      <c r="D3161" s="1" t="s">
        <v>2901</v>
      </c>
      <c r="E3161" s="1" t="s">
        <v>18</v>
      </c>
      <c r="F3161" s="1" t="str">
        <f aca="false">TEXT(B3161,"mmm-yyyy")</f>
        <v>Dec-2024</v>
      </c>
    </row>
    <row r="3162" customFormat="false" ht="72" hidden="false" customHeight="true" outlineLevel="0" collapsed="false">
      <c r="A3162" s="1" t="n">
        <v>1</v>
      </c>
      <c r="B3162" s="10" t="n">
        <v>45651</v>
      </c>
      <c r="C3162" s="11" t="s">
        <v>3181</v>
      </c>
      <c r="D3162" s="1" t="s">
        <v>2901</v>
      </c>
      <c r="E3162" s="1" t="s">
        <v>20</v>
      </c>
      <c r="F3162" s="1" t="str">
        <f aca="false">TEXT(B3162,"mmm-yyyy")</f>
        <v>Dec-2024</v>
      </c>
    </row>
    <row r="3163" customFormat="false" ht="72" hidden="false" customHeight="true" outlineLevel="0" collapsed="false">
      <c r="A3163" s="1" t="n">
        <v>1</v>
      </c>
      <c r="B3163" s="10" t="n">
        <v>45646</v>
      </c>
      <c r="C3163" s="11" t="s">
        <v>3182</v>
      </c>
      <c r="D3163" s="1" t="s">
        <v>2901</v>
      </c>
      <c r="E3163" s="1" t="s">
        <v>18</v>
      </c>
      <c r="F3163" s="1" t="str">
        <f aca="false">TEXT(B3163,"mmm-yyyy")</f>
        <v>Dec-2024</v>
      </c>
    </row>
    <row r="3164" customFormat="false" ht="101.25" hidden="false" customHeight="true" outlineLevel="0" collapsed="false">
      <c r="A3164" s="1" t="n">
        <v>1</v>
      </c>
      <c r="B3164" s="10" t="n">
        <v>45646</v>
      </c>
      <c r="C3164" s="11" t="s">
        <v>3183</v>
      </c>
      <c r="D3164" s="1" t="s">
        <v>2901</v>
      </c>
      <c r="E3164" s="1" t="s">
        <v>20</v>
      </c>
      <c r="F3164" s="1" t="str">
        <f aca="false">TEXT(B3164,"mmm-yyyy")</f>
        <v>Dec-2024</v>
      </c>
    </row>
    <row r="3165" customFormat="false" ht="72" hidden="false" customHeight="true" outlineLevel="0" collapsed="false">
      <c r="A3165" s="1" t="n">
        <v>4</v>
      </c>
      <c r="B3165" s="10" t="n">
        <v>45648</v>
      </c>
      <c r="C3165" s="11" t="s">
        <v>3184</v>
      </c>
      <c r="D3165" s="1" t="s">
        <v>2901</v>
      </c>
      <c r="E3165" s="1" t="s">
        <v>20</v>
      </c>
      <c r="F3165" s="1" t="str">
        <f aca="false">TEXT(B3165,"mmm-yyyy")</f>
        <v>Dec-2024</v>
      </c>
    </row>
    <row r="3166" customFormat="false" ht="115.5" hidden="false" customHeight="true" outlineLevel="0" collapsed="false">
      <c r="A3166" s="1" t="n">
        <v>1</v>
      </c>
      <c r="B3166" s="10" t="n">
        <v>45654</v>
      </c>
      <c r="C3166" s="11" t="s">
        <v>3185</v>
      </c>
      <c r="D3166" s="1" t="s">
        <v>2901</v>
      </c>
      <c r="E3166" s="1" t="s">
        <v>20</v>
      </c>
      <c r="F3166" s="1" t="str">
        <f aca="false">TEXT(B3166,"mmm-yyyy")</f>
        <v>Dec-2024</v>
      </c>
    </row>
    <row r="3167" customFormat="false" ht="57.75" hidden="false" customHeight="true" outlineLevel="0" collapsed="false">
      <c r="A3167" s="1" t="n">
        <v>2</v>
      </c>
      <c r="B3167" s="10" t="n">
        <v>45640</v>
      </c>
      <c r="C3167" s="11" t="s">
        <v>3186</v>
      </c>
      <c r="D3167" s="1" t="s">
        <v>2901</v>
      </c>
      <c r="E3167" s="1" t="s">
        <v>18</v>
      </c>
      <c r="F3167" s="1" t="str">
        <f aca="false">TEXT(B3167,"mmm-yyyy")</f>
        <v>Dec-2024</v>
      </c>
    </row>
    <row r="3168" customFormat="false" ht="130.5" hidden="false" customHeight="true" outlineLevel="0" collapsed="false">
      <c r="A3168" s="1" t="n">
        <v>1</v>
      </c>
      <c r="B3168" s="10" t="n">
        <v>45655</v>
      </c>
      <c r="C3168" s="11" t="s">
        <v>3187</v>
      </c>
      <c r="D3168" s="1" t="s">
        <v>2901</v>
      </c>
      <c r="E3168" s="1" t="s">
        <v>20</v>
      </c>
      <c r="F3168" s="1" t="str">
        <f aca="false">TEXT(B3168,"mmm-yyyy")</f>
        <v>Dec-2024</v>
      </c>
    </row>
    <row r="3169" customFormat="false" ht="72" hidden="false" customHeight="true" outlineLevel="0" collapsed="false">
      <c r="A3169" s="1" t="n">
        <v>5</v>
      </c>
      <c r="B3169" s="10" t="n">
        <v>45653</v>
      </c>
      <c r="C3169" s="11" t="s">
        <v>3188</v>
      </c>
      <c r="D3169" s="1" t="s">
        <v>2901</v>
      </c>
      <c r="E3169" s="1" t="s">
        <v>18</v>
      </c>
      <c r="F3169" s="1" t="str">
        <f aca="false">TEXT(B3169,"mmm-yyyy")</f>
        <v>Dec-2024</v>
      </c>
    </row>
    <row r="3170" customFormat="false" ht="72" hidden="false" customHeight="true" outlineLevel="0" collapsed="false">
      <c r="A3170" s="1" t="n">
        <v>2</v>
      </c>
      <c r="B3170" s="10" t="n">
        <v>45642</v>
      </c>
      <c r="C3170" s="11" t="s">
        <v>3189</v>
      </c>
      <c r="D3170" s="1" t="s">
        <v>2901</v>
      </c>
      <c r="E3170" s="1" t="s">
        <v>20</v>
      </c>
      <c r="F3170" s="1" t="str">
        <f aca="false">TEXT(B3170,"mmm-yyyy")</f>
        <v>Dec-2024</v>
      </c>
    </row>
    <row r="3171" customFormat="false" ht="115.5" hidden="false" customHeight="true" outlineLevel="0" collapsed="false">
      <c r="A3171" s="1" t="n">
        <v>2</v>
      </c>
      <c r="B3171" s="10" t="n">
        <v>45651</v>
      </c>
      <c r="C3171" s="11" t="s">
        <v>3190</v>
      </c>
      <c r="D3171" s="1" t="s">
        <v>2901</v>
      </c>
      <c r="E3171" s="1" t="s">
        <v>20</v>
      </c>
      <c r="F3171" s="1" t="str">
        <f aca="false">TEXT(B3171,"mmm-yyyy")</f>
        <v>Dec-2024</v>
      </c>
    </row>
    <row r="3172" customFormat="false" ht="130.5" hidden="false" customHeight="true" outlineLevel="0" collapsed="false">
      <c r="A3172" s="1" t="n">
        <v>1</v>
      </c>
      <c r="B3172" s="10" t="n">
        <v>45638</v>
      </c>
      <c r="C3172" s="11" t="s">
        <v>3191</v>
      </c>
      <c r="D3172" s="1" t="s">
        <v>2901</v>
      </c>
      <c r="E3172" s="1" t="s">
        <v>20</v>
      </c>
      <c r="F3172" s="1" t="str">
        <f aca="false">TEXT(B3172,"mmm-yyyy")</f>
        <v>Dec-2024</v>
      </c>
    </row>
    <row r="3173" customFormat="false" ht="72" hidden="false" customHeight="true" outlineLevel="0" collapsed="false">
      <c r="A3173" s="1" t="n">
        <v>1</v>
      </c>
      <c r="B3173" s="10" t="n">
        <v>45652</v>
      </c>
      <c r="C3173" s="11" t="s">
        <v>3192</v>
      </c>
      <c r="D3173" s="1" t="s">
        <v>2901</v>
      </c>
      <c r="E3173" s="1" t="s">
        <v>20</v>
      </c>
      <c r="F3173" s="1" t="str">
        <f aca="false">TEXT(B3173,"mmm-yyyy")</f>
        <v>Dec-2024</v>
      </c>
    </row>
    <row r="3174" customFormat="false" ht="57.75" hidden="false" customHeight="true" outlineLevel="0" collapsed="false">
      <c r="A3174" s="1" t="n">
        <v>1</v>
      </c>
      <c r="B3174" s="10" t="n">
        <v>45647</v>
      </c>
      <c r="C3174" s="11" t="s">
        <v>3193</v>
      </c>
      <c r="D3174" s="1" t="s">
        <v>2901</v>
      </c>
      <c r="E3174" s="1" t="s">
        <v>20</v>
      </c>
      <c r="F3174" s="1" t="str">
        <f aca="false">TEXT(B3174,"mmm-yyyy")</f>
        <v>Dec-2024</v>
      </c>
    </row>
    <row r="3175" customFormat="false" ht="57.75" hidden="false" customHeight="true" outlineLevel="0" collapsed="false">
      <c r="A3175" s="1" t="n">
        <v>1</v>
      </c>
      <c r="B3175" s="10" t="n">
        <v>45647</v>
      </c>
      <c r="C3175" s="11" t="s">
        <v>3194</v>
      </c>
      <c r="D3175" s="1" t="s">
        <v>2901</v>
      </c>
      <c r="E3175" s="1" t="s">
        <v>20</v>
      </c>
      <c r="F3175" s="1" t="str">
        <f aca="false">TEXT(B3175,"mmm-yyyy")</f>
        <v>Dec-2024</v>
      </c>
    </row>
    <row r="3176" customFormat="false" ht="130.5" hidden="false" customHeight="true" outlineLevel="0" collapsed="false">
      <c r="A3176" s="1" t="n">
        <v>1</v>
      </c>
      <c r="B3176" s="10" t="n">
        <v>45648</v>
      </c>
      <c r="C3176" s="11" t="s">
        <v>3195</v>
      </c>
      <c r="D3176" s="1" t="s">
        <v>2901</v>
      </c>
      <c r="E3176" s="1" t="s">
        <v>20</v>
      </c>
      <c r="F3176" s="1" t="str">
        <f aca="false">TEXT(B3176,"mmm-yyyy")</f>
        <v>Dec-2024</v>
      </c>
    </row>
    <row r="3177" customFormat="false" ht="87" hidden="false" customHeight="true" outlineLevel="0" collapsed="false">
      <c r="A3177" s="1" t="n">
        <v>1</v>
      </c>
      <c r="B3177" s="10" t="n">
        <v>45646</v>
      </c>
      <c r="C3177" s="11" t="s">
        <v>3196</v>
      </c>
      <c r="D3177" s="1" t="s">
        <v>2901</v>
      </c>
      <c r="E3177" s="1" t="s">
        <v>18</v>
      </c>
      <c r="F3177" s="1" t="str">
        <f aca="false">TEXT(B3177,"mmm-yyyy")</f>
        <v>Dec-2024</v>
      </c>
    </row>
    <row r="3178" customFormat="false" ht="87" hidden="false" customHeight="true" outlineLevel="0" collapsed="false">
      <c r="A3178" s="1" t="n">
        <v>1</v>
      </c>
      <c r="B3178" s="10" t="n">
        <v>45646</v>
      </c>
      <c r="C3178" s="11" t="s">
        <v>3197</v>
      </c>
      <c r="D3178" s="1" t="s">
        <v>2901</v>
      </c>
      <c r="E3178" s="1" t="s">
        <v>32</v>
      </c>
      <c r="F3178" s="1" t="str">
        <f aca="false">TEXT(B3178,"mmm-yyyy")</f>
        <v>Dec-2024</v>
      </c>
    </row>
    <row r="3179" customFormat="false" ht="87" hidden="false" customHeight="true" outlineLevel="0" collapsed="false">
      <c r="A3179" s="1" t="n">
        <v>1</v>
      </c>
      <c r="B3179" s="10" t="n">
        <v>45636</v>
      </c>
      <c r="C3179" s="11" t="s">
        <v>3198</v>
      </c>
      <c r="D3179" s="1" t="s">
        <v>2901</v>
      </c>
      <c r="E3179" s="1" t="s">
        <v>20</v>
      </c>
      <c r="F3179" s="1" t="str">
        <f aca="false">TEXT(B3179,"mmm-yyyy")</f>
        <v>Dec-2024</v>
      </c>
    </row>
    <row r="3180" customFormat="false" ht="144.75" hidden="false" customHeight="true" outlineLevel="0" collapsed="false">
      <c r="A3180" s="1" t="n">
        <v>1</v>
      </c>
      <c r="B3180" s="10" t="n">
        <v>45633</v>
      </c>
      <c r="C3180" s="11" t="s">
        <v>3199</v>
      </c>
      <c r="D3180" s="1" t="s">
        <v>2901</v>
      </c>
      <c r="E3180" s="1" t="s">
        <v>20</v>
      </c>
      <c r="F3180" s="1" t="str">
        <f aca="false">TEXT(B3180,"mmm-yyyy")</f>
        <v>Dec-2024</v>
      </c>
    </row>
    <row r="3181" customFormat="false" ht="130.5" hidden="false" customHeight="true" outlineLevel="0" collapsed="false">
      <c r="A3181" s="1" t="n">
        <v>1</v>
      </c>
      <c r="B3181" s="10" t="n">
        <v>45645</v>
      </c>
      <c r="C3181" s="11" t="s">
        <v>3200</v>
      </c>
      <c r="D3181" s="1" t="s">
        <v>2901</v>
      </c>
      <c r="E3181" s="1" t="s">
        <v>18</v>
      </c>
      <c r="F3181" s="1" t="str">
        <f aca="false">TEXT(B3181,"mmm-yyyy")</f>
        <v>Dec-2024</v>
      </c>
    </row>
    <row r="3182" customFormat="false" ht="101.25" hidden="false" customHeight="true" outlineLevel="0" collapsed="false">
      <c r="A3182" s="1" t="n">
        <v>1</v>
      </c>
      <c r="B3182" s="10" t="n">
        <v>45639</v>
      </c>
      <c r="C3182" s="11" t="s">
        <v>3201</v>
      </c>
      <c r="D3182" s="1" t="s">
        <v>2901</v>
      </c>
      <c r="E3182" s="1" t="s">
        <v>18</v>
      </c>
      <c r="F3182" s="1" t="str">
        <f aca="false">TEXT(B3182,"mmm-yyyy")</f>
        <v>Dec-2024</v>
      </c>
    </row>
    <row r="3183" customFormat="false" ht="130.5" hidden="false" customHeight="true" outlineLevel="0" collapsed="false">
      <c r="A3183" s="1" t="n">
        <v>1</v>
      </c>
      <c r="B3183" s="10" t="n">
        <v>45654</v>
      </c>
      <c r="C3183" s="11" t="s">
        <v>3202</v>
      </c>
      <c r="D3183" s="1" t="s">
        <v>2901</v>
      </c>
      <c r="E3183" s="1" t="s">
        <v>18</v>
      </c>
      <c r="F3183" s="1" t="str">
        <f aca="false">TEXT(B3183,"mmm-yyyy")</f>
        <v>Dec-2024</v>
      </c>
    </row>
    <row r="3184" customFormat="false" ht="87" hidden="false" customHeight="true" outlineLevel="0" collapsed="false">
      <c r="A3184" s="1" t="n">
        <v>1</v>
      </c>
      <c r="B3184" s="10" t="n">
        <v>45648</v>
      </c>
      <c r="C3184" s="11" t="s">
        <v>3203</v>
      </c>
      <c r="D3184" s="1" t="s">
        <v>2901</v>
      </c>
      <c r="E3184" s="1" t="s">
        <v>20</v>
      </c>
      <c r="F3184" s="1" t="str">
        <f aca="false">TEXT(B3184,"mmm-yyyy")</f>
        <v>Dec-2024</v>
      </c>
    </row>
    <row r="3185" customFormat="false" ht="101.25" hidden="false" customHeight="true" outlineLevel="0" collapsed="false">
      <c r="A3185" s="1" t="n">
        <v>1</v>
      </c>
      <c r="B3185" s="10" t="n">
        <v>45648</v>
      </c>
      <c r="C3185" s="11" t="s">
        <v>3204</v>
      </c>
      <c r="D3185" s="1" t="s">
        <v>2901</v>
      </c>
      <c r="E3185" s="1" t="s">
        <v>20</v>
      </c>
      <c r="F3185" s="1" t="str">
        <f aca="false">TEXT(B3185,"mmm-yyyy")</f>
        <v>Dec-2024</v>
      </c>
    </row>
    <row r="3186" customFormat="false" ht="57.75" hidden="false" customHeight="true" outlineLevel="0" collapsed="false">
      <c r="A3186" s="1" t="n">
        <v>1</v>
      </c>
      <c r="B3186" s="10" t="n">
        <v>45647</v>
      </c>
      <c r="C3186" s="11" t="s">
        <v>3205</v>
      </c>
      <c r="D3186" s="1" t="s">
        <v>2901</v>
      </c>
      <c r="E3186" s="1" t="s">
        <v>18</v>
      </c>
      <c r="F3186" s="1" t="str">
        <f aca="false">TEXT(B3186,"mmm-yyyy")</f>
        <v>Dec-2024</v>
      </c>
    </row>
    <row r="3187" customFormat="false" ht="87" hidden="false" customHeight="true" outlineLevel="0" collapsed="false">
      <c r="A3187" s="1" t="n">
        <v>2</v>
      </c>
      <c r="B3187" s="10" t="n">
        <v>45623</v>
      </c>
      <c r="C3187" s="11" t="s">
        <v>3206</v>
      </c>
      <c r="D3187" s="1" t="s">
        <v>2901</v>
      </c>
      <c r="E3187" s="1" t="s">
        <v>20</v>
      </c>
      <c r="F3187" s="1" t="str">
        <f aca="false">TEXT(B3187,"mmm-yyyy")</f>
        <v>Nov-2024</v>
      </c>
    </row>
    <row r="3188" customFormat="false" ht="130.5" hidden="false" customHeight="true" outlineLevel="0" collapsed="false">
      <c r="A3188" s="1" t="n">
        <v>1</v>
      </c>
      <c r="B3188" s="10" t="n">
        <v>45640</v>
      </c>
      <c r="C3188" s="11" t="s">
        <v>3207</v>
      </c>
      <c r="D3188" s="1" t="s">
        <v>2901</v>
      </c>
      <c r="E3188" s="1" t="s">
        <v>18</v>
      </c>
      <c r="F3188" s="1" t="str">
        <f aca="false">TEXT(B3188,"mmm-yyyy")</f>
        <v>Dec-2024</v>
      </c>
    </row>
    <row r="3189" customFormat="false" ht="130.5" hidden="false" customHeight="true" outlineLevel="0" collapsed="false">
      <c r="A3189" s="1" t="n">
        <v>1</v>
      </c>
      <c r="B3189" s="10" t="n">
        <v>45629</v>
      </c>
      <c r="C3189" s="11" t="s">
        <v>3208</v>
      </c>
      <c r="D3189" s="1" t="s">
        <v>2901</v>
      </c>
      <c r="E3189" s="1" t="s">
        <v>20</v>
      </c>
      <c r="F3189" s="1" t="str">
        <f aca="false">TEXT(B3189,"mmm-yyyy")</f>
        <v>Dec-2024</v>
      </c>
    </row>
    <row r="3190" customFormat="false" ht="72" hidden="false" customHeight="true" outlineLevel="0" collapsed="false">
      <c r="A3190" s="1" t="n">
        <v>1</v>
      </c>
      <c r="B3190" s="10" t="n">
        <v>45649</v>
      </c>
      <c r="C3190" s="11" t="s">
        <v>3209</v>
      </c>
      <c r="D3190" s="1" t="s">
        <v>2901</v>
      </c>
      <c r="E3190" s="1" t="s">
        <v>18</v>
      </c>
      <c r="F3190" s="1" t="str">
        <f aca="false">TEXT(B3190,"mmm-yyyy")</f>
        <v>Dec-2024</v>
      </c>
    </row>
    <row r="3191" customFormat="false" ht="57.75" hidden="false" customHeight="true" outlineLevel="0" collapsed="false">
      <c r="A3191" s="1" t="n">
        <v>1</v>
      </c>
      <c r="B3191" s="10" t="n">
        <v>45650</v>
      </c>
      <c r="C3191" s="11" t="s">
        <v>3210</v>
      </c>
      <c r="D3191" s="1" t="s">
        <v>2901</v>
      </c>
      <c r="E3191" s="1" t="s">
        <v>20</v>
      </c>
      <c r="F3191" s="1" t="str">
        <f aca="false">TEXT(B3191,"mmm-yyyy")</f>
        <v>Dec-2024</v>
      </c>
    </row>
    <row r="3192" customFormat="false" ht="130.5" hidden="false" customHeight="true" outlineLevel="0" collapsed="false">
      <c r="A3192" s="1" t="n">
        <v>1</v>
      </c>
      <c r="B3192" s="10" t="n">
        <v>45601</v>
      </c>
      <c r="C3192" s="11" t="s">
        <v>3211</v>
      </c>
      <c r="D3192" s="1" t="s">
        <v>2901</v>
      </c>
      <c r="E3192" s="1" t="s">
        <v>20</v>
      </c>
      <c r="F3192" s="1" t="str">
        <f aca="false">TEXT(B3192,"mmm-yyyy")</f>
        <v>Nov-2024</v>
      </c>
    </row>
    <row r="3193" customFormat="false" ht="87" hidden="false" customHeight="true" outlineLevel="0" collapsed="false">
      <c r="A3193" s="1" t="n">
        <v>1</v>
      </c>
      <c r="B3193" s="10" t="n">
        <v>45644</v>
      </c>
      <c r="C3193" s="11" t="s">
        <v>3212</v>
      </c>
      <c r="D3193" s="1" t="s">
        <v>2901</v>
      </c>
      <c r="E3193" s="1" t="s">
        <v>20</v>
      </c>
      <c r="F3193" s="1" t="str">
        <f aca="false">TEXT(B3193,"mmm-yyyy")</f>
        <v>Dec-2024</v>
      </c>
    </row>
    <row r="3194" customFormat="false" ht="72" hidden="false" customHeight="true" outlineLevel="0" collapsed="false">
      <c r="A3194" s="1" t="n">
        <v>1</v>
      </c>
      <c r="B3194" s="10" t="n">
        <v>45657</v>
      </c>
      <c r="C3194" s="11" t="s">
        <v>3213</v>
      </c>
      <c r="D3194" s="1" t="s">
        <v>2901</v>
      </c>
      <c r="E3194" s="1" t="s">
        <v>20</v>
      </c>
      <c r="F3194" s="1" t="str">
        <f aca="false">TEXT(B3194,"mmm-yyyy")</f>
        <v>Dec-2024</v>
      </c>
    </row>
    <row r="3195" customFormat="false" ht="144.75" hidden="false" customHeight="true" outlineLevel="0" collapsed="false">
      <c r="A3195" s="1" t="n">
        <v>1</v>
      </c>
      <c r="B3195" s="10" t="n">
        <v>45638</v>
      </c>
      <c r="C3195" s="11" t="s">
        <v>3214</v>
      </c>
      <c r="D3195" s="1" t="s">
        <v>2901</v>
      </c>
      <c r="E3195" s="1" t="s">
        <v>20</v>
      </c>
      <c r="F3195" s="1" t="str">
        <f aca="false">TEXT(B3195,"mmm-yyyy")</f>
        <v>Dec-2024</v>
      </c>
    </row>
    <row r="3196" customFormat="false" ht="101.25" hidden="false" customHeight="true" outlineLevel="0" collapsed="false">
      <c r="A3196" s="1" t="n">
        <v>1</v>
      </c>
      <c r="B3196" s="10" t="n">
        <v>45650</v>
      </c>
      <c r="C3196" s="11" t="s">
        <v>3215</v>
      </c>
      <c r="D3196" s="1" t="s">
        <v>2901</v>
      </c>
      <c r="E3196" s="1" t="s">
        <v>20</v>
      </c>
      <c r="F3196" s="1" t="str">
        <f aca="false">TEXT(B3196,"mmm-yyyy")</f>
        <v>Dec-2024</v>
      </c>
    </row>
    <row r="3197" customFormat="false" ht="87" hidden="false" customHeight="true" outlineLevel="0" collapsed="false">
      <c r="A3197" s="1" t="n">
        <v>2</v>
      </c>
      <c r="B3197" s="10" t="n">
        <v>45642</v>
      </c>
      <c r="C3197" s="11" t="s">
        <v>3216</v>
      </c>
      <c r="D3197" s="1" t="s">
        <v>2901</v>
      </c>
      <c r="E3197" s="1" t="s">
        <v>18</v>
      </c>
      <c r="F3197" s="1" t="str">
        <f aca="false">TEXT(B3197,"mmm-yyyy")</f>
        <v>Dec-2024</v>
      </c>
    </row>
    <row r="3198" customFormat="false" ht="57.75" hidden="false" customHeight="true" outlineLevel="0" collapsed="false">
      <c r="A3198" s="1" t="n">
        <v>1</v>
      </c>
      <c r="B3198" s="10" t="n">
        <v>45641</v>
      </c>
      <c r="C3198" s="11" t="s">
        <v>3217</v>
      </c>
      <c r="D3198" s="1" t="s">
        <v>2901</v>
      </c>
      <c r="E3198" s="1" t="s">
        <v>18</v>
      </c>
      <c r="F3198" s="1" t="str">
        <f aca="false">TEXT(B3198,"mmm-yyyy")</f>
        <v>Dec-2024</v>
      </c>
    </row>
    <row r="3199" customFormat="false" ht="130.5" hidden="false" customHeight="true" outlineLevel="0" collapsed="false">
      <c r="A3199" s="1" t="n">
        <v>1</v>
      </c>
      <c r="B3199" s="10" t="n">
        <v>45647</v>
      </c>
      <c r="C3199" s="11" t="s">
        <v>3218</v>
      </c>
      <c r="D3199" s="1" t="s">
        <v>2901</v>
      </c>
      <c r="E3199" s="1" t="s">
        <v>18</v>
      </c>
      <c r="F3199" s="1" t="str">
        <f aca="false">TEXT(B3199,"mmm-yyyy")</f>
        <v>Dec-2024</v>
      </c>
    </row>
    <row r="3200" customFormat="false" ht="72" hidden="false" customHeight="true" outlineLevel="0" collapsed="false">
      <c r="A3200" s="1" t="n">
        <v>1</v>
      </c>
      <c r="B3200" s="10" t="n">
        <v>45647</v>
      </c>
      <c r="C3200" s="11" t="s">
        <v>3219</v>
      </c>
      <c r="D3200" s="1" t="s">
        <v>2901</v>
      </c>
      <c r="E3200" s="1" t="s">
        <v>20</v>
      </c>
      <c r="F3200" s="1" t="str">
        <f aca="false">TEXT(B3200,"mmm-yyyy")</f>
        <v>Dec-2024</v>
      </c>
    </row>
    <row r="3201" customFormat="false" ht="87" hidden="false" customHeight="true" outlineLevel="0" collapsed="false">
      <c r="A3201" s="1" t="n">
        <v>1</v>
      </c>
      <c r="B3201" s="10" t="n">
        <v>45617</v>
      </c>
      <c r="C3201" s="11" t="s">
        <v>3220</v>
      </c>
      <c r="D3201" s="1" t="s">
        <v>2901</v>
      </c>
      <c r="E3201" s="1" t="s">
        <v>20</v>
      </c>
      <c r="F3201" s="1" t="str">
        <f aca="false">TEXT(B3201,"mmm-yyyy")</f>
        <v>Nov-2024</v>
      </c>
    </row>
    <row r="3202" customFormat="false" ht="144.75" hidden="false" customHeight="true" outlineLevel="0" collapsed="false">
      <c r="A3202" s="1" t="n">
        <v>2</v>
      </c>
      <c r="B3202" s="10" t="n">
        <v>45640</v>
      </c>
      <c r="C3202" s="11" t="s">
        <v>3221</v>
      </c>
      <c r="D3202" s="1" t="s">
        <v>2901</v>
      </c>
      <c r="E3202" s="1" t="s">
        <v>20</v>
      </c>
      <c r="F3202" s="1" t="str">
        <f aca="false">TEXT(B3202,"mmm-yyyy")</f>
        <v>Dec-2024</v>
      </c>
    </row>
    <row r="3203" customFormat="false" ht="72" hidden="false" customHeight="true" outlineLevel="0" collapsed="false">
      <c r="A3203" s="1" t="n">
        <v>1</v>
      </c>
      <c r="B3203" s="10" t="n">
        <v>45654</v>
      </c>
      <c r="C3203" s="11" t="s">
        <v>3222</v>
      </c>
      <c r="D3203" s="1" t="s">
        <v>2901</v>
      </c>
      <c r="E3203" s="1" t="s">
        <v>20</v>
      </c>
      <c r="F3203" s="1" t="str">
        <f aca="false">TEXT(B3203,"mmm-yyyy")</f>
        <v>Dec-2024</v>
      </c>
    </row>
    <row r="3204" customFormat="false" ht="115.5" hidden="false" customHeight="true" outlineLevel="0" collapsed="false">
      <c r="A3204" s="1" t="n">
        <v>1</v>
      </c>
      <c r="B3204" s="10" t="n">
        <v>45613</v>
      </c>
      <c r="C3204" s="11" t="s">
        <v>3223</v>
      </c>
      <c r="D3204" s="1" t="s">
        <v>2901</v>
      </c>
      <c r="E3204" s="1" t="s">
        <v>18</v>
      </c>
      <c r="F3204" s="1" t="str">
        <f aca="false">TEXT(B3204,"mmm-yyyy")</f>
        <v>Nov-2024</v>
      </c>
    </row>
    <row r="3205" customFormat="false" ht="72" hidden="false" customHeight="true" outlineLevel="0" collapsed="false">
      <c r="A3205" s="1" t="n">
        <v>5</v>
      </c>
      <c r="B3205" s="10" t="n">
        <v>45647</v>
      </c>
      <c r="C3205" s="11" t="s">
        <v>3224</v>
      </c>
      <c r="D3205" s="1" t="s">
        <v>2901</v>
      </c>
      <c r="E3205" s="1" t="s">
        <v>18</v>
      </c>
      <c r="F3205" s="1" t="str">
        <f aca="false">TEXT(B3205,"mmm-yyyy")</f>
        <v>Dec-2024</v>
      </c>
    </row>
    <row r="3206" customFormat="false" ht="115.5" hidden="false" customHeight="true" outlineLevel="0" collapsed="false">
      <c r="A3206" s="1" t="n">
        <v>5</v>
      </c>
      <c r="B3206" s="10" t="n">
        <v>45651</v>
      </c>
      <c r="C3206" s="11" t="s">
        <v>3225</v>
      </c>
      <c r="D3206" s="1" t="s">
        <v>2901</v>
      </c>
      <c r="E3206" s="1" t="s">
        <v>18</v>
      </c>
      <c r="F3206" s="1" t="str">
        <f aca="false">TEXT(B3206,"mmm-yyyy")</f>
        <v>Dec-2024</v>
      </c>
    </row>
    <row r="3207" customFormat="false" ht="144.75" hidden="false" customHeight="true" outlineLevel="0" collapsed="false">
      <c r="A3207" s="1" t="n">
        <v>1</v>
      </c>
      <c r="B3207" s="10" t="n">
        <v>45643</v>
      </c>
      <c r="C3207" s="11" t="s">
        <v>3226</v>
      </c>
      <c r="D3207" s="1" t="s">
        <v>2901</v>
      </c>
      <c r="E3207" s="1" t="s">
        <v>18</v>
      </c>
      <c r="F3207" s="1" t="str">
        <f aca="false">TEXT(B3207,"mmm-yyyy")</f>
        <v>Dec-2024</v>
      </c>
    </row>
    <row r="3208" customFormat="false" ht="87" hidden="false" customHeight="true" outlineLevel="0" collapsed="false">
      <c r="A3208" s="1" t="n">
        <v>1</v>
      </c>
      <c r="B3208" s="10" t="n">
        <v>45617</v>
      </c>
      <c r="C3208" s="11" t="s">
        <v>3227</v>
      </c>
      <c r="D3208" s="1" t="s">
        <v>2901</v>
      </c>
      <c r="E3208" s="1" t="s">
        <v>20</v>
      </c>
      <c r="F3208" s="1" t="str">
        <f aca="false">TEXT(B3208,"mmm-yyyy")</f>
        <v>Nov-2024</v>
      </c>
    </row>
    <row r="3209" customFormat="false" ht="101.25" hidden="false" customHeight="true" outlineLevel="0" collapsed="false">
      <c r="A3209" s="1" t="n">
        <v>1</v>
      </c>
      <c r="B3209" s="10" t="n">
        <v>45647</v>
      </c>
      <c r="C3209" s="11" t="s">
        <v>3228</v>
      </c>
      <c r="D3209" s="1" t="s">
        <v>2901</v>
      </c>
      <c r="E3209" s="1" t="s">
        <v>18</v>
      </c>
      <c r="F3209" s="1" t="str">
        <f aca="false">TEXT(B3209,"mmm-yyyy")</f>
        <v>Dec-2024</v>
      </c>
    </row>
    <row r="3210" customFormat="false" ht="87" hidden="false" customHeight="true" outlineLevel="0" collapsed="false">
      <c r="A3210" s="1" t="n">
        <v>1</v>
      </c>
      <c r="B3210" s="10" t="n">
        <v>45628</v>
      </c>
      <c r="C3210" s="11" t="s">
        <v>3229</v>
      </c>
      <c r="D3210" s="1" t="s">
        <v>2901</v>
      </c>
      <c r="E3210" s="1" t="s">
        <v>18</v>
      </c>
      <c r="F3210" s="1" t="str">
        <f aca="false">TEXT(B3210,"mmm-yyyy")</f>
        <v>Dec-2024</v>
      </c>
    </row>
    <row r="3211" customFormat="false" ht="115.5" hidden="false" customHeight="true" outlineLevel="0" collapsed="false">
      <c r="A3211" s="1" t="n">
        <v>1</v>
      </c>
      <c r="B3211" s="10" t="n">
        <v>45619</v>
      </c>
      <c r="C3211" s="11" t="s">
        <v>3230</v>
      </c>
      <c r="D3211" s="1" t="s">
        <v>2901</v>
      </c>
      <c r="E3211" s="1" t="s">
        <v>18</v>
      </c>
      <c r="F3211" s="1" t="str">
        <f aca="false">TEXT(B3211,"mmm-yyyy")</f>
        <v>Nov-2024</v>
      </c>
    </row>
    <row r="3212" customFormat="false" ht="87" hidden="false" customHeight="true" outlineLevel="0" collapsed="false">
      <c r="A3212" s="1" t="n">
        <v>1</v>
      </c>
      <c r="B3212" s="10" t="n">
        <v>45640</v>
      </c>
      <c r="C3212" s="11" t="s">
        <v>3231</v>
      </c>
      <c r="D3212" s="1" t="s">
        <v>2901</v>
      </c>
      <c r="E3212" s="1" t="s">
        <v>18</v>
      </c>
      <c r="F3212" s="1" t="str">
        <f aca="false">TEXT(B3212,"mmm-yyyy")</f>
        <v>Dec-2024</v>
      </c>
    </row>
    <row r="3213" customFormat="false" ht="130.5" hidden="false" customHeight="true" outlineLevel="0" collapsed="false">
      <c r="A3213" s="1" t="n">
        <v>1</v>
      </c>
      <c r="B3213" s="10" t="n">
        <v>45656</v>
      </c>
      <c r="C3213" s="11" t="s">
        <v>3232</v>
      </c>
      <c r="D3213" s="1" t="s">
        <v>2901</v>
      </c>
      <c r="E3213" s="1" t="s">
        <v>20</v>
      </c>
      <c r="F3213" s="1" t="str">
        <f aca="false">TEXT(B3213,"mmm-yyyy")</f>
        <v>Dec-2024</v>
      </c>
    </row>
    <row r="3214" customFormat="false" ht="72" hidden="false" customHeight="true" outlineLevel="0" collapsed="false">
      <c r="A3214" s="1" t="n">
        <v>3</v>
      </c>
      <c r="B3214" s="10" t="n">
        <v>45643</v>
      </c>
      <c r="C3214" s="11" t="s">
        <v>3233</v>
      </c>
      <c r="D3214" s="1" t="s">
        <v>2901</v>
      </c>
      <c r="E3214" s="1" t="s">
        <v>18</v>
      </c>
      <c r="F3214" s="1" t="str">
        <f aca="false">TEXT(B3214,"mmm-yyyy")</f>
        <v>Dec-2024</v>
      </c>
    </row>
    <row r="3215" customFormat="false" ht="87" hidden="false" customHeight="true" outlineLevel="0" collapsed="false">
      <c r="A3215" s="1" t="n">
        <v>1</v>
      </c>
      <c r="B3215" s="10" t="n">
        <v>45654</v>
      </c>
      <c r="C3215" s="11" t="s">
        <v>3234</v>
      </c>
      <c r="D3215" s="1" t="s">
        <v>2901</v>
      </c>
      <c r="E3215" s="1" t="s">
        <v>20</v>
      </c>
      <c r="F3215" s="1" t="str">
        <f aca="false">TEXT(B3215,"mmm-yyyy")</f>
        <v>Dec-2024</v>
      </c>
    </row>
    <row r="3216" customFormat="false" ht="72" hidden="false" customHeight="true" outlineLevel="0" collapsed="false">
      <c r="A3216" s="1" t="n">
        <v>1</v>
      </c>
      <c r="B3216" s="10" t="n">
        <v>45644</v>
      </c>
      <c r="C3216" s="11" t="s">
        <v>3235</v>
      </c>
      <c r="D3216" s="1" t="s">
        <v>2901</v>
      </c>
      <c r="E3216" s="1" t="s">
        <v>20</v>
      </c>
      <c r="F3216" s="1" t="str">
        <f aca="false">TEXT(B3216,"mmm-yyyy")</f>
        <v>Dec-2024</v>
      </c>
    </row>
    <row r="3217" customFormat="false" ht="130.5" hidden="false" customHeight="true" outlineLevel="0" collapsed="false">
      <c r="A3217" s="1" t="n">
        <v>1</v>
      </c>
      <c r="B3217" s="10" t="n">
        <v>45656</v>
      </c>
      <c r="C3217" s="11" t="s">
        <v>3236</v>
      </c>
      <c r="D3217" s="1" t="s">
        <v>2901</v>
      </c>
      <c r="E3217" s="1" t="s">
        <v>18</v>
      </c>
      <c r="F3217" s="1" t="str">
        <f aca="false">TEXT(B3217,"mmm-yyyy")</f>
        <v>Dec-2024</v>
      </c>
    </row>
    <row r="3218" customFormat="false" ht="130.5" hidden="false" customHeight="true" outlineLevel="0" collapsed="false">
      <c r="A3218" s="1" t="n">
        <v>1</v>
      </c>
      <c r="B3218" s="10" t="n">
        <v>45652</v>
      </c>
      <c r="C3218" s="11" t="s">
        <v>3237</v>
      </c>
      <c r="D3218" s="1" t="s">
        <v>2901</v>
      </c>
      <c r="E3218" s="1" t="s">
        <v>18</v>
      </c>
      <c r="F3218" s="1" t="str">
        <f aca="false">TEXT(B3218,"mmm-yyyy")</f>
        <v>Dec-2024</v>
      </c>
    </row>
    <row r="3219" customFormat="false" ht="72" hidden="false" customHeight="true" outlineLevel="0" collapsed="false">
      <c r="A3219" s="1" t="n">
        <v>1</v>
      </c>
      <c r="B3219" s="10" t="n">
        <v>45648</v>
      </c>
      <c r="C3219" s="11" t="s">
        <v>3238</v>
      </c>
      <c r="D3219" s="1" t="s">
        <v>2901</v>
      </c>
      <c r="E3219" s="1" t="s">
        <v>20</v>
      </c>
      <c r="F3219" s="1" t="str">
        <f aca="false">TEXT(B3219,"mmm-yyyy")</f>
        <v>Dec-2024</v>
      </c>
    </row>
    <row r="3220" customFormat="false" ht="87" hidden="false" customHeight="true" outlineLevel="0" collapsed="false">
      <c r="A3220" s="1" t="n">
        <v>1</v>
      </c>
      <c r="B3220" s="10" t="n">
        <v>45634</v>
      </c>
      <c r="C3220" s="11" t="s">
        <v>3239</v>
      </c>
      <c r="D3220" s="1" t="s">
        <v>2901</v>
      </c>
      <c r="E3220" s="1" t="s">
        <v>20</v>
      </c>
      <c r="F3220" s="1" t="str">
        <f aca="false">TEXT(B3220,"mmm-yyyy")</f>
        <v>Dec-2024</v>
      </c>
    </row>
    <row r="3221" customFormat="false" ht="101.25" hidden="false" customHeight="true" outlineLevel="0" collapsed="false">
      <c r="A3221" s="1" t="n">
        <v>1</v>
      </c>
      <c r="B3221" s="10" t="n">
        <v>45654</v>
      </c>
      <c r="C3221" s="11" t="s">
        <v>3240</v>
      </c>
      <c r="D3221" s="1" t="s">
        <v>2901</v>
      </c>
      <c r="E3221" s="1" t="s">
        <v>32</v>
      </c>
      <c r="F3221" s="1" t="str">
        <f aca="false">TEXT(B3221,"mmm-yyyy")</f>
        <v>Dec-2024</v>
      </c>
    </row>
    <row r="3222" customFormat="false" ht="87" hidden="false" customHeight="true" outlineLevel="0" collapsed="false">
      <c r="A3222" s="1" t="n">
        <v>1</v>
      </c>
      <c r="B3222" s="10" t="n">
        <v>45652</v>
      </c>
      <c r="C3222" s="11" t="s">
        <v>3241</v>
      </c>
      <c r="D3222" s="1" t="s">
        <v>2901</v>
      </c>
      <c r="E3222" s="1" t="s">
        <v>20</v>
      </c>
      <c r="F3222" s="1" t="str">
        <f aca="false">TEXT(B3222,"mmm-yyyy")</f>
        <v>Dec-2024</v>
      </c>
    </row>
    <row r="3223" customFormat="false" ht="72" hidden="false" customHeight="true" outlineLevel="0" collapsed="false">
      <c r="A3223" s="1" t="n">
        <v>1</v>
      </c>
      <c r="B3223" s="10" t="n">
        <v>45655</v>
      </c>
      <c r="C3223" s="11" t="s">
        <v>3242</v>
      </c>
      <c r="D3223" s="1" t="s">
        <v>2901</v>
      </c>
      <c r="E3223" s="1" t="s">
        <v>20</v>
      </c>
      <c r="F3223" s="1" t="str">
        <f aca="false">TEXT(B3223,"mmm-yyyy")</f>
        <v>Dec-2024</v>
      </c>
    </row>
    <row r="3224" customFormat="false" ht="87" hidden="false" customHeight="true" outlineLevel="0" collapsed="false">
      <c r="A3224" s="1" t="n">
        <v>1</v>
      </c>
      <c r="B3224" s="10" t="n">
        <v>45644</v>
      </c>
      <c r="C3224" s="11" t="s">
        <v>3243</v>
      </c>
      <c r="D3224" s="1" t="s">
        <v>2901</v>
      </c>
      <c r="E3224" s="1" t="s">
        <v>20</v>
      </c>
      <c r="F3224" s="1" t="str">
        <f aca="false">TEXT(B3224,"mmm-yyyy")</f>
        <v>Dec-2024</v>
      </c>
    </row>
    <row r="3225" customFormat="false" ht="115.5" hidden="false" customHeight="true" outlineLevel="0" collapsed="false">
      <c r="A3225" s="1" t="n">
        <v>5</v>
      </c>
      <c r="B3225" s="10" t="n">
        <v>45654</v>
      </c>
      <c r="C3225" s="11" t="s">
        <v>3244</v>
      </c>
      <c r="D3225" s="1" t="s">
        <v>2901</v>
      </c>
      <c r="E3225" s="1" t="s">
        <v>18</v>
      </c>
      <c r="F3225" s="1" t="str">
        <f aca="false">TEXT(B3225,"mmm-yyyy")</f>
        <v>Dec-2024</v>
      </c>
    </row>
    <row r="3226" customFormat="false" ht="72" hidden="false" customHeight="true" outlineLevel="0" collapsed="false">
      <c r="A3226" s="1" t="n">
        <v>5</v>
      </c>
      <c r="B3226" s="10" t="n">
        <v>45643</v>
      </c>
      <c r="C3226" s="11" t="s">
        <v>3245</v>
      </c>
      <c r="D3226" s="1" t="s">
        <v>2901</v>
      </c>
      <c r="E3226" s="1" t="s">
        <v>18</v>
      </c>
      <c r="F3226" s="1" t="str">
        <f aca="false">TEXT(B3226,"mmm-yyyy")</f>
        <v>Dec-2024</v>
      </c>
    </row>
    <row r="3227" customFormat="false" ht="130.5" hidden="false" customHeight="true" outlineLevel="0" collapsed="false">
      <c r="A3227" s="1" t="n">
        <v>1</v>
      </c>
      <c r="B3227" s="10" t="n">
        <v>45646</v>
      </c>
      <c r="C3227" s="11" t="s">
        <v>3246</v>
      </c>
      <c r="D3227" s="1" t="s">
        <v>2901</v>
      </c>
      <c r="E3227" s="1" t="s">
        <v>20</v>
      </c>
      <c r="F3227" s="1" t="str">
        <f aca="false">TEXT(B3227,"mmm-yyyy")</f>
        <v>Dec-2024</v>
      </c>
    </row>
    <row r="3228" customFormat="false" ht="115.5" hidden="false" customHeight="true" outlineLevel="0" collapsed="false">
      <c r="A3228" s="1" t="n">
        <v>1</v>
      </c>
      <c r="B3228" s="10" t="n">
        <v>45655</v>
      </c>
      <c r="C3228" s="11" t="s">
        <v>3247</v>
      </c>
      <c r="D3228" s="1" t="s">
        <v>2901</v>
      </c>
      <c r="E3228" s="1" t="s">
        <v>20</v>
      </c>
      <c r="F3228" s="1" t="str">
        <f aca="false">TEXT(B3228,"mmm-yyyy")</f>
        <v>Dec-2024</v>
      </c>
    </row>
    <row r="3229" customFormat="false" ht="130.5" hidden="false" customHeight="true" outlineLevel="0" collapsed="false">
      <c r="A3229" s="1" t="n">
        <v>1</v>
      </c>
      <c r="B3229" s="10" t="n">
        <v>45648</v>
      </c>
      <c r="C3229" s="11" t="s">
        <v>3248</v>
      </c>
      <c r="D3229" s="1" t="s">
        <v>2901</v>
      </c>
      <c r="E3229" s="1" t="s">
        <v>20</v>
      </c>
      <c r="F3229" s="1" t="str">
        <f aca="false">TEXT(B3229,"mmm-yyyy")</f>
        <v>Dec-2024</v>
      </c>
    </row>
    <row r="3230" customFormat="false" ht="72" hidden="false" customHeight="true" outlineLevel="0" collapsed="false">
      <c r="A3230" s="1" t="n">
        <v>1</v>
      </c>
      <c r="B3230" s="10" t="n">
        <v>45640</v>
      </c>
      <c r="C3230" s="11" t="s">
        <v>3249</v>
      </c>
      <c r="D3230" s="1" t="s">
        <v>2901</v>
      </c>
      <c r="E3230" s="1" t="s">
        <v>20</v>
      </c>
      <c r="F3230" s="1" t="str">
        <f aca="false">TEXT(B3230,"mmm-yyyy")</f>
        <v>Dec-2024</v>
      </c>
    </row>
    <row r="3231" customFormat="false" ht="101.25" hidden="false" customHeight="true" outlineLevel="0" collapsed="false">
      <c r="A3231" s="1" t="n">
        <v>1</v>
      </c>
      <c r="B3231" s="10" t="n">
        <v>45650</v>
      </c>
      <c r="C3231" s="11" t="s">
        <v>3250</v>
      </c>
      <c r="D3231" s="1" t="s">
        <v>2901</v>
      </c>
      <c r="E3231" s="1" t="s">
        <v>20</v>
      </c>
      <c r="F3231" s="1" t="str">
        <f aca="false">TEXT(B3231,"mmm-yyyy")</f>
        <v>Dec-2024</v>
      </c>
    </row>
    <row r="3232" customFormat="false" ht="115.5" hidden="false" customHeight="true" outlineLevel="0" collapsed="false">
      <c r="A3232" s="1" t="n">
        <v>1</v>
      </c>
      <c r="B3232" s="10" t="n">
        <v>45648</v>
      </c>
      <c r="C3232" s="11" t="s">
        <v>3251</v>
      </c>
      <c r="D3232" s="1" t="s">
        <v>2901</v>
      </c>
      <c r="E3232" s="1" t="s">
        <v>20</v>
      </c>
      <c r="F3232" s="1" t="str">
        <f aca="false">TEXT(B3232,"mmm-yyyy")</f>
        <v>Dec-2024</v>
      </c>
    </row>
    <row r="3233" customFormat="false" ht="130.5" hidden="false" customHeight="true" outlineLevel="0" collapsed="false">
      <c r="A3233" s="1" t="n">
        <v>1</v>
      </c>
      <c r="B3233" s="10" t="n">
        <v>45649</v>
      </c>
      <c r="C3233" s="11" t="s">
        <v>3252</v>
      </c>
      <c r="D3233" s="1" t="s">
        <v>2901</v>
      </c>
      <c r="E3233" s="1" t="s">
        <v>20</v>
      </c>
      <c r="F3233" s="1" t="str">
        <f aca="false">TEXT(B3233,"mmm-yyyy")</f>
        <v>Dec-2024</v>
      </c>
    </row>
    <row r="3234" customFormat="false" ht="101.25" hidden="false" customHeight="true" outlineLevel="0" collapsed="false">
      <c r="A3234" s="1" t="n">
        <v>1</v>
      </c>
      <c r="B3234" s="10" t="n">
        <v>45576</v>
      </c>
      <c r="C3234" s="11" t="s">
        <v>3253</v>
      </c>
      <c r="D3234" s="1" t="s">
        <v>2901</v>
      </c>
      <c r="E3234" s="1" t="s">
        <v>20</v>
      </c>
      <c r="F3234" s="1" t="str">
        <f aca="false">TEXT(B3234,"mmm-yyyy")</f>
        <v>Oct-2024</v>
      </c>
    </row>
    <row r="3235" customFormat="false" ht="130.5" hidden="false" customHeight="true" outlineLevel="0" collapsed="false">
      <c r="A3235" s="1" t="n">
        <v>1</v>
      </c>
      <c r="B3235" s="10" t="n">
        <v>45647</v>
      </c>
      <c r="C3235" s="11" t="s">
        <v>3254</v>
      </c>
      <c r="D3235" s="1" t="s">
        <v>2901</v>
      </c>
      <c r="E3235" s="1" t="s">
        <v>20</v>
      </c>
      <c r="F3235" s="1" t="str">
        <f aca="false">TEXT(B3235,"mmm-yyyy")</f>
        <v>Dec-2024</v>
      </c>
    </row>
    <row r="3236" customFormat="false" ht="87" hidden="false" customHeight="true" outlineLevel="0" collapsed="false">
      <c r="A3236" s="1" t="n">
        <v>2</v>
      </c>
      <c r="B3236" s="10" t="n">
        <v>45632</v>
      </c>
      <c r="C3236" s="11" t="s">
        <v>3255</v>
      </c>
      <c r="D3236" s="1" t="s">
        <v>2901</v>
      </c>
      <c r="E3236" s="1" t="s">
        <v>20</v>
      </c>
      <c r="F3236" s="1" t="str">
        <f aca="false">TEXT(B3236,"mmm-yyyy")</f>
        <v>Dec-2024</v>
      </c>
    </row>
    <row r="3237" customFormat="false" ht="115.5" hidden="false" customHeight="true" outlineLevel="0" collapsed="false">
      <c r="A3237" s="1" t="n">
        <v>1</v>
      </c>
      <c r="B3237" s="10" t="n">
        <v>45649</v>
      </c>
      <c r="C3237" s="11" t="s">
        <v>3256</v>
      </c>
      <c r="D3237" s="1" t="s">
        <v>2901</v>
      </c>
      <c r="E3237" s="1" t="s">
        <v>20</v>
      </c>
      <c r="F3237" s="1" t="str">
        <f aca="false">TEXT(B3237,"mmm-yyyy")</f>
        <v>Dec-2024</v>
      </c>
    </row>
    <row r="3238" customFormat="false" ht="72" hidden="false" customHeight="true" outlineLevel="0" collapsed="false">
      <c r="A3238" s="1" t="n">
        <v>1</v>
      </c>
      <c r="B3238" s="10" t="n">
        <v>45617</v>
      </c>
      <c r="C3238" s="11" t="s">
        <v>3257</v>
      </c>
      <c r="D3238" s="1" t="s">
        <v>2901</v>
      </c>
      <c r="E3238" s="1" t="s">
        <v>20</v>
      </c>
      <c r="F3238" s="1" t="str">
        <f aca="false">TEXT(B3238,"mmm-yyyy")</f>
        <v>Nov-2024</v>
      </c>
    </row>
    <row r="3239" customFormat="false" ht="72" hidden="false" customHeight="true" outlineLevel="0" collapsed="false">
      <c r="A3239" s="1" t="n">
        <v>1</v>
      </c>
      <c r="B3239" s="10" t="n">
        <v>45650</v>
      </c>
      <c r="C3239" s="11" t="s">
        <v>3258</v>
      </c>
      <c r="D3239" s="1" t="s">
        <v>2901</v>
      </c>
      <c r="E3239" s="1" t="s">
        <v>20</v>
      </c>
      <c r="F3239" s="1" t="str">
        <f aca="false">TEXT(B3239,"mmm-yyyy")</f>
        <v>Dec-2024</v>
      </c>
    </row>
    <row r="3240" customFormat="false" ht="72" hidden="false" customHeight="true" outlineLevel="0" collapsed="false">
      <c r="A3240" s="1" t="n">
        <v>1</v>
      </c>
      <c r="B3240" s="10" t="n">
        <v>45640</v>
      </c>
      <c r="C3240" s="11" t="s">
        <v>3259</v>
      </c>
      <c r="D3240" s="1" t="s">
        <v>2901</v>
      </c>
      <c r="E3240" s="1" t="s">
        <v>20</v>
      </c>
      <c r="F3240" s="1" t="str">
        <f aca="false">TEXT(B3240,"mmm-yyyy")</f>
        <v>Dec-2024</v>
      </c>
    </row>
    <row r="3241" customFormat="false" ht="72" hidden="false" customHeight="true" outlineLevel="0" collapsed="false">
      <c r="A3241" s="1" t="n">
        <v>1</v>
      </c>
      <c r="B3241" s="10" t="n">
        <v>45644</v>
      </c>
      <c r="C3241" s="11" t="s">
        <v>3260</v>
      </c>
      <c r="D3241" s="1" t="s">
        <v>2901</v>
      </c>
      <c r="E3241" s="1" t="s">
        <v>20</v>
      </c>
      <c r="F3241" s="1" t="str">
        <f aca="false">TEXT(B3241,"mmm-yyyy")</f>
        <v>Dec-2024</v>
      </c>
    </row>
    <row r="3242" customFormat="false" ht="130.5" hidden="false" customHeight="true" outlineLevel="0" collapsed="false">
      <c r="A3242" s="1" t="n">
        <v>1</v>
      </c>
      <c r="B3242" s="10" t="n">
        <v>45614</v>
      </c>
      <c r="C3242" s="11" t="s">
        <v>3261</v>
      </c>
      <c r="D3242" s="1" t="s">
        <v>2901</v>
      </c>
      <c r="E3242" s="1" t="s">
        <v>20</v>
      </c>
      <c r="F3242" s="1" t="str">
        <f aca="false">TEXT(B3242,"mmm-yyyy")</f>
        <v>Nov-2024</v>
      </c>
    </row>
    <row r="3243" customFormat="false" ht="130.5" hidden="false" customHeight="true" outlineLevel="0" collapsed="false">
      <c r="A3243" s="1" t="n">
        <v>1</v>
      </c>
      <c r="B3243" s="10" t="n">
        <v>45644</v>
      </c>
      <c r="C3243" s="11" t="s">
        <v>3262</v>
      </c>
      <c r="D3243" s="1" t="s">
        <v>2901</v>
      </c>
      <c r="E3243" s="1" t="s">
        <v>18</v>
      </c>
      <c r="F3243" s="1" t="str">
        <f aca="false">TEXT(B3243,"mmm-yyyy")</f>
        <v>Dec-2024</v>
      </c>
    </row>
    <row r="3244" customFormat="false" ht="130.5" hidden="false" customHeight="true" outlineLevel="0" collapsed="false">
      <c r="A3244" s="1" t="n">
        <v>1</v>
      </c>
      <c r="B3244" s="10" t="n">
        <v>45637</v>
      </c>
      <c r="C3244" s="11" t="s">
        <v>3263</v>
      </c>
      <c r="D3244" s="1" t="s">
        <v>2901</v>
      </c>
      <c r="E3244" s="1" t="s">
        <v>20</v>
      </c>
      <c r="F3244" s="1" t="str">
        <f aca="false">TEXT(B3244,"mmm-yyyy")</f>
        <v>Dec-2024</v>
      </c>
    </row>
    <row r="3245" customFormat="false" ht="101.25" hidden="false" customHeight="true" outlineLevel="0" collapsed="false">
      <c r="A3245" s="1" t="n">
        <v>4</v>
      </c>
      <c r="B3245" s="10" t="n">
        <v>45630</v>
      </c>
      <c r="C3245" s="11" t="s">
        <v>3264</v>
      </c>
      <c r="D3245" s="1" t="s">
        <v>2901</v>
      </c>
      <c r="E3245" s="1" t="s">
        <v>20</v>
      </c>
      <c r="F3245" s="1" t="str">
        <f aca="false">TEXT(B3245,"mmm-yyyy")</f>
        <v>Dec-2024</v>
      </c>
    </row>
    <row r="3246" customFormat="false" ht="72" hidden="false" customHeight="true" outlineLevel="0" collapsed="false">
      <c r="A3246" s="1" t="n">
        <v>1</v>
      </c>
      <c r="B3246" s="10" t="n">
        <v>45640</v>
      </c>
      <c r="C3246" s="11" t="s">
        <v>3265</v>
      </c>
      <c r="D3246" s="1" t="s">
        <v>2901</v>
      </c>
      <c r="E3246" s="1" t="s">
        <v>18</v>
      </c>
      <c r="F3246" s="1" t="str">
        <f aca="false">TEXT(B3246,"mmm-yyyy")</f>
        <v>Dec-2024</v>
      </c>
    </row>
    <row r="3247" customFormat="false" ht="72" hidden="false" customHeight="true" outlineLevel="0" collapsed="false">
      <c r="A3247" s="1" t="n">
        <v>1</v>
      </c>
      <c r="B3247" s="10" t="n">
        <v>45646</v>
      </c>
      <c r="C3247" s="11" t="s">
        <v>3266</v>
      </c>
      <c r="D3247" s="1" t="s">
        <v>2901</v>
      </c>
      <c r="E3247" s="1" t="s">
        <v>20</v>
      </c>
      <c r="F3247" s="1" t="str">
        <f aca="false">TEXT(B3247,"mmm-yyyy")</f>
        <v>Dec-2024</v>
      </c>
    </row>
    <row r="3248" customFormat="false" ht="87" hidden="false" customHeight="true" outlineLevel="0" collapsed="false">
      <c r="A3248" s="1" t="n">
        <v>1</v>
      </c>
      <c r="B3248" s="10" t="n">
        <v>45653</v>
      </c>
      <c r="C3248" s="11" t="s">
        <v>3267</v>
      </c>
      <c r="D3248" s="1" t="s">
        <v>2901</v>
      </c>
      <c r="E3248" s="1" t="s">
        <v>20</v>
      </c>
      <c r="F3248" s="1" t="str">
        <f aca="false">TEXT(B3248,"mmm-yyyy")</f>
        <v>Dec-2024</v>
      </c>
    </row>
    <row r="3249" customFormat="false" ht="72" hidden="false" customHeight="true" outlineLevel="0" collapsed="false">
      <c r="A3249" s="1" t="n">
        <v>1</v>
      </c>
      <c r="B3249" s="10" t="n">
        <v>45645</v>
      </c>
      <c r="C3249" s="11" t="s">
        <v>3268</v>
      </c>
      <c r="D3249" s="1" t="s">
        <v>2901</v>
      </c>
      <c r="E3249" s="1" t="s">
        <v>20</v>
      </c>
      <c r="F3249" s="1" t="str">
        <f aca="false">TEXT(B3249,"mmm-yyyy")</f>
        <v>Dec-2024</v>
      </c>
    </row>
    <row r="3250" customFormat="false" ht="87" hidden="false" customHeight="true" outlineLevel="0" collapsed="false">
      <c r="A3250" s="1" t="n">
        <v>2</v>
      </c>
      <c r="B3250" s="10" t="n">
        <v>45635</v>
      </c>
      <c r="C3250" s="11" t="s">
        <v>3269</v>
      </c>
      <c r="D3250" s="1" t="s">
        <v>2901</v>
      </c>
      <c r="E3250" s="1" t="s">
        <v>20</v>
      </c>
      <c r="F3250" s="1" t="str">
        <f aca="false">TEXT(B3250,"mmm-yyyy")</f>
        <v>Dec-2024</v>
      </c>
    </row>
    <row r="3251" customFormat="false" ht="130.5" hidden="false" customHeight="true" outlineLevel="0" collapsed="false">
      <c r="A3251" s="1" t="n">
        <v>2</v>
      </c>
      <c r="B3251" s="10" t="n">
        <v>45631</v>
      </c>
      <c r="C3251" s="11" t="s">
        <v>3270</v>
      </c>
      <c r="D3251" s="1" t="s">
        <v>2901</v>
      </c>
      <c r="E3251" s="1" t="s">
        <v>18</v>
      </c>
      <c r="F3251" s="1" t="str">
        <f aca="false">TEXT(B3251,"mmm-yyyy")</f>
        <v>Dec-2024</v>
      </c>
    </row>
    <row r="3252" customFormat="false" ht="115.5" hidden="false" customHeight="true" outlineLevel="0" collapsed="false">
      <c r="A3252" s="1" t="n">
        <v>1</v>
      </c>
      <c r="B3252" s="10" t="n">
        <v>45629</v>
      </c>
      <c r="C3252" s="11" t="s">
        <v>3271</v>
      </c>
      <c r="D3252" s="1" t="s">
        <v>2901</v>
      </c>
      <c r="E3252" s="1" t="s">
        <v>20</v>
      </c>
      <c r="F3252" s="1" t="str">
        <f aca="false">TEXT(B3252,"mmm-yyyy")</f>
        <v>Dec-2024</v>
      </c>
    </row>
    <row r="3253" customFormat="false" ht="101.25" hidden="false" customHeight="true" outlineLevel="0" collapsed="false">
      <c r="A3253" s="1" t="n">
        <v>1</v>
      </c>
      <c r="B3253" s="10" t="n">
        <v>45656</v>
      </c>
      <c r="C3253" s="11" t="s">
        <v>3272</v>
      </c>
      <c r="D3253" s="1" t="s">
        <v>2901</v>
      </c>
      <c r="E3253" s="1" t="s">
        <v>32</v>
      </c>
      <c r="F3253" s="1" t="str">
        <f aca="false">TEXT(B3253,"mmm-yyyy")</f>
        <v>Dec-2024</v>
      </c>
    </row>
    <row r="3254" customFormat="false" ht="101.25" hidden="false" customHeight="true" outlineLevel="0" collapsed="false">
      <c r="A3254" s="1" t="n">
        <v>2</v>
      </c>
      <c r="B3254" s="10" t="n">
        <v>45636</v>
      </c>
      <c r="C3254" s="11" t="s">
        <v>3273</v>
      </c>
      <c r="D3254" s="1" t="s">
        <v>2901</v>
      </c>
      <c r="E3254" s="1" t="s">
        <v>18</v>
      </c>
      <c r="F3254" s="1" t="str">
        <f aca="false">TEXT(B3254,"mmm-yyyy")</f>
        <v>Dec-2024</v>
      </c>
    </row>
    <row r="3255" customFormat="false" ht="130.5" hidden="false" customHeight="true" outlineLevel="0" collapsed="false">
      <c r="A3255" s="1" t="n">
        <v>1</v>
      </c>
      <c r="B3255" s="10" t="n">
        <v>45634</v>
      </c>
      <c r="C3255" s="11" t="s">
        <v>3274</v>
      </c>
      <c r="D3255" s="1" t="s">
        <v>2901</v>
      </c>
      <c r="E3255" s="1" t="s">
        <v>20</v>
      </c>
      <c r="F3255" s="1" t="str">
        <f aca="false">TEXT(B3255,"mmm-yyyy")</f>
        <v>Dec-2024</v>
      </c>
    </row>
    <row r="3256" customFormat="false" ht="130.5" hidden="false" customHeight="true" outlineLevel="0" collapsed="false">
      <c r="A3256" s="1" t="n">
        <v>1</v>
      </c>
      <c r="B3256" s="10" t="n">
        <v>45629</v>
      </c>
      <c r="C3256" s="11" t="s">
        <v>3275</v>
      </c>
      <c r="D3256" s="1" t="s">
        <v>2901</v>
      </c>
      <c r="E3256" s="1" t="s">
        <v>18</v>
      </c>
      <c r="F3256" s="1" t="str">
        <f aca="false">TEXT(B3256,"mmm-yyyy")</f>
        <v>Dec-2024</v>
      </c>
    </row>
    <row r="3257" customFormat="false" ht="101.25" hidden="false" customHeight="true" outlineLevel="0" collapsed="false">
      <c r="A3257" s="1" t="n">
        <v>1</v>
      </c>
      <c r="B3257" s="10" t="n">
        <v>45629</v>
      </c>
      <c r="C3257" s="11" t="s">
        <v>3276</v>
      </c>
      <c r="D3257" s="1" t="s">
        <v>2901</v>
      </c>
      <c r="E3257" s="1" t="s">
        <v>18</v>
      </c>
      <c r="F3257" s="1" t="str">
        <f aca="false">TEXT(B3257,"mmm-yyyy")</f>
        <v>Dec-2024</v>
      </c>
    </row>
    <row r="3258" customFormat="false" ht="87" hidden="false" customHeight="true" outlineLevel="0" collapsed="false">
      <c r="A3258" s="1" t="n">
        <v>3</v>
      </c>
      <c r="B3258" s="10" t="n">
        <v>45636</v>
      </c>
      <c r="C3258" s="11" t="s">
        <v>3277</v>
      </c>
      <c r="D3258" s="1" t="s">
        <v>2901</v>
      </c>
      <c r="E3258" s="1" t="s">
        <v>20</v>
      </c>
      <c r="F3258" s="1" t="str">
        <f aca="false">TEXT(B3258,"mmm-yyyy")</f>
        <v>Dec-2024</v>
      </c>
    </row>
    <row r="3259" customFormat="false" ht="87" hidden="false" customHeight="true" outlineLevel="0" collapsed="false">
      <c r="A3259" s="1" t="n">
        <v>1</v>
      </c>
      <c r="B3259" s="10" t="n">
        <v>45633</v>
      </c>
      <c r="C3259" s="11" t="s">
        <v>3278</v>
      </c>
      <c r="D3259" s="1" t="s">
        <v>2901</v>
      </c>
      <c r="E3259" s="1" t="s">
        <v>20</v>
      </c>
      <c r="F3259" s="1" t="str">
        <f aca="false">TEXT(B3259,"mmm-yyyy")</f>
        <v>Dec-2024</v>
      </c>
    </row>
    <row r="3260" customFormat="false" ht="87" hidden="false" customHeight="true" outlineLevel="0" collapsed="false">
      <c r="A3260" s="1" t="n">
        <v>1</v>
      </c>
      <c r="B3260" s="10" t="n">
        <v>45635</v>
      </c>
      <c r="C3260" s="11" t="s">
        <v>3279</v>
      </c>
      <c r="D3260" s="1" t="s">
        <v>2901</v>
      </c>
      <c r="E3260" s="1" t="s">
        <v>20</v>
      </c>
      <c r="F3260" s="1" t="str">
        <f aca="false">TEXT(B3260,"mmm-yyyy")</f>
        <v>Dec-2024</v>
      </c>
    </row>
    <row r="3261" customFormat="false" ht="101.25" hidden="false" customHeight="true" outlineLevel="0" collapsed="false">
      <c r="A3261" s="1" t="n">
        <v>1</v>
      </c>
      <c r="B3261" s="10" t="n">
        <v>45630</v>
      </c>
      <c r="C3261" s="11" t="s">
        <v>3280</v>
      </c>
      <c r="D3261" s="1" t="s">
        <v>2901</v>
      </c>
      <c r="E3261" s="1" t="s">
        <v>20</v>
      </c>
      <c r="F3261" s="1" t="str">
        <f aca="false">TEXT(B3261,"mmm-yyyy")</f>
        <v>Dec-2024</v>
      </c>
    </row>
    <row r="3262" customFormat="false" ht="115.5" hidden="false" customHeight="true" outlineLevel="0" collapsed="false">
      <c r="A3262" s="1" t="n">
        <v>1</v>
      </c>
      <c r="B3262" s="10" t="n">
        <v>45633</v>
      </c>
      <c r="C3262" s="11" t="s">
        <v>3281</v>
      </c>
      <c r="D3262" s="1" t="s">
        <v>2901</v>
      </c>
      <c r="E3262" s="1" t="s">
        <v>20</v>
      </c>
      <c r="F3262" s="1" t="str">
        <f aca="false">TEXT(B3262,"mmm-yyyy")</f>
        <v>Dec-2024</v>
      </c>
    </row>
    <row r="3263" customFormat="false" ht="87" hidden="false" customHeight="true" outlineLevel="0" collapsed="false">
      <c r="A3263" s="1" t="n">
        <v>1</v>
      </c>
      <c r="B3263" s="10" t="n">
        <v>45637</v>
      </c>
      <c r="C3263" s="11" t="s">
        <v>3282</v>
      </c>
      <c r="D3263" s="1" t="s">
        <v>2901</v>
      </c>
      <c r="E3263" s="1" t="s">
        <v>20</v>
      </c>
      <c r="F3263" s="1" t="str">
        <f aca="false">TEXT(B3263,"mmm-yyyy")</f>
        <v>Dec-2024</v>
      </c>
    </row>
    <row r="3264" customFormat="false" ht="87" hidden="false" customHeight="true" outlineLevel="0" collapsed="false">
      <c r="A3264" s="1" t="n">
        <v>1</v>
      </c>
      <c r="B3264" s="10" t="n">
        <v>45628</v>
      </c>
      <c r="C3264" s="11" t="s">
        <v>3283</v>
      </c>
      <c r="D3264" s="1" t="s">
        <v>2901</v>
      </c>
      <c r="E3264" s="1" t="s">
        <v>20</v>
      </c>
      <c r="F3264" s="1" t="str">
        <f aca="false">TEXT(B3264,"mmm-yyyy")</f>
        <v>Dec-2024</v>
      </c>
    </row>
    <row r="3265" customFormat="false" ht="72" hidden="false" customHeight="true" outlineLevel="0" collapsed="false">
      <c r="A3265" s="1" t="n">
        <v>1</v>
      </c>
      <c r="B3265" s="10" t="n">
        <v>45631</v>
      </c>
      <c r="C3265" s="11" t="s">
        <v>3284</v>
      </c>
      <c r="D3265" s="1" t="s">
        <v>2901</v>
      </c>
      <c r="E3265" s="1" t="s">
        <v>18</v>
      </c>
      <c r="F3265" s="1" t="str">
        <f aca="false">TEXT(B3265,"mmm-yyyy")</f>
        <v>Dec-2024</v>
      </c>
    </row>
    <row r="3266" customFormat="false" ht="130.5" hidden="false" customHeight="true" outlineLevel="0" collapsed="false">
      <c r="A3266" s="1" t="n">
        <v>1</v>
      </c>
      <c r="B3266" s="10" t="n">
        <v>45628</v>
      </c>
      <c r="C3266" s="11" t="s">
        <v>3285</v>
      </c>
      <c r="D3266" s="1" t="s">
        <v>2901</v>
      </c>
      <c r="E3266" s="1" t="s">
        <v>18</v>
      </c>
      <c r="F3266" s="1" t="str">
        <f aca="false">TEXT(B3266,"mmm-yyyy")</f>
        <v>Dec-2024</v>
      </c>
    </row>
    <row r="3267" customFormat="false" ht="87" hidden="false" customHeight="true" outlineLevel="0" collapsed="false">
      <c r="A3267" s="1" t="n">
        <v>1</v>
      </c>
      <c r="B3267" s="10" t="n">
        <v>45634</v>
      </c>
      <c r="C3267" s="11" t="s">
        <v>3286</v>
      </c>
      <c r="D3267" s="1" t="s">
        <v>2901</v>
      </c>
      <c r="E3267" s="1" t="s">
        <v>20</v>
      </c>
      <c r="F3267" s="1" t="str">
        <f aca="false">TEXT(B3267,"mmm-yyyy")</f>
        <v>Dec-2024</v>
      </c>
    </row>
    <row r="3268" customFormat="false" ht="115.5" hidden="false" customHeight="true" outlineLevel="0" collapsed="false">
      <c r="A3268" s="1" t="n">
        <v>1</v>
      </c>
      <c r="B3268" s="10" t="n">
        <v>45634</v>
      </c>
      <c r="C3268" s="11" t="s">
        <v>3287</v>
      </c>
      <c r="D3268" s="1" t="s">
        <v>2901</v>
      </c>
      <c r="E3268" s="1" t="s">
        <v>18</v>
      </c>
      <c r="F3268" s="1" t="str">
        <f aca="false">TEXT(B3268,"mmm-yyyy")</f>
        <v>Dec-2024</v>
      </c>
    </row>
    <row r="3269" customFormat="false" ht="130.5" hidden="false" customHeight="true" outlineLevel="0" collapsed="false">
      <c r="A3269" s="1" t="n">
        <v>1</v>
      </c>
      <c r="B3269" s="10" t="n">
        <v>45635</v>
      </c>
      <c r="C3269" s="11" t="s">
        <v>3288</v>
      </c>
      <c r="D3269" s="1" t="s">
        <v>2901</v>
      </c>
      <c r="E3269" s="1" t="s">
        <v>20</v>
      </c>
      <c r="F3269" s="1" t="str">
        <f aca="false">TEXT(B3269,"mmm-yyyy")</f>
        <v>Dec-2024</v>
      </c>
    </row>
    <row r="3270" customFormat="false" ht="115.5" hidden="false" customHeight="true" outlineLevel="0" collapsed="false">
      <c r="A3270" s="1" t="n">
        <v>1</v>
      </c>
      <c r="B3270" s="10" t="n">
        <v>45634</v>
      </c>
      <c r="C3270" s="11" t="s">
        <v>3289</v>
      </c>
      <c r="D3270" s="1" t="s">
        <v>2901</v>
      </c>
      <c r="E3270" s="1" t="s">
        <v>20</v>
      </c>
      <c r="F3270" s="1" t="str">
        <f aca="false">TEXT(B3270,"mmm-yyyy")</f>
        <v>Dec-2024</v>
      </c>
    </row>
    <row r="3271" customFormat="false" ht="101.25" hidden="false" customHeight="true" outlineLevel="0" collapsed="false">
      <c r="A3271" s="1" t="n">
        <v>3</v>
      </c>
      <c r="B3271" s="10" t="n">
        <v>45629</v>
      </c>
      <c r="C3271" s="11" t="s">
        <v>3290</v>
      </c>
      <c r="D3271" s="1" t="s">
        <v>2901</v>
      </c>
      <c r="E3271" s="1" t="s">
        <v>20</v>
      </c>
      <c r="F3271" s="1" t="str">
        <f aca="false">TEXT(B3271,"mmm-yyyy")</f>
        <v>Dec-2024</v>
      </c>
    </row>
    <row r="3272" customFormat="false" ht="87" hidden="false" customHeight="true" outlineLevel="0" collapsed="false">
      <c r="A3272" s="1" t="n">
        <v>5</v>
      </c>
      <c r="B3272" s="10" t="n">
        <v>45633</v>
      </c>
      <c r="C3272" s="11" t="s">
        <v>3291</v>
      </c>
      <c r="D3272" s="1" t="s">
        <v>2901</v>
      </c>
      <c r="E3272" s="1" t="s">
        <v>18</v>
      </c>
      <c r="F3272" s="1" t="str">
        <f aca="false">TEXT(B3272,"mmm-yyyy")</f>
        <v>Dec-2024</v>
      </c>
    </row>
    <row r="3273" customFormat="false" ht="130.5" hidden="false" customHeight="true" outlineLevel="0" collapsed="false">
      <c r="A3273" s="1" t="n">
        <v>1</v>
      </c>
      <c r="B3273" s="10" t="n">
        <v>45630</v>
      </c>
      <c r="C3273" s="11" t="s">
        <v>3292</v>
      </c>
      <c r="D3273" s="1" t="s">
        <v>2901</v>
      </c>
      <c r="E3273" s="1" t="s">
        <v>20</v>
      </c>
      <c r="F3273" s="1" t="str">
        <f aca="false">TEXT(B3273,"mmm-yyyy")</f>
        <v>Dec-2024</v>
      </c>
    </row>
    <row r="3274" customFormat="false" ht="87" hidden="false" customHeight="true" outlineLevel="0" collapsed="false">
      <c r="A3274" s="1" t="n">
        <v>1</v>
      </c>
      <c r="B3274" s="10" t="n">
        <v>45643</v>
      </c>
      <c r="C3274" s="11" t="s">
        <v>3293</v>
      </c>
      <c r="D3274" s="1" t="s">
        <v>2901</v>
      </c>
      <c r="E3274" s="1" t="s">
        <v>20</v>
      </c>
      <c r="F3274" s="1" t="str">
        <f aca="false">TEXT(B3274,"mmm-yyyy")</f>
        <v>Dec-2024</v>
      </c>
    </row>
    <row r="3275" customFormat="false" ht="115.5" hidden="false" customHeight="true" outlineLevel="0" collapsed="false">
      <c r="A3275" s="1" t="n">
        <v>1</v>
      </c>
      <c r="B3275" s="10" t="n">
        <v>45636</v>
      </c>
      <c r="C3275" s="11" t="s">
        <v>3294</v>
      </c>
      <c r="D3275" s="1" t="s">
        <v>2901</v>
      </c>
      <c r="E3275" s="1" t="s">
        <v>20</v>
      </c>
      <c r="F3275" s="1" t="str">
        <f aca="false">TEXT(B3275,"mmm-yyyy")</f>
        <v>Dec-2024</v>
      </c>
    </row>
    <row r="3276" customFormat="false" ht="87" hidden="false" customHeight="true" outlineLevel="0" collapsed="false">
      <c r="A3276" s="1" t="n">
        <v>1</v>
      </c>
      <c r="B3276" s="10" t="n">
        <v>45629</v>
      </c>
      <c r="C3276" s="11" t="s">
        <v>3295</v>
      </c>
      <c r="D3276" s="1" t="s">
        <v>2901</v>
      </c>
      <c r="E3276" s="1" t="s">
        <v>20</v>
      </c>
      <c r="F3276" s="1" t="str">
        <f aca="false">TEXT(B3276,"mmm-yyyy")</f>
        <v>Dec-2024</v>
      </c>
    </row>
    <row r="3277" customFormat="false" ht="115.5" hidden="false" customHeight="true" outlineLevel="0" collapsed="false">
      <c r="A3277" s="1" t="n">
        <v>1</v>
      </c>
      <c r="B3277" s="10" t="n">
        <v>45634</v>
      </c>
      <c r="C3277" s="11" t="s">
        <v>3296</v>
      </c>
      <c r="D3277" s="1" t="s">
        <v>2901</v>
      </c>
      <c r="E3277" s="1" t="s">
        <v>20</v>
      </c>
      <c r="F3277" s="1" t="str">
        <f aca="false">TEXT(B3277,"mmm-yyyy")</f>
        <v>Dec-2024</v>
      </c>
    </row>
    <row r="3278" customFormat="false" ht="144.75" hidden="false" customHeight="true" outlineLevel="0" collapsed="false">
      <c r="A3278" s="1" t="n">
        <v>1</v>
      </c>
      <c r="B3278" s="10" t="n">
        <v>45633</v>
      </c>
      <c r="C3278" s="11" t="s">
        <v>3297</v>
      </c>
      <c r="D3278" s="1" t="s">
        <v>2901</v>
      </c>
      <c r="E3278" s="1" t="s">
        <v>20</v>
      </c>
      <c r="F3278" s="1" t="str">
        <f aca="false">TEXT(B3278,"mmm-yyyy")</f>
        <v>Dec-2024</v>
      </c>
    </row>
    <row r="3279" customFormat="false" ht="72" hidden="false" customHeight="true" outlineLevel="0" collapsed="false">
      <c r="A3279" s="1" t="n">
        <v>1</v>
      </c>
      <c r="B3279" s="10" t="n">
        <v>45628</v>
      </c>
      <c r="C3279" s="11" t="s">
        <v>3298</v>
      </c>
      <c r="D3279" s="1" t="s">
        <v>2901</v>
      </c>
      <c r="E3279" s="1" t="s">
        <v>20</v>
      </c>
      <c r="F3279" s="1" t="str">
        <f aca="false">TEXT(B3279,"mmm-yyyy")</f>
        <v>Dec-2024</v>
      </c>
    </row>
    <row r="3280" customFormat="false" ht="87" hidden="false" customHeight="true" outlineLevel="0" collapsed="false">
      <c r="A3280" s="1" t="n">
        <v>4</v>
      </c>
      <c r="B3280" s="10" t="n">
        <v>45635</v>
      </c>
      <c r="C3280" s="11" t="s">
        <v>3299</v>
      </c>
      <c r="D3280" s="1" t="s">
        <v>2901</v>
      </c>
      <c r="E3280" s="1" t="s">
        <v>32</v>
      </c>
      <c r="F3280" s="1" t="str">
        <f aca="false">TEXT(B3280,"mmm-yyyy")</f>
        <v>Dec-2024</v>
      </c>
    </row>
    <row r="3281" customFormat="false" ht="87" hidden="false" customHeight="true" outlineLevel="0" collapsed="false">
      <c r="A3281" s="1" t="n">
        <v>1</v>
      </c>
      <c r="B3281" s="10" t="n">
        <v>45634</v>
      </c>
      <c r="C3281" s="11" t="s">
        <v>3300</v>
      </c>
      <c r="D3281" s="1" t="s">
        <v>2901</v>
      </c>
      <c r="E3281" s="1" t="s">
        <v>20</v>
      </c>
      <c r="F3281" s="1" t="str">
        <f aca="false">TEXT(B3281,"mmm-yyyy")</f>
        <v>Dec-2024</v>
      </c>
    </row>
    <row r="3282" customFormat="false" ht="115.5" hidden="false" customHeight="true" outlineLevel="0" collapsed="false">
      <c r="A3282" s="1" t="n">
        <v>1</v>
      </c>
      <c r="B3282" s="10" t="n">
        <v>45629</v>
      </c>
      <c r="C3282" s="11" t="s">
        <v>3301</v>
      </c>
      <c r="D3282" s="1" t="s">
        <v>2901</v>
      </c>
      <c r="E3282" s="1" t="s">
        <v>18</v>
      </c>
      <c r="F3282" s="1" t="str">
        <f aca="false">TEXT(B3282,"mmm-yyyy")</f>
        <v>Dec-2024</v>
      </c>
    </row>
    <row r="3283" customFormat="false" ht="130.5" hidden="false" customHeight="true" outlineLevel="0" collapsed="false">
      <c r="A3283" s="1" t="n">
        <v>1</v>
      </c>
      <c r="B3283" s="10" t="n">
        <v>45633</v>
      </c>
      <c r="C3283" s="11" t="s">
        <v>3302</v>
      </c>
      <c r="D3283" s="1" t="s">
        <v>2901</v>
      </c>
      <c r="E3283" s="1" t="s">
        <v>18</v>
      </c>
      <c r="F3283" s="1" t="str">
        <f aca="false">TEXT(B3283,"mmm-yyyy")</f>
        <v>Dec-2024</v>
      </c>
    </row>
    <row r="3284" customFormat="false" ht="72" hidden="false" customHeight="true" outlineLevel="0" collapsed="false">
      <c r="A3284" s="1" t="n">
        <v>1</v>
      </c>
      <c r="B3284" s="10" t="n">
        <v>45631</v>
      </c>
      <c r="C3284" s="11" t="s">
        <v>3303</v>
      </c>
      <c r="D3284" s="1" t="s">
        <v>2901</v>
      </c>
      <c r="E3284" s="1" t="s">
        <v>20</v>
      </c>
      <c r="F3284" s="1" t="str">
        <f aca="false">TEXT(B3284,"mmm-yyyy")</f>
        <v>Dec-2024</v>
      </c>
    </row>
    <row r="3285" customFormat="false" ht="115.5" hidden="false" customHeight="true" outlineLevel="0" collapsed="false">
      <c r="A3285" s="1" t="n">
        <v>1</v>
      </c>
      <c r="B3285" s="10" t="n">
        <v>45638</v>
      </c>
      <c r="C3285" s="11" t="s">
        <v>3304</v>
      </c>
      <c r="D3285" s="1" t="s">
        <v>2901</v>
      </c>
      <c r="E3285" s="1" t="s">
        <v>20</v>
      </c>
      <c r="F3285" s="1" t="str">
        <f aca="false">TEXT(B3285,"mmm-yyyy")</f>
        <v>Dec-2024</v>
      </c>
    </row>
    <row r="3286" customFormat="false" ht="72" hidden="false" customHeight="true" outlineLevel="0" collapsed="false">
      <c r="A3286" s="1" t="n">
        <v>1</v>
      </c>
      <c r="B3286" s="10" t="n">
        <v>45634</v>
      </c>
      <c r="C3286" s="11" t="s">
        <v>3305</v>
      </c>
      <c r="D3286" s="1" t="s">
        <v>2901</v>
      </c>
      <c r="E3286" s="1" t="s">
        <v>20</v>
      </c>
      <c r="F3286" s="1" t="str">
        <f aca="false">TEXT(B3286,"mmm-yyyy")</f>
        <v>Dec-2024</v>
      </c>
    </row>
    <row r="3287" customFormat="false" ht="101.25" hidden="false" customHeight="true" outlineLevel="0" collapsed="false">
      <c r="A3287" s="1" t="n">
        <v>1</v>
      </c>
      <c r="B3287" s="10" t="n">
        <v>45634</v>
      </c>
      <c r="C3287" s="11" t="s">
        <v>3306</v>
      </c>
      <c r="D3287" s="1" t="s">
        <v>2901</v>
      </c>
      <c r="E3287" s="1" t="s">
        <v>18</v>
      </c>
      <c r="F3287" s="1" t="str">
        <f aca="false">TEXT(B3287,"mmm-yyyy")</f>
        <v>Dec-2024</v>
      </c>
    </row>
    <row r="3288" customFormat="false" ht="130.5" hidden="false" customHeight="true" outlineLevel="0" collapsed="false">
      <c r="A3288" s="1" t="n">
        <v>1</v>
      </c>
      <c r="B3288" s="10" t="n">
        <v>45629</v>
      </c>
      <c r="C3288" s="11" t="s">
        <v>3307</v>
      </c>
      <c r="D3288" s="1" t="s">
        <v>2901</v>
      </c>
      <c r="E3288" s="1" t="s">
        <v>20</v>
      </c>
      <c r="F3288" s="1" t="str">
        <f aca="false">TEXT(B3288,"mmm-yyyy")</f>
        <v>Dec-2024</v>
      </c>
    </row>
    <row r="3289" customFormat="false" ht="72" hidden="false" customHeight="true" outlineLevel="0" collapsed="false">
      <c r="A3289" s="1" t="n">
        <v>1</v>
      </c>
      <c r="B3289" s="10" t="n">
        <v>45632</v>
      </c>
      <c r="C3289" s="11" t="s">
        <v>3308</v>
      </c>
      <c r="D3289" s="1" t="s">
        <v>2901</v>
      </c>
      <c r="E3289" s="1" t="s">
        <v>20</v>
      </c>
      <c r="F3289" s="1" t="str">
        <f aca="false">TEXT(B3289,"mmm-yyyy")</f>
        <v>Dec-2024</v>
      </c>
    </row>
    <row r="3290" customFormat="false" ht="101.25" hidden="false" customHeight="true" outlineLevel="0" collapsed="false">
      <c r="A3290" s="1" t="n">
        <v>1</v>
      </c>
      <c r="B3290" s="10" t="n">
        <v>45654</v>
      </c>
      <c r="C3290" s="11" t="s">
        <v>3309</v>
      </c>
      <c r="D3290" s="1" t="s">
        <v>2901</v>
      </c>
      <c r="E3290" s="1" t="s">
        <v>20</v>
      </c>
      <c r="F3290" s="1" t="str">
        <f aca="false">TEXT(B3290,"mmm-yyyy")</f>
        <v>Dec-2024</v>
      </c>
    </row>
    <row r="3291" customFormat="false" ht="72" hidden="false" customHeight="true" outlineLevel="0" collapsed="false">
      <c r="A3291" s="1" t="n">
        <v>1</v>
      </c>
      <c r="B3291" s="10" t="n">
        <v>45635</v>
      </c>
      <c r="C3291" s="11" t="s">
        <v>3310</v>
      </c>
      <c r="D3291" s="1" t="s">
        <v>2901</v>
      </c>
      <c r="E3291" s="1" t="s">
        <v>18</v>
      </c>
      <c r="F3291" s="1" t="str">
        <f aca="false">TEXT(B3291,"mmm-yyyy")</f>
        <v>Dec-2024</v>
      </c>
    </row>
    <row r="3292" customFormat="false" ht="72" hidden="false" customHeight="true" outlineLevel="0" collapsed="false">
      <c r="A3292" s="1" t="n">
        <v>1</v>
      </c>
      <c r="B3292" s="10" t="n">
        <v>45633</v>
      </c>
      <c r="C3292" s="11" t="s">
        <v>3311</v>
      </c>
      <c r="D3292" s="1" t="s">
        <v>2901</v>
      </c>
      <c r="E3292" s="1" t="s">
        <v>18</v>
      </c>
      <c r="F3292" s="1" t="str">
        <f aca="false">TEXT(B3292,"mmm-yyyy")</f>
        <v>Dec-2024</v>
      </c>
    </row>
    <row r="3293" customFormat="false" ht="72" hidden="false" customHeight="true" outlineLevel="0" collapsed="false">
      <c r="A3293" s="1" t="n">
        <v>4</v>
      </c>
      <c r="B3293" s="10" t="n">
        <v>45631</v>
      </c>
      <c r="C3293" s="11" t="s">
        <v>3312</v>
      </c>
      <c r="D3293" s="1" t="s">
        <v>2901</v>
      </c>
      <c r="E3293" s="1" t="s">
        <v>18</v>
      </c>
      <c r="F3293" s="1" t="str">
        <f aca="false">TEXT(B3293,"mmm-yyyy")</f>
        <v>Dec-2024</v>
      </c>
    </row>
    <row r="3294" customFormat="false" ht="101.25" hidden="false" customHeight="true" outlineLevel="0" collapsed="false">
      <c r="A3294" s="1" t="n">
        <v>5</v>
      </c>
      <c r="B3294" s="10" t="n">
        <v>45635</v>
      </c>
      <c r="C3294" s="11" t="s">
        <v>3313</v>
      </c>
      <c r="D3294" s="1" t="s">
        <v>2901</v>
      </c>
      <c r="E3294" s="1" t="s">
        <v>18</v>
      </c>
      <c r="F3294" s="1" t="str">
        <f aca="false">TEXT(B3294,"mmm-yyyy")</f>
        <v>Dec-2024</v>
      </c>
    </row>
    <row r="3295" customFormat="false" ht="130.5" hidden="false" customHeight="true" outlineLevel="0" collapsed="false">
      <c r="A3295" s="1" t="n">
        <v>1</v>
      </c>
      <c r="B3295" s="10" t="n">
        <v>45635</v>
      </c>
      <c r="C3295" s="11" t="s">
        <v>3314</v>
      </c>
      <c r="D3295" s="1" t="s">
        <v>2901</v>
      </c>
      <c r="E3295" s="1" t="s">
        <v>18</v>
      </c>
      <c r="F3295" s="1" t="str">
        <f aca="false">TEXT(B3295,"mmm-yyyy")</f>
        <v>Dec-2024</v>
      </c>
    </row>
    <row r="3296" customFormat="false" ht="87" hidden="false" customHeight="true" outlineLevel="0" collapsed="false">
      <c r="A3296" s="1" t="n">
        <v>1</v>
      </c>
      <c r="B3296" s="10" t="n">
        <v>45635</v>
      </c>
      <c r="C3296" s="11" t="s">
        <v>3315</v>
      </c>
      <c r="D3296" s="1" t="s">
        <v>2901</v>
      </c>
      <c r="E3296" s="1" t="s">
        <v>18</v>
      </c>
      <c r="F3296" s="1" t="str">
        <f aca="false">TEXT(B3296,"mmm-yyyy")</f>
        <v>Dec-2024</v>
      </c>
    </row>
    <row r="3297" customFormat="false" ht="115.5" hidden="false" customHeight="true" outlineLevel="0" collapsed="false">
      <c r="A3297" s="1" t="n">
        <v>1</v>
      </c>
      <c r="B3297" s="10" t="n">
        <v>45634</v>
      </c>
      <c r="C3297" s="11" t="s">
        <v>3316</v>
      </c>
      <c r="D3297" s="1" t="s">
        <v>2901</v>
      </c>
      <c r="E3297" s="1" t="s">
        <v>18</v>
      </c>
      <c r="F3297" s="1" t="str">
        <f aca="false">TEXT(B3297,"mmm-yyyy")</f>
        <v>Dec-2024</v>
      </c>
    </row>
    <row r="3298" customFormat="false" ht="144.75" hidden="false" customHeight="true" outlineLevel="0" collapsed="false">
      <c r="A3298" s="1" t="n">
        <v>1</v>
      </c>
      <c r="B3298" s="10" t="n">
        <v>45636</v>
      </c>
      <c r="C3298" s="11" t="s">
        <v>3317</v>
      </c>
      <c r="D3298" s="1" t="s">
        <v>2901</v>
      </c>
      <c r="E3298" s="1" t="s">
        <v>18</v>
      </c>
      <c r="F3298" s="1" t="str">
        <f aca="false">TEXT(B3298,"mmm-yyyy")</f>
        <v>Dec-2024</v>
      </c>
    </row>
    <row r="3299" customFormat="false" ht="72" hidden="false" customHeight="true" outlineLevel="0" collapsed="false">
      <c r="A3299" s="1" t="n">
        <v>1</v>
      </c>
      <c r="B3299" s="10" t="n">
        <v>45631</v>
      </c>
      <c r="C3299" s="11" t="s">
        <v>3318</v>
      </c>
      <c r="D3299" s="1" t="s">
        <v>2901</v>
      </c>
      <c r="E3299" s="1" t="s">
        <v>20</v>
      </c>
      <c r="F3299" s="1" t="str">
        <f aca="false">TEXT(B3299,"mmm-yyyy")</f>
        <v>Dec-2024</v>
      </c>
    </row>
    <row r="3300" customFormat="false" ht="72" hidden="false" customHeight="true" outlineLevel="0" collapsed="false">
      <c r="A3300" s="1" t="n">
        <v>1</v>
      </c>
      <c r="B3300" s="10" t="n">
        <v>45639</v>
      </c>
      <c r="C3300" s="11" t="s">
        <v>3319</v>
      </c>
      <c r="D3300" s="1" t="s">
        <v>2901</v>
      </c>
      <c r="E3300" s="1" t="s">
        <v>20</v>
      </c>
      <c r="F3300" s="1" t="str">
        <f aca="false">TEXT(B3300,"mmm-yyyy")</f>
        <v>Dec-2024</v>
      </c>
    </row>
    <row r="3301" customFormat="false" ht="130.5" hidden="false" customHeight="true" outlineLevel="0" collapsed="false">
      <c r="A3301" s="1" t="n">
        <v>1</v>
      </c>
      <c r="B3301" s="10" t="n">
        <v>45641</v>
      </c>
      <c r="C3301" s="11" t="s">
        <v>3320</v>
      </c>
      <c r="D3301" s="1" t="s">
        <v>2901</v>
      </c>
      <c r="E3301" s="1" t="s">
        <v>18</v>
      </c>
      <c r="F3301" s="1" t="str">
        <f aca="false">TEXT(B3301,"mmm-yyyy")</f>
        <v>Dec-2024</v>
      </c>
    </row>
    <row r="3302" customFormat="false" ht="101.25" hidden="false" customHeight="true" outlineLevel="0" collapsed="false">
      <c r="A3302" s="1" t="n">
        <v>1</v>
      </c>
      <c r="B3302" s="10" t="n">
        <v>45650</v>
      </c>
      <c r="C3302" s="11" t="s">
        <v>3321</v>
      </c>
      <c r="D3302" s="1" t="s">
        <v>2901</v>
      </c>
      <c r="E3302" s="1" t="s">
        <v>18</v>
      </c>
      <c r="F3302" s="1" t="str">
        <f aca="false">TEXT(B3302,"mmm-yyyy")</f>
        <v>Dec-2024</v>
      </c>
    </row>
    <row r="3303" customFormat="false" ht="72" hidden="false" customHeight="true" outlineLevel="0" collapsed="false">
      <c r="A3303" s="1" t="n">
        <v>1</v>
      </c>
      <c r="B3303" s="10" t="n">
        <v>45630</v>
      </c>
      <c r="C3303" s="11" t="s">
        <v>3322</v>
      </c>
      <c r="D3303" s="1" t="s">
        <v>2901</v>
      </c>
      <c r="E3303" s="1" t="s">
        <v>20</v>
      </c>
      <c r="F3303" s="1" t="str">
        <f aca="false">TEXT(B3303,"mmm-yyyy")</f>
        <v>Dec-2024</v>
      </c>
    </row>
    <row r="3304" customFormat="false" ht="72" hidden="false" customHeight="true" outlineLevel="0" collapsed="false">
      <c r="A3304" s="1" t="n">
        <v>1</v>
      </c>
      <c r="B3304" s="10" t="n">
        <v>45655</v>
      </c>
      <c r="C3304" s="11" t="s">
        <v>3323</v>
      </c>
      <c r="D3304" s="1" t="s">
        <v>2901</v>
      </c>
      <c r="E3304" s="1" t="s">
        <v>18</v>
      </c>
      <c r="F3304" s="1" t="str">
        <f aca="false">TEXT(B3304,"mmm-yyyy")</f>
        <v>Dec-2024</v>
      </c>
    </row>
    <row r="3305" customFormat="false" ht="72" hidden="false" customHeight="true" outlineLevel="0" collapsed="false">
      <c r="A3305" s="1" t="n">
        <v>1</v>
      </c>
      <c r="B3305" s="10" t="n">
        <v>45639</v>
      </c>
      <c r="C3305" s="11" t="s">
        <v>3324</v>
      </c>
      <c r="D3305" s="1" t="s">
        <v>2901</v>
      </c>
      <c r="E3305" s="1" t="s">
        <v>20</v>
      </c>
      <c r="F3305" s="1" t="str">
        <f aca="false">TEXT(B3305,"mmm-yyyy")</f>
        <v>Dec-2024</v>
      </c>
    </row>
    <row r="3306" customFormat="false" ht="130.5" hidden="false" customHeight="true" outlineLevel="0" collapsed="false">
      <c r="A3306" s="1" t="n">
        <v>1</v>
      </c>
      <c r="B3306" s="10" t="n">
        <v>45654</v>
      </c>
      <c r="C3306" s="11" t="s">
        <v>3325</v>
      </c>
      <c r="D3306" s="1" t="s">
        <v>2901</v>
      </c>
      <c r="E3306" s="1" t="s">
        <v>18</v>
      </c>
      <c r="F3306" s="1" t="str">
        <f aca="false">TEXT(B3306,"mmm-yyyy")</f>
        <v>Dec-2024</v>
      </c>
    </row>
    <row r="3307" customFormat="false" ht="101.25" hidden="false" customHeight="true" outlineLevel="0" collapsed="false">
      <c r="A3307" s="1" t="n">
        <v>1</v>
      </c>
      <c r="B3307" s="10" t="n">
        <v>45635</v>
      </c>
      <c r="C3307" s="11" t="s">
        <v>3326</v>
      </c>
      <c r="D3307" s="1" t="s">
        <v>2901</v>
      </c>
      <c r="E3307" s="1" t="s">
        <v>20</v>
      </c>
      <c r="F3307" s="1" t="str">
        <f aca="false">TEXT(B3307,"mmm-yyyy")</f>
        <v>Dec-2024</v>
      </c>
    </row>
    <row r="3308" customFormat="false" ht="87" hidden="false" customHeight="true" outlineLevel="0" collapsed="false">
      <c r="A3308" s="1" t="n">
        <v>1</v>
      </c>
      <c r="B3308" s="10" t="n">
        <v>45632</v>
      </c>
      <c r="C3308" s="11" t="s">
        <v>3327</v>
      </c>
      <c r="D3308" s="1" t="s">
        <v>2901</v>
      </c>
      <c r="E3308" s="1" t="s">
        <v>20</v>
      </c>
      <c r="F3308" s="1" t="str">
        <f aca="false">TEXT(B3308,"mmm-yyyy")</f>
        <v>Dec-2024</v>
      </c>
    </row>
    <row r="3309" customFormat="false" ht="57.75" hidden="false" customHeight="true" outlineLevel="0" collapsed="false">
      <c r="A3309" s="1" t="n">
        <v>1</v>
      </c>
      <c r="B3309" s="10" t="n">
        <v>45652</v>
      </c>
      <c r="C3309" s="11" t="s">
        <v>3328</v>
      </c>
      <c r="D3309" s="1" t="s">
        <v>2901</v>
      </c>
      <c r="E3309" s="1" t="s">
        <v>20</v>
      </c>
      <c r="F3309" s="1" t="str">
        <f aca="false">TEXT(B3309,"mmm-yyyy")</f>
        <v>Dec-2024</v>
      </c>
    </row>
    <row r="3310" customFormat="false" ht="57.75" hidden="false" customHeight="true" outlineLevel="0" collapsed="false">
      <c r="A3310" s="1" t="n">
        <v>1</v>
      </c>
      <c r="B3310" s="10" t="n">
        <v>45639</v>
      </c>
      <c r="C3310" s="11" t="s">
        <v>3329</v>
      </c>
      <c r="D3310" s="1" t="s">
        <v>2901</v>
      </c>
      <c r="E3310" s="1" t="s">
        <v>20</v>
      </c>
      <c r="F3310" s="1" t="str">
        <f aca="false">TEXT(B3310,"mmm-yyyy")</f>
        <v>Dec-2024</v>
      </c>
    </row>
    <row r="3311" customFormat="false" ht="43.5" hidden="false" customHeight="true" outlineLevel="0" collapsed="false">
      <c r="A3311" s="1" t="n">
        <v>1</v>
      </c>
      <c r="B3311" s="10" t="n">
        <v>45651</v>
      </c>
      <c r="C3311" s="11" t="s">
        <v>3330</v>
      </c>
      <c r="D3311" s="1" t="s">
        <v>2901</v>
      </c>
      <c r="E3311" s="1" t="s">
        <v>20</v>
      </c>
      <c r="F3311" s="1" t="str">
        <f aca="false">TEXT(B3311,"mmm-yyyy")</f>
        <v>Dec-2024</v>
      </c>
    </row>
    <row r="3312" customFormat="false" ht="130.5" hidden="false" customHeight="true" outlineLevel="0" collapsed="false">
      <c r="A3312" s="1" t="n">
        <v>1</v>
      </c>
      <c r="B3312" s="10" t="n">
        <v>45643</v>
      </c>
      <c r="C3312" s="11" t="s">
        <v>3331</v>
      </c>
      <c r="D3312" s="1" t="s">
        <v>2901</v>
      </c>
      <c r="E3312" s="1" t="s">
        <v>20</v>
      </c>
      <c r="F3312" s="1" t="str">
        <f aca="false">TEXT(B3312,"mmm-yyyy")</f>
        <v>Dec-2024</v>
      </c>
    </row>
    <row r="3313" customFormat="false" ht="87" hidden="false" customHeight="true" outlineLevel="0" collapsed="false">
      <c r="A3313" s="1" t="n">
        <v>5</v>
      </c>
      <c r="B3313" s="10" t="n">
        <v>45634</v>
      </c>
      <c r="C3313" s="11" t="s">
        <v>3332</v>
      </c>
      <c r="D3313" s="1" t="s">
        <v>2901</v>
      </c>
      <c r="E3313" s="1" t="s">
        <v>18</v>
      </c>
      <c r="F3313" s="1" t="str">
        <f aca="false">TEXT(B3313,"mmm-yyyy")</f>
        <v>Dec-2024</v>
      </c>
    </row>
    <row r="3314" customFormat="false" ht="87" hidden="false" customHeight="true" outlineLevel="0" collapsed="false">
      <c r="A3314" s="1" t="n">
        <v>1</v>
      </c>
      <c r="B3314" s="10" t="n">
        <v>45638</v>
      </c>
      <c r="C3314" s="11" t="s">
        <v>3333</v>
      </c>
      <c r="D3314" s="1" t="s">
        <v>2901</v>
      </c>
      <c r="E3314" s="1" t="s">
        <v>18</v>
      </c>
      <c r="F3314" s="1" t="str">
        <f aca="false">TEXT(B3314,"mmm-yyyy")</f>
        <v>Dec-2024</v>
      </c>
    </row>
    <row r="3315" customFormat="false" ht="57.75" hidden="false" customHeight="true" outlineLevel="0" collapsed="false">
      <c r="A3315" s="1" t="n">
        <v>1</v>
      </c>
      <c r="B3315" s="10" t="n">
        <v>45649</v>
      </c>
      <c r="C3315" s="11" t="s">
        <v>3334</v>
      </c>
      <c r="D3315" s="1" t="s">
        <v>2901</v>
      </c>
      <c r="E3315" s="1" t="s">
        <v>20</v>
      </c>
      <c r="F3315" s="1" t="str">
        <f aca="false">TEXT(B3315,"mmm-yyyy")</f>
        <v>Dec-2024</v>
      </c>
    </row>
    <row r="3316" customFormat="false" ht="101.25" hidden="false" customHeight="true" outlineLevel="0" collapsed="false">
      <c r="A3316" s="1" t="n">
        <v>1</v>
      </c>
      <c r="B3316" s="10" t="n">
        <v>45592</v>
      </c>
      <c r="C3316" s="11" t="s">
        <v>3335</v>
      </c>
      <c r="D3316" s="1" t="s">
        <v>2901</v>
      </c>
      <c r="E3316" s="1" t="s">
        <v>20</v>
      </c>
      <c r="F3316" s="1" t="str">
        <f aca="false">TEXT(B3316,"mmm-yyyy")</f>
        <v>Oct-2024</v>
      </c>
    </row>
    <row r="3317" customFormat="false" ht="101.25" hidden="false" customHeight="true" outlineLevel="0" collapsed="false">
      <c r="A3317" s="1" t="n">
        <v>1</v>
      </c>
      <c r="B3317" s="10" t="n">
        <v>45648</v>
      </c>
      <c r="C3317" s="11" t="s">
        <v>3336</v>
      </c>
      <c r="D3317" s="1" t="s">
        <v>2901</v>
      </c>
      <c r="E3317" s="1" t="s">
        <v>20</v>
      </c>
      <c r="F3317" s="1" t="str">
        <f aca="false">TEXT(B3317,"mmm-yyyy")</f>
        <v>Dec-2024</v>
      </c>
    </row>
    <row r="3318" customFormat="false" ht="72" hidden="false" customHeight="true" outlineLevel="0" collapsed="false">
      <c r="A3318" s="1" t="n">
        <v>1</v>
      </c>
      <c r="B3318" s="10" t="n">
        <v>45636</v>
      </c>
      <c r="C3318" s="11" t="s">
        <v>3337</v>
      </c>
      <c r="D3318" s="1" t="s">
        <v>2901</v>
      </c>
      <c r="E3318" s="1" t="s">
        <v>18</v>
      </c>
      <c r="F3318" s="1" t="str">
        <f aca="false">TEXT(B3318,"mmm-yyyy")</f>
        <v>Dec-2024</v>
      </c>
    </row>
    <row r="3319" customFormat="false" ht="72" hidden="false" customHeight="true" outlineLevel="0" collapsed="false">
      <c r="A3319" s="1" t="n">
        <v>1</v>
      </c>
      <c r="B3319" s="10" t="n">
        <v>45639</v>
      </c>
      <c r="C3319" s="11" t="s">
        <v>3338</v>
      </c>
      <c r="D3319" s="1" t="s">
        <v>2901</v>
      </c>
      <c r="E3319" s="1" t="s">
        <v>18</v>
      </c>
      <c r="F3319" s="1" t="str">
        <f aca="false">TEXT(B3319,"mmm-yyyy")</f>
        <v>Dec-2024</v>
      </c>
    </row>
    <row r="3320" customFormat="false" ht="101.25" hidden="false" customHeight="true" outlineLevel="0" collapsed="false">
      <c r="A3320" s="1" t="n">
        <v>4</v>
      </c>
      <c r="B3320" s="10" t="n">
        <v>45630</v>
      </c>
      <c r="C3320" s="11" t="s">
        <v>3339</v>
      </c>
      <c r="D3320" s="1" t="s">
        <v>2901</v>
      </c>
      <c r="E3320" s="1" t="s">
        <v>18</v>
      </c>
      <c r="F3320" s="1" t="str">
        <f aca="false">TEXT(B3320,"mmm-yyyy")</f>
        <v>Dec-2024</v>
      </c>
    </row>
    <row r="3321" customFormat="false" ht="72" hidden="false" customHeight="true" outlineLevel="0" collapsed="false">
      <c r="A3321" s="1" t="n">
        <v>1</v>
      </c>
      <c r="B3321" s="10" t="n">
        <v>45651</v>
      </c>
      <c r="C3321" s="11" t="s">
        <v>3340</v>
      </c>
      <c r="D3321" s="1" t="s">
        <v>2901</v>
      </c>
      <c r="E3321" s="1" t="s">
        <v>20</v>
      </c>
      <c r="F3321" s="1" t="str">
        <f aca="false">TEXT(B3321,"mmm-yyyy")</f>
        <v>Dec-2024</v>
      </c>
    </row>
    <row r="3322" customFormat="false" ht="144.75" hidden="false" customHeight="true" outlineLevel="0" collapsed="false">
      <c r="A3322" s="1" t="n">
        <v>1</v>
      </c>
      <c r="B3322" s="10" t="n">
        <v>45646</v>
      </c>
      <c r="C3322" s="11" t="s">
        <v>3341</v>
      </c>
      <c r="D3322" s="1" t="s">
        <v>2901</v>
      </c>
      <c r="E3322" s="1" t="s">
        <v>20</v>
      </c>
      <c r="F3322" s="1" t="str">
        <f aca="false">TEXT(B3322,"mmm-yyyy")</f>
        <v>Dec-2024</v>
      </c>
    </row>
    <row r="3323" customFormat="false" ht="72" hidden="false" customHeight="true" outlineLevel="0" collapsed="false">
      <c r="A3323" s="1" t="n">
        <v>1</v>
      </c>
      <c r="B3323" s="10" t="n">
        <v>45651</v>
      </c>
      <c r="C3323" s="11" t="s">
        <v>3342</v>
      </c>
      <c r="D3323" s="1" t="s">
        <v>2901</v>
      </c>
      <c r="E3323" s="1" t="s">
        <v>18</v>
      </c>
      <c r="F3323" s="1" t="str">
        <f aca="false">TEXT(B3323,"mmm-yyyy")</f>
        <v>Dec-2024</v>
      </c>
    </row>
    <row r="3324" customFormat="false" ht="72" hidden="false" customHeight="true" outlineLevel="0" collapsed="false">
      <c r="A3324" s="1" t="n">
        <v>4</v>
      </c>
      <c r="B3324" s="10" t="n">
        <v>45649</v>
      </c>
      <c r="C3324" s="11" t="s">
        <v>3343</v>
      </c>
      <c r="D3324" s="1" t="s">
        <v>2901</v>
      </c>
      <c r="E3324" s="1" t="s">
        <v>20</v>
      </c>
      <c r="F3324" s="1" t="str">
        <f aca="false">TEXT(B3324,"mmm-yyyy")</f>
        <v>Dec-2024</v>
      </c>
    </row>
    <row r="3325" customFormat="false" ht="57.75" hidden="false" customHeight="true" outlineLevel="0" collapsed="false">
      <c r="A3325" s="1" t="n">
        <v>1</v>
      </c>
      <c r="B3325" s="10" t="n">
        <v>45646</v>
      </c>
      <c r="C3325" s="11" t="s">
        <v>3344</v>
      </c>
      <c r="D3325" s="1" t="s">
        <v>2901</v>
      </c>
      <c r="E3325" s="1" t="s">
        <v>20</v>
      </c>
      <c r="F3325" s="1" t="str">
        <f aca="false">TEXT(B3325,"mmm-yyyy")</f>
        <v>Dec-2024</v>
      </c>
    </row>
    <row r="3326" customFormat="false" ht="115.5" hidden="false" customHeight="true" outlineLevel="0" collapsed="false">
      <c r="A3326" s="1" t="n">
        <v>1</v>
      </c>
      <c r="B3326" s="10" t="n">
        <v>45619</v>
      </c>
      <c r="C3326" s="11" t="s">
        <v>3345</v>
      </c>
      <c r="D3326" s="1" t="s">
        <v>2901</v>
      </c>
      <c r="E3326" s="1" t="s">
        <v>20</v>
      </c>
      <c r="F3326" s="1" t="str">
        <f aca="false">TEXT(B3326,"mmm-yyyy")</f>
        <v>Nov-2024</v>
      </c>
    </row>
    <row r="3327" customFormat="false" ht="130.5" hidden="false" customHeight="true" outlineLevel="0" collapsed="false">
      <c r="A3327" s="1" t="n">
        <v>2</v>
      </c>
      <c r="B3327" s="10" t="n">
        <v>45633</v>
      </c>
      <c r="C3327" s="11" t="s">
        <v>3346</v>
      </c>
      <c r="D3327" s="1" t="s">
        <v>2901</v>
      </c>
      <c r="E3327" s="1" t="s">
        <v>18</v>
      </c>
      <c r="F3327" s="1" t="str">
        <f aca="false">TEXT(B3327,"mmm-yyyy")</f>
        <v>Dec-2024</v>
      </c>
    </row>
    <row r="3328" customFormat="false" ht="115.5" hidden="false" customHeight="true" outlineLevel="0" collapsed="false">
      <c r="A3328" s="1" t="n">
        <v>1</v>
      </c>
      <c r="B3328" s="10" t="n">
        <v>45655</v>
      </c>
      <c r="C3328" s="11" t="s">
        <v>3347</v>
      </c>
      <c r="D3328" s="1" t="s">
        <v>2901</v>
      </c>
      <c r="E3328" s="1" t="s">
        <v>20</v>
      </c>
      <c r="F3328" s="1" t="str">
        <f aca="false">TEXT(B3328,"mmm-yyyy")</f>
        <v>Dec-2024</v>
      </c>
    </row>
    <row r="3329" customFormat="false" ht="87" hidden="false" customHeight="true" outlineLevel="0" collapsed="false">
      <c r="A3329" s="1" t="n">
        <v>1</v>
      </c>
      <c r="B3329" s="10" t="n">
        <v>45647</v>
      </c>
      <c r="C3329" s="11" t="s">
        <v>3348</v>
      </c>
      <c r="D3329" s="1" t="s">
        <v>2901</v>
      </c>
      <c r="E3329" s="1" t="s">
        <v>20</v>
      </c>
      <c r="F3329" s="1" t="str">
        <f aca="false">TEXT(B3329,"mmm-yyyy")</f>
        <v>Dec-2024</v>
      </c>
    </row>
    <row r="3330" customFormat="false" ht="72" hidden="false" customHeight="true" outlineLevel="0" collapsed="false">
      <c r="A3330" s="1" t="n">
        <v>1</v>
      </c>
      <c r="B3330" s="10" t="n">
        <v>45657</v>
      </c>
      <c r="C3330" s="11" t="s">
        <v>3349</v>
      </c>
      <c r="D3330" s="1" t="s">
        <v>2901</v>
      </c>
      <c r="E3330" s="1" t="s">
        <v>18</v>
      </c>
      <c r="F3330" s="1" t="str">
        <f aca="false">TEXT(B3330,"mmm-yyyy")</f>
        <v>Dec-2024</v>
      </c>
    </row>
    <row r="3331" customFormat="false" ht="87" hidden="false" customHeight="true" outlineLevel="0" collapsed="false">
      <c r="A3331" s="1" t="n">
        <v>1</v>
      </c>
      <c r="B3331" s="10" t="n">
        <v>45643</v>
      </c>
      <c r="C3331" s="11" t="s">
        <v>3350</v>
      </c>
      <c r="D3331" s="1" t="s">
        <v>2901</v>
      </c>
      <c r="E3331" s="1" t="s">
        <v>18</v>
      </c>
      <c r="F3331" s="1" t="str">
        <f aca="false">TEXT(B3331,"mmm-yyyy")</f>
        <v>Dec-2024</v>
      </c>
    </row>
    <row r="3332" customFormat="false" ht="115.5" hidden="false" customHeight="true" outlineLevel="0" collapsed="false">
      <c r="A3332" s="1" t="n">
        <v>1</v>
      </c>
      <c r="B3332" s="10" t="n">
        <v>45643</v>
      </c>
      <c r="C3332" s="11" t="s">
        <v>3351</v>
      </c>
      <c r="D3332" s="1" t="s">
        <v>2901</v>
      </c>
      <c r="E3332" s="1" t="s">
        <v>20</v>
      </c>
      <c r="F3332" s="1" t="str">
        <f aca="false">TEXT(B3332,"mmm-yyyy")</f>
        <v>Dec-2024</v>
      </c>
    </row>
    <row r="3333" customFormat="false" ht="72" hidden="false" customHeight="true" outlineLevel="0" collapsed="false">
      <c r="A3333" s="1" t="n">
        <v>1</v>
      </c>
      <c r="B3333" s="10" t="n">
        <v>45631</v>
      </c>
      <c r="C3333" s="11" t="s">
        <v>3352</v>
      </c>
      <c r="D3333" s="1" t="s">
        <v>2901</v>
      </c>
      <c r="E3333" s="1" t="s">
        <v>20</v>
      </c>
      <c r="F3333" s="1" t="str">
        <f aca="false">TEXT(B3333,"mmm-yyyy")</f>
        <v>Dec-2024</v>
      </c>
    </row>
    <row r="3334" customFormat="false" ht="57.75" hidden="false" customHeight="true" outlineLevel="0" collapsed="false">
      <c r="A3334" s="1" t="n">
        <v>5</v>
      </c>
      <c r="B3334" s="10" t="n">
        <v>45642</v>
      </c>
      <c r="C3334" s="11" t="s">
        <v>3353</v>
      </c>
      <c r="D3334" s="1" t="s">
        <v>2901</v>
      </c>
      <c r="E3334" s="1" t="s">
        <v>18</v>
      </c>
      <c r="F3334" s="1" t="str">
        <f aca="false">TEXT(B3334,"mmm-yyyy")</f>
        <v>Dec-2024</v>
      </c>
    </row>
    <row r="3335" customFormat="false" ht="72" hidden="false" customHeight="true" outlineLevel="0" collapsed="false">
      <c r="A3335" s="1" t="n">
        <v>1</v>
      </c>
      <c r="B3335" s="10" t="n">
        <v>45639</v>
      </c>
      <c r="C3335" s="11" t="s">
        <v>3354</v>
      </c>
      <c r="D3335" s="1" t="s">
        <v>2901</v>
      </c>
      <c r="E3335" s="1" t="s">
        <v>20</v>
      </c>
      <c r="F3335" s="1" t="str">
        <f aca="false">TEXT(B3335,"mmm-yyyy")</f>
        <v>Dec-2024</v>
      </c>
    </row>
    <row r="3336" customFormat="false" ht="130.5" hidden="false" customHeight="true" outlineLevel="0" collapsed="false">
      <c r="A3336" s="1" t="n">
        <v>1</v>
      </c>
      <c r="B3336" s="10" t="n">
        <v>45607</v>
      </c>
      <c r="C3336" s="11" t="s">
        <v>3355</v>
      </c>
      <c r="D3336" s="1" t="s">
        <v>2901</v>
      </c>
      <c r="E3336" s="1" t="s">
        <v>20</v>
      </c>
      <c r="F3336" s="1" t="str">
        <f aca="false">TEXT(B3336,"mmm-yyyy")</f>
        <v>Nov-2024</v>
      </c>
    </row>
    <row r="3337" customFormat="false" ht="130.5" hidden="false" customHeight="true" outlineLevel="0" collapsed="false">
      <c r="A3337" s="1" t="n">
        <v>1</v>
      </c>
      <c r="B3337" s="10" t="n">
        <v>45648</v>
      </c>
      <c r="C3337" s="11" t="s">
        <v>3356</v>
      </c>
      <c r="D3337" s="1" t="s">
        <v>2901</v>
      </c>
      <c r="E3337" s="1" t="s">
        <v>20</v>
      </c>
      <c r="F3337" s="1" t="str">
        <f aca="false">TEXT(B3337,"mmm-yyyy")</f>
        <v>Dec-2024</v>
      </c>
    </row>
    <row r="3338" customFormat="false" ht="101.25" hidden="false" customHeight="true" outlineLevel="0" collapsed="false">
      <c r="A3338" s="1" t="n">
        <v>5</v>
      </c>
      <c r="B3338" s="10" t="n">
        <v>45655</v>
      </c>
      <c r="C3338" s="11" t="s">
        <v>3357</v>
      </c>
      <c r="D3338" s="1" t="s">
        <v>2901</v>
      </c>
      <c r="E3338" s="1" t="s">
        <v>18</v>
      </c>
      <c r="F3338" s="1" t="str">
        <f aca="false">TEXT(B3338,"mmm-yyyy")</f>
        <v>Dec-2024</v>
      </c>
    </row>
    <row r="3339" customFormat="false" ht="57.75" hidden="false" customHeight="true" outlineLevel="0" collapsed="false">
      <c r="A3339" s="1" t="n">
        <v>1</v>
      </c>
      <c r="B3339" s="10" t="n">
        <v>45640</v>
      </c>
      <c r="C3339" s="11" t="s">
        <v>3358</v>
      </c>
      <c r="D3339" s="1" t="s">
        <v>2901</v>
      </c>
      <c r="E3339" s="1" t="s">
        <v>20</v>
      </c>
      <c r="F3339" s="1" t="str">
        <f aca="false">TEXT(B3339,"mmm-yyyy")</f>
        <v>Dec-2024</v>
      </c>
    </row>
    <row r="3340" customFormat="false" ht="72" hidden="false" customHeight="true" outlineLevel="0" collapsed="false">
      <c r="A3340" s="1" t="n">
        <v>1</v>
      </c>
      <c r="B3340" s="10" t="n">
        <v>45651</v>
      </c>
      <c r="C3340" s="11" t="s">
        <v>3359</v>
      </c>
      <c r="D3340" s="1" t="s">
        <v>2901</v>
      </c>
      <c r="E3340" s="1" t="s">
        <v>20</v>
      </c>
      <c r="F3340" s="1" t="str">
        <f aca="false">TEXT(B3340,"mmm-yyyy")</f>
        <v>Dec-2024</v>
      </c>
    </row>
    <row r="3341" customFormat="false" ht="101.25" hidden="false" customHeight="true" outlineLevel="0" collapsed="false">
      <c r="A3341" s="1" t="n">
        <v>1</v>
      </c>
      <c r="B3341" s="10" t="n">
        <v>45631</v>
      </c>
      <c r="C3341" s="11" t="s">
        <v>3360</v>
      </c>
      <c r="D3341" s="1" t="s">
        <v>2901</v>
      </c>
      <c r="E3341" s="1" t="s">
        <v>20</v>
      </c>
      <c r="F3341" s="1" t="str">
        <f aca="false">TEXT(B3341,"mmm-yyyy")</f>
        <v>Dec-2024</v>
      </c>
    </row>
    <row r="3342" customFormat="false" ht="130.5" hidden="false" customHeight="true" outlineLevel="0" collapsed="false">
      <c r="A3342" s="1" t="n">
        <v>1</v>
      </c>
      <c r="B3342" s="10" t="n">
        <v>45621</v>
      </c>
      <c r="C3342" s="11" t="s">
        <v>3361</v>
      </c>
      <c r="D3342" s="1" t="s">
        <v>2901</v>
      </c>
      <c r="E3342" s="1" t="s">
        <v>18</v>
      </c>
      <c r="F3342" s="1" t="str">
        <f aca="false">TEXT(B3342,"mmm-yyyy")</f>
        <v>Nov-2024</v>
      </c>
    </row>
    <row r="3343" customFormat="false" ht="101.25" hidden="false" customHeight="true" outlineLevel="0" collapsed="false">
      <c r="A3343" s="1" t="n">
        <v>1</v>
      </c>
      <c r="B3343" s="10" t="n">
        <v>45617</v>
      </c>
      <c r="C3343" s="11" t="s">
        <v>3362</v>
      </c>
      <c r="D3343" s="1" t="s">
        <v>2901</v>
      </c>
      <c r="E3343" s="1" t="s">
        <v>20</v>
      </c>
      <c r="F3343" s="1" t="str">
        <f aca="false">TEXT(B3343,"mmm-yyyy")</f>
        <v>Nov-2024</v>
      </c>
    </row>
    <row r="3344" customFormat="false" ht="72" hidden="false" customHeight="true" outlineLevel="0" collapsed="false">
      <c r="A3344" s="1" t="n">
        <v>1</v>
      </c>
      <c r="B3344" s="10" t="n">
        <v>45648</v>
      </c>
      <c r="C3344" s="11" t="s">
        <v>3363</v>
      </c>
      <c r="D3344" s="1" t="s">
        <v>2901</v>
      </c>
      <c r="E3344" s="1" t="s">
        <v>18</v>
      </c>
      <c r="F3344" s="1" t="str">
        <f aca="false">TEXT(B3344,"mmm-yyyy")</f>
        <v>Dec-2024</v>
      </c>
    </row>
    <row r="3345" customFormat="false" ht="87" hidden="false" customHeight="true" outlineLevel="0" collapsed="false">
      <c r="A3345" s="1" t="n">
        <v>5</v>
      </c>
      <c r="B3345" s="10" t="n">
        <v>45631</v>
      </c>
      <c r="C3345" s="11" t="s">
        <v>3364</v>
      </c>
      <c r="D3345" s="1" t="s">
        <v>2901</v>
      </c>
      <c r="E3345" s="1" t="s">
        <v>18</v>
      </c>
      <c r="F3345" s="1" t="str">
        <f aca="false">TEXT(B3345,"mmm-yyyy")</f>
        <v>Dec-2024</v>
      </c>
    </row>
    <row r="3346" customFormat="false" ht="130.5" hidden="false" customHeight="true" outlineLevel="0" collapsed="false">
      <c r="A3346" s="1" t="n">
        <v>1</v>
      </c>
      <c r="B3346" s="10" t="n">
        <v>45634</v>
      </c>
      <c r="C3346" s="11" t="s">
        <v>3365</v>
      </c>
      <c r="D3346" s="1" t="s">
        <v>2901</v>
      </c>
      <c r="E3346" s="1" t="s">
        <v>20</v>
      </c>
      <c r="F3346" s="1" t="str">
        <f aca="false">TEXT(B3346,"mmm-yyyy")</f>
        <v>Dec-2024</v>
      </c>
    </row>
    <row r="3347" customFormat="false" ht="72" hidden="false" customHeight="true" outlineLevel="0" collapsed="false">
      <c r="A3347" s="1" t="n">
        <v>1</v>
      </c>
      <c r="B3347" s="10" t="n">
        <v>45614</v>
      </c>
      <c r="C3347" s="11" t="s">
        <v>3366</v>
      </c>
      <c r="D3347" s="1" t="s">
        <v>2901</v>
      </c>
      <c r="E3347" s="1" t="s">
        <v>20</v>
      </c>
      <c r="F3347" s="1" t="str">
        <f aca="false">TEXT(B3347,"mmm-yyyy")</f>
        <v>Nov-2024</v>
      </c>
    </row>
    <row r="3348" customFormat="false" ht="101.25" hidden="false" customHeight="true" outlineLevel="0" collapsed="false">
      <c r="A3348" s="1" t="n">
        <v>1</v>
      </c>
      <c r="B3348" s="10" t="n">
        <v>45597</v>
      </c>
      <c r="C3348" s="11" t="s">
        <v>3367</v>
      </c>
      <c r="D3348" s="1" t="s">
        <v>2901</v>
      </c>
      <c r="E3348" s="1" t="s">
        <v>20</v>
      </c>
      <c r="F3348" s="1" t="str">
        <f aca="false">TEXT(B3348,"mmm-yyyy")</f>
        <v>Nov-2024</v>
      </c>
    </row>
    <row r="3349" customFormat="false" ht="130.5" hidden="false" customHeight="true" outlineLevel="0" collapsed="false">
      <c r="A3349" s="1" t="n">
        <v>1</v>
      </c>
      <c r="B3349" s="10" t="n">
        <v>45577</v>
      </c>
      <c r="C3349" s="11" t="s">
        <v>3368</v>
      </c>
      <c r="D3349" s="1" t="s">
        <v>2901</v>
      </c>
      <c r="E3349" s="1" t="s">
        <v>20</v>
      </c>
      <c r="F3349" s="1" t="str">
        <f aca="false">TEXT(B3349,"mmm-yyyy")</f>
        <v>Oct-2024</v>
      </c>
    </row>
    <row r="3350" customFormat="false" ht="115.5" hidden="false" customHeight="true" outlineLevel="0" collapsed="false">
      <c r="A3350" s="1" t="n">
        <v>1</v>
      </c>
      <c r="B3350" s="10" t="n">
        <v>45619</v>
      </c>
      <c r="C3350" s="11" t="s">
        <v>3369</v>
      </c>
      <c r="D3350" s="1" t="s">
        <v>2901</v>
      </c>
      <c r="E3350" s="1" t="s">
        <v>20</v>
      </c>
      <c r="F3350" s="1" t="str">
        <f aca="false">TEXT(B3350,"mmm-yyyy")</f>
        <v>Nov-2024</v>
      </c>
    </row>
    <row r="3351" customFormat="false" ht="130.5" hidden="false" customHeight="true" outlineLevel="0" collapsed="false">
      <c r="A3351" s="1" t="n">
        <v>1</v>
      </c>
      <c r="B3351" s="10" t="n">
        <v>45588</v>
      </c>
      <c r="C3351" s="11" t="s">
        <v>3370</v>
      </c>
      <c r="D3351" s="1" t="s">
        <v>2901</v>
      </c>
      <c r="E3351" s="1" t="s">
        <v>20</v>
      </c>
      <c r="F3351" s="1" t="str">
        <f aca="false">TEXT(B3351,"mmm-yyyy")</f>
        <v>Oct-2024</v>
      </c>
    </row>
    <row r="3352" customFormat="false" ht="130.5" hidden="false" customHeight="true" outlineLevel="0" collapsed="false">
      <c r="A3352" s="1" t="n">
        <v>1</v>
      </c>
      <c r="B3352" s="10" t="n">
        <v>45610</v>
      </c>
      <c r="C3352" s="11" t="s">
        <v>3371</v>
      </c>
      <c r="D3352" s="1" t="s">
        <v>2901</v>
      </c>
      <c r="E3352" s="1" t="s">
        <v>20</v>
      </c>
      <c r="F3352" s="1" t="str">
        <f aca="false">TEXT(B3352,"mmm-yyyy")</f>
        <v>Nov-2024</v>
      </c>
    </row>
    <row r="3353" customFormat="false" ht="101.25" hidden="false" customHeight="true" outlineLevel="0" collapsed="false">
      <c r="A3353" s="1" t="n">
        <v>1</v>
      </c>
      <c r="B3353" s="10" t="n">
        <v>45571</v>
      </c>
      <c r="C3353" s="11" t="s">
        <v>3372</v>
      </c>
      <c r="D3353" s="1" t="s">
        <v>2901</v>
      </c>
      <c r="E3353" s="1" t="s">
        <v>18</v>
      </c>
      <c r="F3353" s="1" t="str">
        <f aca="false">TEXT(B3353,"mmm-yyyy")</f>
        <v>Oct-2024</v>
      </c>
    </row>
    <row r="3354" customFormat="false" ht="87" hidden="false" customHeight="true" outlineLevel="0" collapsed="false">
      <c r="A3354" s="1" t="n">
        <v>3</v>
      </c>
      <c r="B3354" s="10" t="n">
        <v>45615</v>
      </c>
      <c r="C3354" s="11" t="s">
        <v>3373</v>
      </c>
      <c r="D3354" s="1" t="s">
        <v>2901</v>
      </c>
      <c r="E3354" s="1" t="s">
        <v>18</v>
      </c>
      <c r="F3354" s="1" t="str">
        <f aca="false">TEXT(B3354,"mmm-yyyy")</f>
        <v>Nov-2024</v>
      </c>
    </row>
    <row r="3355" customFormat="false" ht="115.5" hidden="false" customHeight="true" outlineLevel="0" collapsed="false">
      <c r="A3355" s="1" t="n">
        <v>5</v>
      </c>
      <c r="B3355" s="10" t="n">
        <v>45592</v>
      </c>
      <c r="C3355" s="11" t="s">
        <v>3374</v>
      </c>
      <c r="D3355" s="1" t="s">
        <v>2901</v>
      </c>
      <c r="E3355" s="1" t="s">
        <v>18</v>
      </c>
      <c r="F3355" s="1" t="str">
        <f aca="false">TEXT(B3355,"mmm-yyyy")</f>
        <v>Oct-2024</v>
      </c>
    </row>
    <row r="3356" customFormat="false" ht="101.25" hidden="false" customHeight="true" outlineLevel="0" collapsed="false">
      <c r="A3356" s="1" t="n">
        <v>1</v>
      </c>
      <c r="B3356" s="10" t="n">
        <v>45627</v>
      </c>
      <c r="C3356" s="11" t="s">
        <v>3375</v>
      </c>
      <c r="D3356" s="1" t="s">
        <v>2901</v>
      </c>
      <c r="E3356" s="1" t="s">
        <v>18</v>
      </c>
      <c r="F3356" s="1" t="str">
        <f aca="false">TEXT(B3356,"mmm-yyyy")</f>
        <v>Dec-2024</v>
      </c>
    </row>
    <row r="3357" customFormat="false" ht="101.25" hidden="false" customHeight="true" outlineLevel="0" collapsed="false">
      <c r="A3357" s="1" t="n">
        <v>2</v>
      </c>
      <c r="B3357" s="10" t="n">
        <v>45626</v>
      </c>
      <c r="C3357" s="11" t="s">
        <v>3376</v>
      </c>
      <c r="D3357" s="1" t="s">
        <v>2901</v>
      </c>
      <c r="E3357" s="1" t="s">
        <v>18</v>
      </c>
      <c r="F3357" s="1" t="str">
        <f aca="false">TEXT(B3357,"mmm-yyyy")</f>
        <v>Nov-2024</v>
      </c>
    </row>
    <row r="3358" customFormat="false" ht="101.25" hidden="false" customHeight="true" outlineLevel="0" collapsed="false">
      <c r="A3358" s="1" t="n">
        <v>1</v>
      </c>
      <c r="B3358" s="10" t="n">
        <v>45607</v>
      </c>
      <c r="C3358" s="11" t="s">
        <v>3377</v>
      </c>
      <c r="D3358" s="1" t="s">
        <v>2901</v>
      </c>
      <c r="E3358" s="1" t="s">
        <v>20</v>
      </c>
      <c r="F3358" s="1" t="str">
        <f aca="false">TEXT(B3358,"mmm-yyyy")</f>
        <v>Nov-2024</v>
      </c>
    </row>
    <row r="3359" customFormat="false" ht="87" hidden="false" customHeight="true" outlineLevel="0" collapsed="false">
      <c r="A3359" s="1" t="n">
        <v>1</v>
      </c>
      <c r="B3359" s="10" t="n">
        <v>45585</v>
      </c>
      <c r="C3359" s="11" t="s">
        <v>3378</v>
      </c>
      <c r="D3359" s="1" t="s">
        <v>2901</v>
      </c>
      <c r="E3359" s="1" t="s">
        <v>20</v>
      </c>
      <c r="F3359" s="1" t="str">
        <f aca="false">TEXT(B3359,"mmm-yyyy")</f>
        <v>Oct-2024</v>
      </c>
    </row>
    <row r="3360" customFormat="false" ht="115.5" hidden="false" customHeight="true" outlineLevel="0" collapsed="false">
      <c r="A3360" s="1" t="n">
        <v>3</v>
      </c>
      <c r="B3360" s="10" t="n">
        <v>45619</v>
      </c>
      <c r="C3360" s="11" t="s">
        <v>3379</v>
      </c>
      <c r="D3360" s="1" t="s">
        <v>2901</v>
      </c>
      <c r="E3360" s="1" t="s">
        <v>20</v>
      </c>
      <c r="F3360" s="1" t="str">
        <f aca="false">TEXT(B3360,"mmm-yyyy")</f>
        <v>Nov-2024</v>
      </c>
    </row>
    <row r="3361" customFormat="false" ht="130.5" hidden="false" customHeight="true" outlineLevel="0" collapsed="false">
      <c r="A3361" s="1" t="n">
        <v>1</v>
      </c>
      <c r="B3361" s="10" t="n">
        <v>45618</v>
      </c>
      <c r="C3361" s="11" t="s">
        <v>3380</v>
      </c>
      <c r="D3361" s="1" t="s">
        <v>2901</v>
      </c>
      <c r="E3361" s="1" t="s">
        <v>20</v>
      </c>
      <c r="F3361" s="1" t="str">
        <f aca="false">TEXT(B3361,"mmm-yyyy")</f>
        <v>Nov-2024</v>
      </c>
    </row>
    <row r="3362" customFormat="false" ht="101.25" hidden="false" customHeight="true" outlineLevel="0" collapsed="false">
      <c r="A3362" s="1" t="n">
        <v>1</v>
      </c>
      <c r="B3362" s="10" t="n">
        <v>45612</v>
      </c>
      <c r="C3362" s="11" t="s">
        <v>3381</v>
      </c>
      <c r="D3362" s="1" t="s">
        <v>2901</v>
      </c>
      <c r="E3362" s="1" t="s">
        <v>20</v>
      </c>
      <c r="F3362" s="1" t="str">
        <f aca="false">TEXT(B3362,"mmm-yyyy")</f>
        <v>Nov-2024</v>
      </c>
    </row>
    <row r="3363" customFormat="false" ht="101.25" hidden="false" customHeight="true" outlineLevel="0" collapsed="false">
      <c r="A3363" s="1" t="n">
        <v>1</v>
      </c>
      <c r="B3363" s="10" t="n">
        <v>45628</v>
      </c>
      <c r="C3363" s="11" t="s">
        <v>3382</v>
      </c>
      <c r="D3363" s="1" t="s">
        <v>2901</v>
      </c>
      <c r="E3363" s="1" t="s">
        <v>20</v>
      </c>
      <c r="F3363" s="1" t="str">
        <f aca="false">TEXT(B3363,"mmm-yyyy")</f>
        <v>Dec-2024</v>
      </c>
    </row>
    <row r="3364" customFormat="false" ht="87" hidden="false" customHeight="true" outlineLevel="0" collapsed="false">
      <c r="A3364" s="1" t="n">
        <v>1</v>
      </c>
      <c r="B3364" s="10" t="n">
        <v>45615</v>
      </c>
      <c r="C3364" s="11" t="s">
        <v>3383</v>
      </c>
      <c r="D3364" s="1" t="s">
        <v>2901</v>
      </c>
      <c r="E3364" s="1" t="s">
        <v>20</v>
      </c>
      <c r="F3364" s="1" t="str">
        <f aca="false">TEXT(B3364,"mmm-yyyy")</f>
        <v>Nov-2024</v>
      </c>
    </row>
    <row r="3365" customFormat="false" ht="72" hidden="false" customHeight="true" outlineLevel="0" collapsed="false">
      <c r="A3365" s="1" t="n">
        <v>1</v>
      </c>
      <c r="B3365" s="10" t="n">
        <v>45627</v>
      </c>
      <c r="C3365" s="11" t="s">
        <v>3384</v>
      </c>
      <c r="D3365" s="1" t="s">
        <v>2901</v>
      </c>
      <c r="E3365" s="1" t="s">
        <v>20</v>
      </c>
      <c r="F3365" s="1" t="str">
        <f aca="false">TEXT(B3365,"mmm-yyyy")</f>
        <v>Dec-2024</v>
      </c>
    </row>
    <row r="3366" customFormat="false" ht="101.25" hidden="false" customHeight="true" outlineLevel="0" collapsed="false">
      <c r="A3366" s="1" t="n">
        <v>1</v>
      </c>
      <c r="B3366" s="10" t="n">
        <v>45617</v>
      </c>
      <c r="C3366" s="11" t="s">
        <v>3385</v>
      </c>
      <c r="D3366" s="1" t="s">
        <v>2901</v>
      </c>
      <c r="E3366" s="1" t="s">
        <v>18</v>
      </c>
      <c r="F3366" s="1" t="str">
        <f aca="false">TEXT(B3366,"mmm-yyyy")</f>
        <v>Nov-2024</v>
      </c>
    </row>
    <row r="3367" customFormat="false" ht="101.25" hidden="false" customHeight="true" outlineLevel="0" collapsed="false">
      <c r="A3367" s="1" t="n">
        <v>1</v>
      </c>
      <c r="B3367" s="10" t="n">
        <v>45624</v>
      </c>
      <c r="C3367" s="11" t="s">
        <v>3386</v>
      </c>
      <c r="D3367" s="1" t="s">
        <v>2901</v>
      </c>
      <c r="E3367" s="1" t="s">
        <v>20</v>
      </c>
      <c r="F3367" s="1" t="str">
        <f aca="false">TEXT(B3367,"mmm-yyyy")</f>
        <v>Nov-2024</v>
      </c>
    </row>
    <row r="3368" customFormat="false" ht="130.5" hidden="false" customHeight="true" outlineLevel="0" collapsed="false">
      <c r="A3368" s="1" t="n">
        <v>1</v>
      </c>
      <c r="B3368" s="10" t="n">
        <v>45622</v>
      </c>
      <c r="C3368" s="11" t="s">
        <v>3387</v>
      </c>
      <c r="D3368" s="1" t="s">
        <v>2901</v>
      </c>
      <c r="E3368" s="1" t="s">
        <v>18</v>
      </c>
      <c r="F3368" s="1" t="str">
        <f aca="false">TEXT(B3368,"mmm-yyyy")</f>
        <v>Nov-2024</v>
      </c>
    </row>
    <row r="3369" customFormat="false" ht="115.5" hidden="false" customHeight="true" outlineLevel="0" collapsed="false">
      <c r="A3369" s="1" t="n">
        <v>1</v>
      </c>
      <c r="B3369" s="10" t="n">
        <v>45620</v>
      </c>
      <c r="C3369" s="11" t="s">
        <v>3388</v>
      </c>
      <c r="D3369" s="1" t="s">
        <v>2901</v>
      </c>
      <c r="E3369" s="1" t="s">
        <v>20</v>
      </c>
      <c r="F3369" s="1" t="str">
        <f aca="false">TEXT(B3369,"mmm-yyyy")</f>
        <v>Nov-2024</v>
      </c>
    </row>
    <row r="3370" customFormat="false" ht="130.5" hidden="false" customHeight="true" outlineLevel="0" collapsed="false">
      <c r="A3370" s="1" t="n">
        <v>1</v>
      </c>
      <c r="B3370" s="10" t="n">
        <v>45573</v>
      </c>
      <c r="C3370" s="11" t="s">
        <v>3389</v>
      </c>
      <c r="D3370" s="1" t="s">
        <v>2901</v>
      </c>
      <c r="E3370" s="1" t="s">
        <v>18</v>
      </c>
      <c r="F3370" s="1" t="str">
        <f aca="false">TEXT(B3370,"mmm-yyyy")</f>
        <v>Oct-2024</v>
      </c>
    </row>
    <row r="3371" customFormat="false" ht="72" hidden="false" customHeight="true" outlineLevel="0" collapsed="false">
      <c r="A3371" s="1" t="n">
        <v>3</v>
      </c>
      <c r="B3371" s="10" t="n">
        <v>45627</v>
      </c>
      <c r="C3371" s="11" t="s">
        <v>3390</v>
      </c>
      <c r="D3371" s="1" t="s">
        <v>2901</v>
      </c>
      <c r="E3371" s="1" t="s">
        <v>18</v>
      </c>
      <c r="F3371" s="1" t="str">
        <f aca="false">TEXT(B3371,"mmm-yyyy")</f>
        <v>Dec-2024</v>
      </c>
    </row>
    <row r="3372" customFormat="false" ht="87" hidden="false" customHeight="true" outlineLevel="0" collapsed="false">
      <c r="A3372" s="1" t="n">
        <v>1</v>
      </c>
      <c r="B3372" s="10" t="n">
        <v>45616</v>
      </c>
      <c r="C3372" s="11" t="s">
        <v>3391</v>
      </c>
      <c r="D3372" s="1" t="s">
        <v>2901</v>
      </c>
      <c r="E3372" s="1" t="s">
        <v>20</v>
      </c>
      <c r="F3372" s="1" t="str">
        <f aca="false">TEXT(B3372,"mmm-yyyy")</f>
        <v>Nov-2024</v>
      </c>
    </row>
    <row r="3373" customFormat="false" ht="115.5" hidden="false" customHeight="true" outlineLevel="0" collapsed="false">
      <c r="A3373" s="1" t="n">
        <v>1</v>
      </c>
      <c r="B3373" s="10" t="n">
        <v>45610</v>
      </c>
      <c r="C3373" s="11" t="s">
        <v>3392</v>
      </c>
      <c r="D3373" s="1" t="s">
        <v>2901</v>
      </c>
      <c r="E3373" s="1" t="s">
        <v>20</v>
      </c>
      <c r="F3373" s="1" t="str">
        <f aca="false">TEXT(B3373,"mmm-yyyy")</f>
        <v>Nov-2024</v>
      </c>
    </row>
    <row r="3374" customFormat="false" ht="130.5" hidden="false" customHeight="true" outlineLevel="0" collapsed="false">
      <c r="A3374" s="1" t="n">
        <v>1</v>
      </c>
      <c r="B3374" s="10" t="n">
        <v>45625</v>
      </c>
      <c r="C3374" s="11" t="s">
        <v>3393</v>
      </c>
      <c r="D3374" s="1" t="s">
        <v>2901</v>
      </c>
      <c r="E3374" s="1" t="s">
        <v>18</v>
      </c>
      <c r="F3374" s="1" t="str">
        <f aca="false">TEXT(B3374,"mmm-yyyy")</f>
        <v>Nov-2024</v>
      </c>
    </row>
    <row r="3375" customFormat="false" ht="87" hidden="false" customHeight="true" outlineLevel="0" collapsed="false">
      <c r="A3375" s="1" t="n">
        <v>1</v>
      </c>
      <c r="B3375" s="10" t="n">
        <v>45627</v>
      </c>
      <c r="C3375" s="11" t="s">
        <v>3394</v>
      </c>
      <c r="D3375" s="1" t="s">
        <v>2901</v>
      </c>
      <c r="E3375" s="1" t="s">
        <v>20</v>
      </c>
      <c r="F3375" s="1" t="str">
        <f aca="false">TEXT(B3375,"mmm-yyyy")</f>
        <v>Dec-2024</v>
      </c>
    </row>
    <row r="3376" customFormat="false" ht="115.5" hidden="false" customHeight="true" outlineLevel="0" collapsed="false">
      <c r="A3376" s="1" t="n">
        <v>1</v>
      </c>
      <c r="B3376" s="10" t="n">
        <v>45594</v>
      </c>
      <c r="C3376" s="11" t="s">
        <v>3395</v>
      </c>
      <c r="D3376" s="1" t="s">
        <v>2901</v>
      </c>
      <c r="E3376" s="1" t="s">
        <v>20</v>
      </c>
      <c r="F3376" s="1" t="str">
        <f aca="false">TEXT(B3376,"mmm-yyyy")</f>
        <v>Oct-2024</v>
      </c>
    </row>
    <row r="3377" customFormat="false" ht="115.5" hidden="false" customHeight="true" outlineLevel="0" collapsed="false">
      <c r="A3377" s="1" t="n">
        <v>1</v>
      </c>
      <c r="B3377" s="10" t="n">
        <v>45595</v>
      </c>
      <c r="C3377" s="11" t="s">
        <v>3396</v>
      </c>
      <c r="D3377" s="1" t="s">
        <v>2901</v>
      </c>
      <c r="E3377" s="1" t="s">
        <v>18</v>
      </c>
      <c r="F3377" s="1" t="str">
        <f aca="false">TEXT(B3377,"mmm-yyyy")</f>
        <v>Oct-2024</v>
      </c>
    </row>
    <row r="3378" customFormat="false" ht="115.5" hidden="false" customHeight="true" outlineLevel="0" collapsed="false">
      <c r="A3378" s="1" t="n">
        <v>1</v>
      </c>
      <c r="B3378" s="10" t="n">
        <v>45611</v>
      </c>
      <c r="C3378" s="11" t="s">
        <v>3397</v>
      </c>
      <c r="D3378" s="1" t="s">
        <v>2901</v>
      </c>
      <c r="E3378" s="1" t="s">
        <v>20</v>
      </c>
      <c r="F3378" s="1" t="str">
        <f aca="false">TEXT(B3378,"mmm-yyyy")</f>
        <v>Nov-2024</v>
      </c>
    </row>
    <row r="3379" customFormat="false" ht="87" hidden="false" customHeight="true" outlineLevel="0" collapsed="false">
      <c r="A3379" s="1" t="n">
        <v>2</v>
      </c>
      <c r="B3379" s="10" t="n">
        <v>45579</v>
      </c>
      <c r="C3379" s="11" t="s">
        <v>3398</v>
      </c>
      <c r="D3379" s="1" t="s">
        <v>2901</v>
      </c>
      <c r="E3379" s="1" t="s">
        <v>20</v>
      </c>
      <c r="F3379" s="1" t="str">
        <f aca="false">TEXT(B3379,"mmm-yyyy")</f>
        <v>Oct-2024</v>
      </c>
    </row>
    <row r="3380" customFormat="false" ht="101.25" hidden="false" customHeight="true" outlineLevel="0" collapsed="false">
      <c r="A3380" s="1" t="n">
        <v>4</v>
      </c>
      <c r="B3380" s="10" t="n">
        <v>45592</v>
      </c>
      <c r="C3380" s="11" t="s">
        <v>3399</v>
      </c>
      <c r="D3380" s="1" t="s">
        <v>2901</v>
      </c>
      <c r="E3380" s="1" t="s">
        <v>18</v>
      </c>
      <c r="F3380" s="1" t="str">
        <f aca="false">TEXT(B3380,"mmm-yyyy")</f>
        <v>Oct-2024</v>
      </c>
    </row>
    <row r="3381" customFormat="false" ht="87" hidden="false" customHeight="true" outlineLevel="0" collapsed="false">
      <c r="A3381" s="1" t="n">
        <v>1</v>
      </c>
      <c r="B3381" s="10" t="n">
        <v>45618</v>
      </c>
      <c r="C3381" s="11" t="s">
        <v>3400</v>
      </c>
      <c r="D3381" s="1" t="s">
        <v>2901</v>
      </c>
      <c r="E3381" s="1" t="s">
        <v>20</v>
      </c>
      <c r="F3381" s="1" t="str">
        <f aca="false">TEXT(B3381,"mmm-yyyy")</f>
        <v>Nov-2024</v>
      </c>
    </row>
    <row r="3382" customFormat="false" ht="115.5" hidden="false" customHeight="true" outlineLevel="0" collapsed="false">
      <c r="A3382" s="1" t="n">
        <v>1</v>
      </c>
      <c r="B3382" s="10" t="n">
        <v>45619</v>
      </c>
      <c r="C3382" s="11" t="s">
        <v>3401</v>
      </c>
      <c r="D3382" s="1" t="s">
        <v>2901</v>
      </c>
      <c r="E3382" s="1" t="s">
        <v>20</v>
      </c>
      <c r="F3382" s="1" t="str">
        <f aca="false">TEXT(B3382,"mmm-yyyy")</f>
        <v>Nov-2024</v>
      </c>
    </row>
    <row r="3383" customFormat="false" ht="72" hidden="false" customHeight="true" outlineLevel="0" collapsed="false">
      <c r="A3383" s="1" t="n">
        <v>1</v>
      </c>
      <c r="B3383" s="10" t="n">
        <v>45610</v>
      </c>
      <c r="C3383" s="11" t="s">
        <v>3402</v>
      </c>
      <c r="D3383" s="1" t="s">
        <v>2901</v>
      </c>
      <c r="E3383" s="1" t="s">
        <v>32</v>
      </c>
      <c r="F3383" s="1" t="str">
        <f aca="false">TEXT(B3383,"mmm-yyyy")</f>
        <v>Nov-2024</v>
      </c>
    </row>
    <row r="3384" customFormat="false" ht="130.5" hidden="false" customHeight="true" outlineLevel="0" collapsed="false">
      <c r="A3384" s="1" t="n">
        <v>1</v>
      </c>
      <c r="B3384" s="10" t="n">
        <v>45620</v>
      </c>
      <c r="C3384" s="11" t="s">
        <v>3403</v>
      </c>
      <c r="D3384" s="1" t="s">
        <v>2901</v>
      </c>
      <c r="E3384" s="1" t="s">
        <v>20</v>
      </c>
      <c r="F3384" s="1" t="str">
        <f aca="false">TEXT(B3384,"mmm-yyyy")</f>
        <v>Nov-2024</v>
      </c>
    </row>
    <row r="3385" customFormat="false" ht="72" hidden="false" customHeight="true" outlineLevel="0" collapsed="false">
      <c r="A3385" s="1" t="n">
        <v>1</v>
      </c>
      <c r="B3385" s="10" t="n">
        <v>45612</v>
      </c>
      <c r="C3385" s="11" t="s">
        <v>3404</v>
      </c>
      <c r="D3385" s="1" t="s">
        <v>2901</v>
      </c>
      <c r="E3385" s="1" t="s">
        <v>18</v>
      </c>
      <c r="F3385" s="1" t="str">
        <f aca="false">TEXT(B3385,"mmm-yyyy")</f>
        <v>Nov-2024</v>
      </c>
    </row>
    <row r="3386" customFormat="false" ht="101.25" hidden="false" customHeight="true" outlineLevel="0" collapsed="false">
      <c r="A3386" s="1" t="n">
        <v>1</v>
      </c>
      <c r="B3386" s="10" t="n">
        <v>45621</v>
      </c>
      <c r="C3386" s="11" t="s">
        <v>3405</v>
      </c>
      <c r="D3386" s="1" t="s">
        <v>2901</v>
      </c>
      <c r="E3386" s="1" t="s">
        <v>18</v>
      </c>
      <c r="F3386" s="1" t="str">
        <f aca="false">TEXT(B3386,"mmm-yyyy")</f>
        <v>Nov-2024</v>
      </c>
    </row>
    <row r="3387" customFormat="false" ht="130.5" hidden="false" customHeight="true" outlineLevel="0" collapsed="false">
      <c r="A3387" s="1" t="n">
        <v>1</v>
      </c>
      <c r="B3387" s="10" t="n">
        <v>45601</v>
      </c>
      <c r="C3387" s="11" t="s">
        <v>3406</v>
      </c>
      <c r="D3387" s="1" t="s">
        <v>2901</v>
      </c>
      <c r="E3387" s="1" t="s">
        <v>18</v>
      </c>
      <c r="F3387" s="1" t="str">
        <f aca="false">TEXT(B3387,"mmm-yyyy")</f>
        <v>Nov-2024</v>
      </c>
    </row>
    <row r="3388" customFormat="false" ht="87" hidden="false" customHeight="true" outlineLevel="0" collapsed="false">
      <c r="A3388" s="1" t="n">
        <v>1</v>
      </c>
      <c r="B3388" s="10" t="n">
        <v>45620</v>
      </c>
      <c r="C3388" s="11" t="s">
        <v>3407</v>
      </c>
      <c r="D3388" s="1" t="s">
        <v>2901</v>
      </c>
      <c r="E3388" s="1" t="s">
        <v>20</v>
      </c>
      <c r="F3388" s="1" t="str">
        <f aca="false">TEXT(B3388,"mmm-yyyy")</f>
        <v>Nov-2024</v>
      </c>
    </row>
    <row r="3389" customFormat="false" ht="72" hidden="false" customHeight="true" outlineLevel="0" collapsed="false">
      <c r="A3389" s="1" t="n">
        <v>1</v>
      </c>
      <c r="B3389" s="10" t="n">
        <v>45623</v>
      </c>
      <c r="C3389" s="11" t="s">
        <v>3408</v>
      </c>
      <c r="D3389" s="1" t="s">
        <v>2901</v>
      </c>
      <c r="E3389" s="1" t="s">
        <v>20</v>
      </c>
      <c r="F3389" s="1" t="str">
        <f aca="false">TEXT(B3389,"mmm-yyyy")</f>
        <v>Nov-2024</v>
      </c>
    </row>
    <row r="3390" customFormat="false" ht="101.25" hidden="false" customHeight="true" outlineLevel="0" collapsed="false">
      <c r="A3390" s="1" t="n">
        <v>2</v>
      </c>
      <c r="B3390" s="10" t="n">
        <v>45588</v>
      </c>
      <c r="C3390" s="11" t="s">
        <v>3409</v>
      </c>
      <c r="D3390" s="1" t="s">
        <v>2901</v>
      </c>
      <c r="E3390" s="1" t="s">
        <v>18</v>
      </c>
      <c r="F3390" s="1" t="str">
        <f aca="false">TEXT(B3390,"mmm-yyyy")</f>
        <v>Oct-2024</v>
      </c>
    </row>
    <row r="3391" customFormat="false" ht="72" hidden="false" customHeight="true" outlineLevel="0" collapsed="false">
      <c r="A3391" s="1" t="n">
        <v>3</v>
      </c>
      <c r="B3391" s="10" t="n">
        <v>45612</v>
      </c>
      <c r="C3391" s="11" t="s">
        <v>3410</v>
      </c>
      <c r="D3391" s="1" t="s">
        <v>2901</v>
      </c>
      <c r="E3391" s="1" t="s">
        <v>20</v>
      </c>
      <c r="F3391" s="1" t="str">
        <f aca="false">TEXT(B3391,"mmm-yyyy")</f>
        <v>Nov-2024</v>
      </c>
    </row>
    <row r="3392" customFormat="false" ht="130.5" hidden="false" customHeight="true" outlineLevel="0" collapsed="false">
      <c r="A3392" s="1" t="n">
        <v>1</v>
      </c>
      <c r="B3392" s="10" t="n">
        <v>45607</v>
      </c>
      <c r="C3392" s="11" t="s">
        <v>3411</v>
      </c>
      <c r="D3392" s="1" t="s">
        <v>2901</v>
      </c>
      <c r="E3392" s="1" t="s">
        <v>20</v>
      </c>
      <c r="F3392" s="1" t="str">
        <f aca="false">TEXT(B3392,"mmm-yyyy")</f>
        <v>Nov-2024</v>
      </c>
    </row>
    <row r="3393" customFormat="false" ht="87" hidden="false" customHeight="true" outlineLevel="0" collapsed="false">
      <c r="A3393" s="1" t="n">
        <v>1</v>
      </c>
      <c r="B3393" s="10" t="n">
        <v>45573</v>
      </c>
      <c r="C3393" s="11" t="s">
        <v>3412</v>
      </c>
      <c r="D3393" s="1" t="s">
        <v>2901</v>
      </c>
      <c r="E3393" s="1" t="s">
        <v>20</v>
      </c>
      <c r="F3393" s="1" t="str">
        <f aca="false">TEXT(B3393,"mmm-yyyy")</f>
        <v>Oct-2024</v>
      </c>
    </row>
    <row r="3394" customFormat="false" ht="130.5" hidden="false" customHeight="true" outlineLevel="0" collapsed="false">
      <c r="A3394" s="1" t="n">
        <v>1</v>
      </c>
      <c r="B3394" s="10" t="n">
        <v>45626</v>
      </c>
      <c r="C3394" s="11" t="s">
        <v>3413</v>
      </c>
      <c r="D3394" s="1" t="s">
        <v>2901</v>
      </c>
      <c r="E3394" s="1" t="s">
        <v>20</v>
      </c>
      <c r="F3394" s="1" t="str">
        <f aca="false">TEXT(B3394,"mmm-yyyy")</f>
        <v>Nov-2024</v>
      </c>
    </row>
    <row r="3395" customFormat="false" ht="115.5" hidden="false" customHeight="true" outlineLevel="0" collapsed="false">
      <c r="A3395" s="1" t="n">
        <v>1</v>
      </c>
      <c r="B3395" s="10" t="n">
        <v>45611</v>
      </c>
      <c r="C3395" s="11" t="s">
        <v>3414</v>
      </c>
      <c r="D3395" s="1" t="s">
        <v>2901</v>
      </c>
      <c r="E3395" s="1" t="s">
        <v>18</v>
      </c>
      <c r="F3395" s="1" t="str">
        <f aca="false">TEXT(B3395,"mmm-yyyy")</f>
        <v>Nov-2024</v>
      </c>
    </row>
    <row r="3396" customFormat="false" ht="101.25" hidden="false" customHeight="true" outlineLevel="0" collapsed="false">
      <c r="A3396" s="1" t="n">
        <v>1</v>
      </c>
      <c r="B3396" s="10" t="n">
        <v>45576</v>
      </c>
      <c r="C3396" s="11" t="s">
        <v>3415</v>
      </c>
      <c r="D3396" s="1" t="s">
        <v>2901</v>
      </c>
      <c r="E3396" s="1" t="s">
        <v>18</v>
      </c>
      <c r="F3396" s="1" t="str">
        <f aca="false">TEXT(B3396,"mmm-yyyy")</f>
        <v>Oct-2024</v>
      </c>
    </row>
    <row r="3397" customFormat="false" ht="115.5" hidden="false" customHeight="true" outlineLevel="0" collapsed="false">
      <c r="A3397" s="1" t="n">
        <v>3</v>
      </c>
      <c r="B3397" s="10" t="n">
        <v>45600</v>
      </c>
      <c r="C3397" s="11" t="s">
        <v>3416</v>
      </c>
      <c r="D3397" s="1" t="s">
        <v>2901</v>
      </c>
      <c r="E3397" s="1" t="s">
        <v>18</v>
      </c>
      <c r="F3397" s="1" t="str">
        <f aca="false">TEXT(B3397,"mmm-yyyy")</f>
        <v>Nov-2024</v>
      </c>
    </row>
    <row r="3398" customFormat="false" ht="101.25" hidden="false" customHeight="true" outlineLevel="0" collapsed="false">
      <c r="A3398" s="1" t="n">
        <v>1</v>
      </c>
      <c r="B3398" s="10" t="n">
        <v>45599</v>
      </c>
      <c r="C3398" s="11" t="s">
        <v>3417</v>
      </c>
      <c r="D3398" s="1" t="s">
        <v>2901</v>
      </c>
      <c r="E3398" s="1" t="s">
        <v>20</v>
      </c>
      <c r="F3398" s="1" t="str">
        <f aca="false">TEXT(B3398,"mmm-yyyy")</f>
        <v>Nov-2024</v>
      </c>
    </row>
    <row r="3399" customFormat="false" ht="101.25" hidden="false" customHeight="true" outlineLevel="0" collapsed="false">
      <c r="A3399" s="1" t="n">
        <v>1</v>
      </c>
      <c r="B3399" s="10" t="n">
        <v>45611</v>
      </c>
      <c r="C3399" s="11" t="s">
        <v>3418</v>
      </c>
      <c r="D3399" s="1" t="s">
        <v>2901</v>
      </c>
      <c r="E3399" s="1" t="s">
        <v>20</v>
      </c>
      <c r="F3399" s="1" t="str">
        <f aca="false">TEXT(B3399,"mmm-yyyy")</f>
        <v>Nov-2024</v>
      </c>
    </row>
    <row r="3400" customFormat="false" ht="101.25" hidden="false" customHeight="true" outlineLevel="0" collapsed="false">
      <c r="A3400" s="1" t="n">
        <v>5</v>
      </c>
      <c r="B3400" s="10" t="n">
        <v>45576</v>
      </c>
      <c r="C3400" s="11" t="s">
        <v>3419</v>
      </c>
      <c r="D3400" s="1" t="s">
        <v>2901</v>
      </c>
      <c r="E3400" s="1" t="s">
        <v>18</v>
      </c>
      <c r="F3400" s="1" t="str">
        <f aca="false">TEXT(B3400,"mmm-yyyy")</f>
        <v>Oct-2024</v>
      </c>
    </row>
    <row r="3401" customFormat="false" ht="101.25" hidden="false" customHeight="true" outlineLevel="0" collapsed="false">
      <c r="A3401" s="1" t="n">
        <v>1</v>
      </c>
      <c r="B3401" s="10" t="n">
        <v>45618</v>
      </c>
      <c r="C3401" s="11" t="s">
        <v>3420</v>
      </c>
      <c r="D3401" s="1" t="s">
        <v>2901</v>
      </c>
      <c r="E3401" s="1" t="s">
        <v>18</v>
      </c>
      <c r="F3401" s="1" t="str">
        <f aca="false">TEXT(B3401,"mmm-yyyy")</f>
        <v>Nov-2024</v>
      </c>
    </row>
    <row r="3402" customFormat="false" ht="115.5" hidden="false" customHeight="true" outlineLevel="0" collapsed="false">
      <c r="A3402" s="1" t="n">
        <v>1</v>
      </c>
      <c r="B3402" s="10" t="n">
        <v>45587</v>
      </c>
      <c r="C3402" s="11" t="s">
        <v>3421</v>
      </c>
      <c r="D3402" s="1" t="s">
        <v>2901</v>
      </c>
      <c r="E3402" s="1" t="s">
        <v>20</v>
      </c>
      <c r="F3402" s="1" t="str">
        <f aca="false">TEXT(B3402,"mmm-yyyy")</f>
        <v>Oct-2024</v>
      </c>
    </row>
    <row r="3403" customFormat="false" ht="130.5" hidden="false" customHeight="true" outlineLevel="0" collapsed="false">
      <c r="A3403" s="1" t="n">
        <v>1</v>
      </c>
      <c r="B3403" s="10" t="n">
        <v>45626</v>
      </c>
      <c r="C3403" s="11" t="s">
        <v>3422</v>
      </c>
      <c r="D3403" s="1" t="s">
        <v>2901</v>
      </c>
      <c r="E3403" s="1" t="s">
        <v>18</v>
      </c>
      <c r="F3403" s="1" t="str">
        <f aca="false">TEXT(B3403,"mmm-yyyy")</f>
        <v>Nov-2024</v>
      </c>
    </row>
    <row r="3404" customFormat="false" ht="130.5" hidden="false" customHeight="true" outlineLevel="0" collapsed="false">
      <c r="A3404" s="1" t="n">
        <v>1</v>
      </c>
      <c r="B3404" s="10" t="n">
        <v>45619</v>
      </c>
      <c r="C3404" s="11" t="s">
        <v>3423</v>
      </c>
      <c r="D3404" s="1" t="s">
        <v>2901</v>
      </c>
      <c r="E3404" s="1" t="s">
        <v>20</v>
      </c>
      <c r="F3404" s="1" t="str">
        <f aca="false">TEXT(B3404,"mmm-yyyy")</f>
        <v>Nov-2024</v>
      </c>
    </row>
    <row r="3405" customFormat="false" ht="87" hidden="false" customHeight="true" outlineLevel="0" collapsed="false">
      <c r="A3405" s="1" t="n">
        <v>1</v>
      </c>
      <c r="B3405" s="10" t="n">
        <v>45602</v>
      </c>
      <c r="C3405" s="11" t="s">
        <v>3424</v>
      </c>
      <c r="D3405" s="1" t="s">
        <v>2901</v>
      </c>
      <c r="E3405" s="1" t="s">
        <v>20</v>
      </c>
      <c r="F3405" s="1" t="str">
        <f aca="false">TEXT(B3405,"mmm-yyyy")</f>
        <v>Nov-2024</v>
      </c>
    </row>
    <row r="3406" customFormat="false" ht="115.5" hidden="false" customHeight="true" outlineLevel="0" collapsed="false">
      <c r="A3406" s="1" t="n">
        <v>1</v>
      </c>
      <c r="B3406" s="10" t="n">
        <v>45598</v>
      </c>
      <c r="C3406" s="11" t="s">
        <v>3425</v>
      </c>
      <c r="D3406" s="1" t="s">
        <v>2901</v>
      </c>
      <c r="E3406" s="1" t="s">
        <v>18</v>
      </c>
      <c r="F3406" s="1" t="str">
        <f aca="false">TEXT(B3406,"mmm-yyyy")</f>
        <v>Nov-2024</v>
      </c>
    </row>
    <row r="3407" customFormat="false" ht="72" hidden="false" customHeight="true" outlineLevel="0" collapsed="false">
      <c r="A3407" s="1" t="n">
        <v>1</v>
      </c>
      <c r="B3407" s="10" t="n">
        <v>45609</v>
      </c>
      <c r="C3407" s="11" t="s">
        <v>3426</v>
      </c>
      <c r="D3407" s="1" t="s">
        <v>2901</v>
      </c>
      <c r="E3407" s="1" t="s">
        <v>20</v>
      </c>
      <c r="F3407" s="1" t="str">
        <f aca="false">TEXT(B3407,"mmm-yyyy")</f>
        <v>Nov-2024</v>
      </c>
    </row>
    <row r="3408" customFormat="false" ht="115.5" hidden="false" customHeight="true" outlineLevel="0" collapsed="false">
      <c r="A3408" s="1" t="n">
        <v>5</v>
      </c>
      <c r="B3408" s="10" t="n">
        <v>45597</v>
      </c>
      <c r="C3408" s="11" t="s">
        <v>3427</v>
      </c>
      <c r="D3408" s="1" t="s">
        <v>2901</v>
      </c>
      <c r="E3408" s="1" t="s">
        <v>18</v>
      </c>
      <c r="F3408" s="1" t="str">
        <f aca="false">TEXT(B3408,"mmm-yyyy")</f>
        <v>Nov-2024</v>
      </c>
    </row>
    <row r="3409" customFormat="false" ht="130.5" hidden="false" customHeight="true" outlineLevel="0" collapsed="false">
      <c r="A3409" s="1" t="n">
        <v>1</v>
      </c>
      <c r="B3409" s="10" t="n">
        <v>45583</v>
      </c>
      <c r="C3409" s="11" t="s">
        <v>3428</v>
      </c>
      <c r="D3409" s="1" t="s">
        <v>2901</v>
      </c>
      <c r="E3409" s="1" t="s">
        <v>20</v>
      </c>
      <c r="F3409" s="1" t="str">
        <f aca="false">TEXT(B3409,"mmm-yyyy")</f>
        <v>Oct-2024</v>
      </c>
    </row>
    <row r="3410" customFormat="false" ht="87" hidden="false" customHeight="true" outlineLevel="0" collapsed="false">
      <c r="A3410" s="1" t="n">
        <v>2</v>
      </c>
      <c r="B3410" s="10" t="n">
        <v>45588</v>
      </c>
      <c r="C3410" s="11" t="s">
        <v>3429</v>
      </c>
      <c r="D3410" s="1" t="s">
        <v>2901</v>
      </c>
      <c r="E3410" s="1" t="s">
        <v>18</v>
      </c>
      <c r="F3410" s="1" t="str">
        <f aca="false">TEXT(B3410,"mmm-yyyy")</f>
        <v>Oct-2024</v>
      </c>
    </row>
    <row r="3411" customFormat="false" ht="130.5" hidden="false" customHeight="true" outlineLevel="0" collapsed="false">
      <c r="A3411" s="1" t="n">
        <v>1</v>
      </c>
      <c r="B3411" s="10" t="n">
        <v>45606</v>
      </c>
      <c r="C3411" s="11" t="s">
        <v>3430</v>
      </c>
      <c r="D3411" s="1" t="s">
        <v>2901</v>
      </c>
      <c r="E3411" s="1" t="s">
        <v>20</v>
      </c>
      <c r="F3411" s="1" t="str">
        <f aca="false">TEXT(B3411,"mmm-yyyy")</f>
        <v>Nov-2024</v>
      </c>
    </row>
    <row r="3412" customFormat="false" ht="87" hidden="false" customHeight="true" outlineLevel="0" collapsed="false">
      <c r="A3412" s="1" t="n">
        <v>1</v>
      </c>
      <c r="B3412" s="10" t="n">
        <v>45632</v>
      </c>
      <c r="C3412" s="11" t="s">
        <v>3431</v>
      </c>
      <c r="D3412" s="1" t="s">
        <v>2901</v>
      </c>
      <c r="E3412" s="1" t="s">
        <v>20</v>
      </c>
      <c r="F3412" s="1" t="str">
        <f aca="false">TEXT(B3412,"mmm-yyyy")</f>
        <v>Dec-2024</v>
      </c>
    </row>
    <row r="3413" customFormat="false" ht="101.25" hidden="false" customHeight="true" outlineLevel="0" collapsed="false">
      <c r="A3413" s="1" t="n">
        <v>1</v>
      </c>
      <c r="B3413" s="10" t="n">
        <v>45594</v>
      </c>
      <c r="C3413" s="11" t="s">
        <v>3432</v>
      </c>
      <c r="D3413" s="1" t="s">
        <v>2901</v>
      </c>
      <c r="E3413" s="1" t="s">
        <v>20</v>
      </c>
      <c r="F3413" s="1" t="str">
        <f aca="false">TEXT(B3413,"mmm-yyyy")</f>
        <v>Oct-2024</v>
      </c>
    </row>
    <row r="3414" customFormat="false" ht="101.25" hidden="false" customHeight="true" outlineLevel="0" collapsed="false">
      <c r="A3414" s="1" t="n">
        <v>1</v>
      </c>
      <c r="B3414" s="10" t="n">
        <v>45615</v>
      </c>
      <c r="C3414" s="11" t="s">
        <v>3433</v>
      </c>
      <c r="D3414" s="1" t="s">
        <v>2901</v>
      </c>
      <c r="E3414" s="1" t="s">
        <v>18</v>
      </c>
      <c r="F3414" s="1" t="str">
        <f aca="false">TEXT(B3414,"mmm-yyyy")</f>
        <v>Nov-2024</v>
      </c>
    </row>
    <row r="3415" customFormat="false" ht="87" hidden="false" customHeight="true" outlineLevel="0" collapsed="false">
      <c r="A3415" s="1" t="n">
        <v>1</v>
      </c>
      <c r="B3415" s="10" t="n">
        <v>45577</v>
      </c>
      <c r="C3415" s="11" t="s">
        <v>3434</v>
      </c>
      <c r="D3415" s="1" t="s">
        <v>2901</v>
      </c>
      <c r="E3415" s="1" t="s">
        <v>18</v>
      </c>
      <c r="F3415" s="1" t="str">
        <f aca="false">TEXT(B3415,"mmm-yyyy")</f>
        <v>Oct-2024</v>
      </c>
    </row>
    <row r="3416" customFormat="false" ht="87" hidden="false" customHeight="true" outlineLevel="0" collapsed="false">
      <c r="A3416" s="1" t="n">
        <v>1</v>
      </c>
      <c r="B3416" s="10" t="n">
        <v>45627</v>
      </c>
      <c r="C3416" s="11" t="s">
        <v>3435</v>
      </c>
      <c r="D3416" s="1" t="s">
        <v>2901</v>
      </c>
      <c r="E3416" s="1" t="s">
        <v>20</v>
      </c>
      <c r="F3416" s="1" t="str">
        <f aca="false">TEXT(B3416,"mmm-yyyy")</f>
        <v>Dec-2024</v>
      </c>
    </row>
    <row r="3417" customFormat="false" ht="101.25" hidden="false" customHeight="true" outlineLevel="0" collapsed="false">
      <c r="A3417" s="1" t="n">
        <v>1</v>
      </c>
      <c r="B3417" s="10" t="n">
        <v>45614</v>
      </c>
      <c r="C3417" s="11" t="s">
        <v>3436</v>
      </c>
      <c r="D3417" s="1" t="s">
        <v>2901</v>
      </c>
      <c r="E3417" s="1" t="s">
        <v>20</v>
      </c>
      <c r="F3417" s="1" t="str">
        <f aca="false">TEXT(B3417,"mmm-yyyy")</f>
        <v>Nov-2024</v>
      </c>
    </row>
    <row r="3418" customFormat="false" ht="130.5" hidden="false" customHeight="true" outlineLevel="0" collapsed="false">
      <c r="A3418" s="1" t="n">
        <v>1</v>
      </c>
      <c r="B3418" s="10" t="n">
        <v>45592</v>
      </c>
      <c r="C3418" s="11" t="s">
        <v>3437</v>
      </c>
      <c r="D3418" s="1" t="s">
        <v>2901</v>
      </c>
      <c r="E3418" s="1" t="s">
        <v>20</v>
      </c>
      <c r="F3418" s="1" t="str">
        <f aca="false">TEXT(B3418,"mmm-yyyy")</f>
        <v>Oct-2024</v>
      </c>
    </row>
    <row r="3419" customFormat="false" ht="87" hidden="false" customHeight="true" outlineLevel="0" collapsed="false">
      <c r="A3419" s="1" t="n">
        <v>4</v>
      </c>
      <c r="B3419" s="10" t="n">
        <v>45615</v>
      </c>
      <c r="C3419" s="11" t="s">
        <v>3438</v>
      </c>
      <c r="D3419" s="1" t="s">
        <v>2901</v>
      </c>
      <c r="E3419" s="1" t="s">
        <v>18</v>
      </c>
      <c r="F3419" s="1" t="str">
        <f aca="false">TEXT(B3419,"mmm-yyyy")</f>
        <v>Nov-2024</v>
      </c>
    </row>
    <row r="3420" customFormat="false" ht="115.5" hidden="false" customHeight="true" outlineLevel="0" collapsed="false">
      <c r="A3420" s="1" t="n">
        <v>2</v>
      </c>
      <c r="B3420" s="10" t="n">
        <v>45608</v>
      </c>
      <c r="C3420" s="11" t="s">
        <v>3439</v>
      </c>
      <c r="D3420" s="1" t="s">
        <v>2901</v>
      </c>
      <c r="E3420" s="1" t="s">
        <v>20</v>
      </c>
      <c r="F3420" s="1" t="str">
        <f aca="false">TEXT(B3420,"mmm-yyyy")</f>
        <v>Nov-2024</v>
      </c>
    </row>
    <row r="3421" customFormat="false" ht="101.25" hidden="false" customHeight="true" outlineLevel="0" collapsed="false">
      <c r="A3421" s="1" t="n">
        <v>1</v>
      </c>
      <c r="B3421" s="10" t="n">
        <v>45597</v>
      </c>
      <c r="C3421" s="11" t="s">
        <v>3440</v>
      </c>
      <c r="D3421" s="1" t="s">
        <v>2901</v>
      </c>
      <c r="E3421" s="1" t="s">
        <v>18</v>
      </c>
      <c r="F3421" s="1" t="str">
        <f aca="false">TEXT(B3421,"mmm-yyyy")</f>
        <v>Nov-2024</v>
      </c>
    </row>
    <row r="3422" customFormat="false" ht="130.5" hidden="false" customHeight="true" outlineLevel="0" collapsed="false">
      <c r="A3422" s="1" t="n">
        <v>1</v>
      </c>
      <c r="B3422" s="10" t="n">
        <v>45615</v>
      </c>
      <c r="C3422" s="11" t="s">
        <v>3441</v>
      </c>
      <c r="D3422" s="1" t="s">
        <v>2901</v>
      </c>
      <c r="E3422" s="1" t="s">
        <v>18</v>
      </c>
      <c r="F3422" s="1" t="str">
        <f aca="false">TEXT(B3422,"mmm-yyyy")</f>
        <v>Nov-2024</v>
      </c>
    </row>
    <row r="3423" customFormat="false" ht="115.5" hidden="false" customHeight="true" outlineLevel="0" collapsed="false">
      <c r="A3423" s="1" t="n">
        <v>1</v>
      </c>
      <c r="B3423" s="10" t="n">
        <v>45621</v>
      </c>
      <c r="C3423" s="11" t="s">
        <v>3442</v>
      </c>
      <c r="D3423" s="1" t="s">
        <v>2901</v>
      </c>
      <c r="E3423" s="1" t="s">
        <v>18</v>
      </c>
      <c r="F3423" s="1" t="str">
        <f aca="false">TEXT(B3423,"mmm-yyyy")</f>
        <v>Nov-2024</v>
      </c>
    </row>
    <row r="3424" customFormat="false" ht="87" hidden="false" customHeight="true" outlineLevel="0" collapsed="false">
      <c r="A3424" s="1" t="n">
        <v>1</v>
      </c>
      <c r="B3424" s="10" t="n">
        <v>45595</v>
      </c>
      <c r="C3424" s="11" t="s">
        <v>3443</v>
      </c>
      <c r="D3424" s="1" t="s">
        <v>2901</v>
      </c>
      <c r="E3424" s="1" t="s">
        <v>18</v>
      </c>
      <c r="F3424" s="1" t="str">
        <f aca="false">TEXT(B3424,"mmm-yyyy")</f>
        <v>Oct-2024</v>
      </c>
    </row>
    <row r="3425" customFormat="false" ht="87" hidden="false" customHeight="true" outlineLevel="0" collapsed="false">
      <c r="A3425" s="1" t="n">
        <v>1</v>
      </c>
      <c r="B3425" s="10" t="n">
        <v>45583</v>
      </c>
      <c r="C3425" s="11" t="s">
        <v>3444</v>
      </c>
      <c r="D3425" s="1" t="s">
        <v>2901</v>
      </c>
      <c r="E3425" s="1" t="s">
        <v>20</v>
      </c>
      <c r="F3425" s="1" t="str">
        <f aca="false">TEXT(B3425,"mmm-yyyy")</f>
        <v>Oct-2024</v>
      </c>
    </row>
    <row r="3426" customFormat="false" ht="130.5" hidden="false" customHeight="true" outlineLevel="0" collapsed="false">
      <c r="A3426" s="1" t="n">
        <v>4</v>
      </c>
      <c r="B3426" s="10" t="n">
        <v>45603</v>
      </c>
      <c r="C3426" s="11" t="s">
        <v>3445</v>
      </c>
      <c r="D3426" s="1" t="s">
        <v>2901</v>
      </c>
      <c r="E3426" s="1" t="s">
        <v>18</v>
      </c>
      <c r="F3426" s="1" t="str">
        <f aca="false">TEXT(B3426,"mmm-yyyy")</f>
        <v>Nov-2024</v>
      </c>
    </row>
    <row r="3427" customFormat="false" ht="144.75" hidden="false" customHeight="true" outlineLevel="0" collapsed="false">
      <c r="A3427" s="1" t="n">
        <v>1</v>
      </c>
      <c r="B3427" s="10" t="n">
        <v>45615</v>
      </c>
      <c r="C3427" s="11" t="s">
        <v>3446</v>
      </c>
      <c r="D3427" s="1" t="s">
        <v>2901</v>
      </c>
      <c r="E3427" s="1" t="s">
        <v>20</v>
      </c>
      <c r="F3427" s="1" t="str">
        <f aca="false">TEXT(B3427,"mmm-yyyy")</f>
        <v>Nov-2024</v>
      </c>
    </row>
    <row r="3428" customFormat="false" ht="115.5" hidden="false" customHeight="true" outlineLevel="0" collapsed="false">
      <c r="A3428" s="1" t="n">
        <v>1</v>
      </c>
      <c r="B3428" s="10" t="n">
        <v>45622</v>
      </c>
      <c r="C3428" s="11" t="s">
        <v>3447</v>
      </c>
      <c r="D3428" s="1" t="s">
        <v>2901</v>
      </c>
      <c r="E3428" s="1" t="s">
        <v>18</v>
      </c>
      <c r="F3428" s="1" t="str">
        <f aca="false">TEXT(B3428,"mmm-yyyy")</f>
        <v>Nov-2024</v>
      </c>
    </row>
    <row r="3429" customFormat="false" ht="130.5" hidden="false" customHeight="true" outlineLevel="0" collapsed="false">
      <c r="A3429" s="1" t="n">
        <v>1</v>
      </c>
      <c r="B3429" s="10" t="n">
        <v>45616</v>
      </c>
      <c r="C3429" s="11" t="s">
        <v>3448</v>
      </c>
      <c r="D3429" s="1" t="s">
        <v>2901</v>
      </c>
      <c r="E3429" s="1" t="s">
        <v>20</v>
      </c>
      <c r="F3429" s="1" t="str">
        <f aca="false">TEXT(B3429,"mmm-yyyy")</f>
        <v>Nov-2024</v>
      </c>
    </row>
    <row r="3430" customFormat="false" ht="101.25" hidden="false" customHeight="true" outlineLevel="0" collapsed="false">
      <c r="A3430" s="1" t="n">
        <v>1</v>
      </c>
      <c r="B3430" s="10" t="n">
        <v>45628</v>
      </c>
      <c r="C3430" s="11" t="s">
        <v>3449</v>
      </c>
      <c r="D3430" s="1" t="s">
        <v>2901</v>
      </c>
      <c r="E3430" s="1" t="s">
        <v>20</v>
      </c>
      <c r="F3430" s="1" t="str">
        <f aca="false">TEXT(B3430,"mmm-yyyy")</f>
        <v>Dec-2024</v>
      </c>
    </row>
    <row r="3431" customFormat="false" ht="101.25" hidden="false" customHeight="true" outlineLevel="0" collapsed="false">
      <c r="A3431" s="1" t="n">
        <v>5</v>
      </c>
      <c r="B3431" s="10" t="n">
        <v>45628</v>
      </c>
      <c r="C3431" s="11" t="s">
        <v>3450</v>
      </c>
      <c r="D3431" s="1" t="s">
        <v>2901</v>
      </c>
      <c r="E3431" s="1" t="s">
        <v>18</v>
      </c>
      <c r="F3431" s="1" t="str">
        <f aca="false">TEXT(B3431,"mmm-yyyy")</f>
        <v>Dec-2024</v>
      </c>
    </row>
    <row r="3432" customFormat="false" ht="87" hidden="false" customHeight="true" outlineLevel="0" collapsed="false">
      <c r="A3432" s="1" t="n">
        <v>1</v>
      </c>
      <c r="B3432" s="10" t="n">
        <v>45625</v>
      </c>
      <c r="C3432" s="11" t="s">
        <v>3451</v>
      </c>
      <c r="D3432" s="1" t="s">
        <v>2901</v>
      </c>
      <c r="E3432" s="1" t="s">
        <v>20</v>
      </c>
      <c r="F3432" s="1" t="str">
        <f aca="false">TEXT(B3432,"mmm-yyyy")</f>
        <v>Nov-2024</v>
      </c>
    </row>
    <row r="3433" customFormat="false" ht="87" hidden="false" customHeight="true" outlineLevel="0" collapsed="false">
      <c r="A3433" s="1" t="n">
        <v>1</v>
      </c>
      <c r="B3433" s="10" t="n">
        <v>45614</v>
      </c>
      <c r="C3433" s="11" t="s">
        <v>3452</v>
      </c>
      <c r="D3433" s="1" t="s">
        <v>2901</v>
      </c>
      <c r="E3433" s="1" t="s">
        <v>20</v>
      </c>
      <c r="F3433" s="1" t="str">
        <f aca="false">TEXT(B3433,"mmm-yyyy")</f>
        <v>Nov-2024</v>
      </c>
    </row>
    <row r="3434" customFormat="false" ht="101.25" hidden="false" customHeight="true" outlineLevel="0" collapsed="false">
      <c r="A3434" s="1" t="n">
        <v>1</v>
      </c>
      <c r="B3434" s="10" t="n">
        <v>45594</v>
      </c>
      <c r="C3434" s="11" t="s">
        <v>3453</v>
      </c>
      <c r="D3434" s="1" t="s">
        <v>2901</v>
      </c>
      <c r="E3434" s="1" t="s">
        <v>18</v>
      </c>
      <c r="F3434" s="1" t="str">
        <f aca="false">TEXT(B3434,"mmm-yyyy")</f>
        <v>Oct-2024</v>
      </c>
    </row>
    <row r="3435" customFormat="false" ht="115.5" hidden="false" customHeight="true" outlineLevel="0" collapsed="false">
      <c r="A3435" s="1" t="n">
        <v>1</v>
      </c>
      <c r="B3435" s="10" t="n">
        <v>45580</v>
      </c>
      <c r="C3435" s="11" t="s">
        <v>3454</v>
      </c>
      <c r="D3435" s="1" t="s">
        <v>2901</v>
      </c>
      <c r="E3435" s="1" t="s">
        <v>20</v>
      </c>
      <c r="F3435" s="1" t="str">
        <f aca="false">TEXT(B3435,"mmm-yyyy")</f>
        <v>Oct-2024</v>
      </c>
    </row>
    <row r="3436" customFormat="false" ht="87" hidden="false" customHeight="true" outlineLevel="0" collapsed="false">
      <c r="A3436" s="1" t="n">
        <v>1</v>
      </c>
      <c r="B3436" s="10" t="n">
        <v>45617</v>
      </c>
      <c r="C3436" s="11" t="s">
        <v>3455</v>
      </c>
      <c r="D3436" s="1" t="s">
        <v>2901</v>
      </c>
      <c r="E3436" s="1" t="s">
        <v>20</v>
      </c>
      <c r="F3436" s="1" t="str">
        <f aca="false">TEXT(B3436,"mmm-yyyy")</f>
        <v>Nov-2024</v>
      </c>
    </row>
    <row r="3437" customFormat="false" ht="115.5" hidden="false" customHeight="true" outlineLevel="0" collapsed="false">
      <c r="A3437" s="1" t="n">
        <v>1</v>
      </c>
      <c r="B3437" s="10" t="n">
        <v>45618</v>
      </c>
      <c r="C3437" s="11" t="s">
        <v>3456</v>
      </c>
      <c r="D3437" s="1" t="s">
        <v>2901</v>
      </c>
      <c r="E3437" s="1" t="s">
        <v>20</v>
      </c>
      <c r="F3437" s="1" t="str">
        <f aca="false">TEXT(B3437,"mmm-yyyy")</f>
        <v>Nov-2024</v>
      </c>
    </row>
    <row r="3438" customFormat="false" ht="101.25" hidden="false" customHeight="true" outlineLevel="0" collapsed="false">
      <c r="A3438" s="1" t="n">
        <v>1</v>
      </c>
      <c r="B3438" s="10" t="n">
        <v>45602</v>
      </c>
      <c r="C3438" s="11" t="s">
        <v>3457</v>
      </c>
      <c r="D3438" s="1" t="s">
        <v>2901</v>
      </c>
      <c r="E3438" s="1" t="s">
        <v>20</v>
      </c>
      <c r="F3438" s="1" t="str">
        <f aca="false">TEXT(B3438,"mmm-yyyy")</f>
        <v>Nov-2024</v>
      </c>
    </row>
    <row r="3439" customFormat="false" ht="87" hidden="false" customHeight="true" outlineLevel="0" collapsed="false">
      <c r="A3439" s="1" t="n">
        <v>1</v>
      </c>
      <c r="B3439" s="10" t="n">
        <v>45587</v>
      </c>
      <c r="C3439" s="11" t="s">
        <v>3458</v>
      </c>
      <c r="D3439" s="1" t="s">
        <v>2901</v>
      </c>
      <c r="E3439" s="1" t="s">
        <v>18</v>
      </c>
      <c r="F3439" s="1" t="str">
        <f aca="false">TEXT(B3439,"mmm-yyyy")</f>
        <v>Oct-2024</v>
      </c>
    </row>
    <row r="3440" customFormat="false" ht="72" hidden="false" customHeight="true" outlineLevel="0" collapsed="false">
      <c r="A3440" s="1" t="n">
        <v>1</v>
      </c>
      <c r="B3440" s="10" t="n">
        <v>45587</v>
      </c>
      <c r="C3440" s="11" t="s">
        <v>3459</v>
      </c>
      <c r="D3440" s="1" t="s">
        <v>2901</v>
      </c>
      <c r="E3440" s="1" t="s">
        <v>20</v>
      </c>
      <c r="F3440" s="1" t="str">
        <f aca="false">TEXT(B3440,"mmm-yyyy")</f>
        <v>Oct-2024</v>
      </c>
    </row>
    <row r="3441" customFormat="false" ht="87" hidden="false" customHeight="true" outlineLevel="0" collapsed="false">
      <c r="A3441" s="1" t="n">
        <v>1</v>
      </c>
      <c r="B3441" s="10" t="n">
        <v>45596</v>
      </c>
      <c r="C3441" s="11" t="s">
        <v>3460</v>
      </c>
      <c r="D3441" s="1" t="s">
        <v>2901</v>
      </c>
      <c r="E3441" s="1" t="s">
        <v>20</v>
      </c>
      <c r="F3441" s="1" t="str">
        <f aca="false">TEXT(B3441,"mmm-yyyy")</f>
        <v>Oct-2024</v>
      </c>
    </row>
    <row r="3442" customFormat="false" ht="115.5" hidden="false" customHeight="true" outlineLevel="0" collapsed="false">
      <c r="A3442" s="1" t="n">
        <v>2</v>
      </c>
      <c r="B3442" s="10" t="n">
        <v>45611</v>
      </c>
      <c r="C3442" s="11" t="s">
        <v>3461</v>
      </c>
      <c r="D3442" s="1" t="s">
        <v>2901</v>
      </c>
      <c r="E3442" s="1" t="s">
        <v>18</v>
      </c>
      <c r="F3442" s="1" t="str">
        <f aca="false">TEXT(B3442,"mmm-yyyy")</f>
        <v>Nov-2024</v>
      </c>
    </row>
    <row r="3443" customFormat="false" ht="101.25" hidden="false" customHeight="true" outlineLevel="0" collapsed="false">
      <c r="A3443" s="1" t="n">
        <v>1</v>
      </c>
      <c r="B3443" s="10" t="n">
        <v>45628</v>
      </c>
      <c r="C3443" s="11" t="s">
        <v>3462</v>
      </c>
      <c r="D3443" s="1" t="s">
        <v>2901</v>
      </c>
      <c r="E3443" s="1" t="s">
        <v>20</v>
      </c>
      <c r="F3443" s="1" t="str">
        <f aca="false">TEXT(B3443,"mmm-yyyy")</f>
        <v>Dec-2024</v>
      </c>
    </row>
    <row r="3444" customFormat="false" ht="101.25" hidden="false" customHeight="true" outlineLevel="0" collapsed="false">
      <c r="A3444" s="1" t="n">
        <v>1</v>
      </c>
      <c r="B3444" s="10" t="n">
        <v>45595</v>
      </c>
      <c r="C3444" s="11" t="s">
        <v>3463</v>
      </c>
      <c r="D3444" s="1" t="s">
        <v>2901</v>
      </c>
      <c r="E3444" s="1" t="s">
        <v>18</v>
      </c>
      <c r="F3444" s="1" t="str">
        <f aca="false">TEXT(B3444,"mmm-yyyy")</f>
        <v>Oct-2024</v>
      </c>
    </row>
    <row r="3445" customFormat="false" ht="87" hidden="false" customHeight="true" outlineLevel="0" collapsed="false">
      <c r="A3445" s="1" t="n">
        <v>4</v>
      </c>
      <c r="B3445" s="10" t="n">
        <v>45610</v>
      </c>
      <c r="C3445" s="11" t="s">
        <v>3464</v>
      </c>
      <c r="D3445" s="1" t="s">
        <v>2901</v>
      </c>
      <c r="E3445" s="1" t="s">
        <v>18</v>
      </c>
      <c r="F3445" s="1" t="str">
        <f aca="false">TEXT(B3445,"mmm-yyyy")</f>
        <v>Nov-2024</v>
      </c>
    </row>
    <row r="3446" customFormat="false" ht="130.5" hidden="false" customHeight="true" outlineLevel="0" collapsed="false">
      <c r="A3446" s="1" t="n">
        <v>4</v>
      </c>
      <c r="B3446" s="10" t="n">
        <v>45596</v>
      </c>
      <c r="C3446" s="11" t="s">
        <v>3465</v>
      </c>
      <c r="D3446" s="1" t="s">
        <v>2901</v>
      </c>
      <c r="E3446" s="1" t="s">
        <v>18</v>
      </c>
      <c r="F3446" s="1" t="str">
        <f aca="false">TEXT(B3446,"mmm-yyyy")</f>
        <v>Oct-2024</v>
      </c>
    </row>
    <row r="3447" customFormat="false" ht="115.5" hidden="false" customHeight="true" outlineLevel="0" collapsed="false">
      <c r="A3447" s="1" t="n">
        <v>1</v>
      </c>
      <c r="B3447" s="10" t="n">
        <v>45615</v>
      </c>
      <c r="C3447" s="11" t="s">
        <v>3466</v>
      </c>
      <c r="D3447" s="1" t="s">
        <v>2901</v>
      </c>
      <c r="E3447" s="1" t="s">
        <v>20</v>
      </c>
      <c r="F3447" s="1" t="str">
        <f aca="false">TEXT(B3447,"mmm-yyyy")</f>
        <v>Nov-2024</v>
      </c>
    </row>
    <row r="3448" customFormat="false" ht="101.25" hidden="false" customHeight="true" outlineLevel="0" collapsed="false">
      <c r="A3448" s="1" t="n">
        <v>1</v>
      </c>
      <c r="B3448" s="10" t="n">
        <v>45608</v>
      </c>
      <c r="C3448" s="11" t="s">
        <v>3467</v>
      </c>
      <c r="D3448" s="1" t="s">
        <v>2901</v>
      </c>
      <c r="E3448" s="1" t="s">
        <v>20</v>
      </c>
      <c r="F3448" s="1" t="str">
        <f aca="false">TEXT(B3448,"mmm-yyyy")</f>
        <v>Nov-2024</v>
      </c>
    </row>
    <row r="3449" customFormat="false" ht="87" hidden="false" customHeight="true" outlineLevel="0" collapsed="false">
      <c r="A3449" s="1" t="n">
        <v>1</v>
      </c>
      <c r="B3449" s="10" t="n">
        <v>45595</v>
      </c>
      <c r="C3449" s="11" t="s">
        <v>3468</v>
      </c>
      <c r="D3449" s="1" t="s">
        <v>2901</v>
      </c>
      <c r="E3449" s="1" t="s">
        <v>20</v>
      </c>
      <c r="F3449" s="1" t="str">
        <f aca="false">TEXT(B3449,"mmm-yyyy")</f>
        <v>Oct-2024</v>
      </c>
    </row>
    <row r="3450" customFormat="false" ht="130.5" hidden="false" customHeight="true" outlineLevel="0" collapsed="false">
      <c r="A3450" s="1" t="n">
        <v>1</v>
      </c>
      <c r="B3450" s="10" t="n">
        <v>45614</v>
      </c>
      <c r="C3450" s="11" t="s">
        <v>3469</v>
      </c>
      <c r="D3450" s="1" t="s">
        <v>2901</v>
      </c>
      <c r="E3450" s="1" t="s">
        <v>20</v>
      </c>
      <c r="F3450" s="1" t="str">
        <f aca="false">TEXT(B3450,"mmm-yyyy")</f>
        <v>Nov-2024</v>
      </c>
    </row>
    <row r="3451" customFormat="false" ht="115.5" hidden="false" customHeight="true" outlineLevel="0" collapsed="false">
      <c r="A3451" s="1" t="n">
        <v>1</v>
      </c>
      <c r="B3451" s="10" t="n">
        <v>45585</v>
      </c>
      <c r="C3451" s="11" t="s">
        <v>3470</v>
      </c>
      <c r="D3451" s="1" t="s">
        <v>2901</v>
      </c>
      <c r="E3451" s="1" t="s">
        <v>20</v>
      </c>
      <c r="F3451" s="1" t="str">
        <f aca="false">TEXT(B3451,"mmm-yyyy")</f>
        <v>Oct-2024</v>
      </c>
    </row>
    <row r="3452" customFormat="false" ht="72" hidden="false" customHeight="true" outlineLevel="0" collapsed="false">
      <c r="A3452" s="1" t="n">
        <v>1</v>
      </c>
      <c r="B3452" s="10" t="n">
        <v>45608</v>
      </c>
      <c r="C3452" s="11" t="s">
        <v>3471</v>
      </c>
      <c r="D3452" s="1" t="s">
        <v>2901</v>
      </c>
      <c r="E3452" s="1" t="s">
        <v>20</v>
      </c>
      <c r="F3452" s="1" t="str">
        <f aca="false">TEXT(B3452,"mmm-yyyy")</f>
        <v>Nov-2024</v>
      </c>
    </row>
    <row r="3453" customFormat="false" ht="87" hidden="false" customHeight="true" outlineLevel="0" collapsed="false">
      <c r="A3453" s="1" t="n">
        <v>1</v>
      </c>
      <c r="B3453" s="10" t="n">
        <v>45584</v>
      </c>
      <c r="C3453" s="11" t="s">
        <v>3472</v>
      </c>
      <c r="D3453" s="1" t="s">
        <v>2901</v>
      </c>
      <c r="E3453" s="1" t="s">
        <v>20</v>
      </c>
      <c r="F3453" s="1" t="str">
        <f aca="false">TEXT(B3453,"mmm-yyyy")</f>
        <v>Oct-2024</v>
      </c>
    </row>
    <row r="3454" customFormat="false" ht="130.5" hidden="false" customHeight="true" outlineLevel="0" collapsed="false">
      <c r="A3454" s="1" t="n">
        <v>1</v>
      </c>
      <c r="B3454" s="10" t="n">
        <v>45580</v>
      </c>
      <c r="C3454" s="11" t="s">
        <v>3473</v>
      </c>
      <c r="D3454" s="1" t="s">
        <v>2901</v>
      </c>
      <c r="E3454" s="1" t="s">
        <v>18</v>
      </c>
      <c r="F3454" s="1" t="str">
        <f aca="false">TEXT(B3454,"mmm-yyyy")</f>
        <v>Oct-2024</v>
      </c>
    </row>
    <row r="3455" customFormat="false" ht="87" hidden="false" customHeight="true" outlineLevel="0" collapsed="false">
      <c r="A3455" s="1" t="n">
        <v>1</v>
      </c>
      <c r="B3455" s="10" t="n">
        <v>45637</v>
      </c>
      <c r="C3455" s="11" t="s">
        <v>3474</v>
      </c>
      <c r="D3455" s="1" t="s">
        <v>2901</v>
      </c>
      <c r="E3455" s="1" t="s">
        <v>20</v>
      </c>
      <c r="F3455" s="1" t="str">
        <f aca="false">TEXT(B3455,"mmm-yyyy")</f>
        <v>Dec-2024</v>
      </c>
    </row>
    <row r="3456" customFormat="false" ht="87" hidden="false" customHeight="true" outlineLevel="0" collapsed="false">
      <c r="A3456" s="1" t="n">
        <v>1</v>
      </c>
      <c r="B3456" s="10" t="n">
        <v>45608</v>
      </c>
      <c r="C3456" s="11" t="s">
        <v>3475</v>
      </c>
      <c r="D3456" s="1" t="s">
        <v>2901</v>
      </c>
      <c r="E3456" s="1" t="s">
        <v>20</v>
      </c>
      <c r="F3456" s="1" t="str">
        <f aca="false">TEXT(B3456,"mmm-yyyy")</f>
        <v>Nov-2024</v>
      </c>
    </row>
    <row r="3457" customFormat="false" ht="130.5" hidden="false" customHeight="true" outlineLevel="0" collapsed="false">
      <c r="A3457" s="1" t="n">
        <v>2</v>
      </c>
      <c r="B3457" s="10" t="n">
        <v>45608</v>
      </c>
      <c r="C3457" s="11" t="s">
        <v>3476</v>
      </c>
      <c r="D3457" s="1" t="s">
        <v>2901</v>
      </c>
      <c r="E3457" s="1" t="s">
        <v>20</v>
      </c>
      <c r="F3457" s="1" t="str">
        <f aca="false">TEXT(B3457,"mmm-yyyy")</f>
        <v>Nov-2024</v>
      </c>
    </row>
    <row r="3458" customFormat="false" ht="72" hidden="false" customHeight="true" outlineLevel="0" collapsed="false">
      <c r="A3458" s="1" t="n">
        <v>3</v>
      </c>
      <c r="B3458" s="10" t="n">
        <v>45627</v>
      </c>
      <c r="C3458" s="11" t="s">
        <v>3477</v>
      </c>
      <c r="D3458" s="1" t="s">
        <v>2901</v>
      </c>
      <c r="E3458" s="1" t="s">
        <v>18</v>
      </c>
      <c r="F3458" s="1" t="str">
        <f aca="false">TEXT(B3458,"mmm-yyyy")</f>
        <v>Dec-2024</v>
      </c>
    </row>
    <row r="3459" customFormat="false" ht="101.25" hidden="false" customHeight="true" outlineLevel="0" collapsed="false">
      <c r="A3459" s="1" t="n">
        <v>1</v>
      </c>
      <c r="B3459" s="10" t="n">
        <v>45586</v>
      </c>
      <c r="C3459" s="11" t="s">
        <v>3478</v>
      </c>
      <c r="D3459" s="1" t="s">
        <v>2901</v>
      </c>
      <c r="E3459" s="1" t="s">
        <v>20</v>
      </c>
      <c r="F3459" s="1" t="str">
        <f aca="false">TEXT(B3459,"mmm-yyyy")</f>
        <v>Oct-2024</v>
      </c>
    </row>
    <row r="3460" customFormat="false" ht="101.25" hidden="false" customHeight="true" outlineLevel="0" collapsed="false">
      <c r="A3460" s="1" t="n">
        <v>5</v>
      </c>
      <c r="B3460" s="10" t="n">
        <v>45592</v>
      </c>
      <c r="C3460" s="11" t="s">
        <v>3479</v>
      </c>
      <c r="D3460" s="1" t="s">
        <v>2901</v>
      </c>
      <c r="E3460" s="1" t="s">
        <v>18</v>
      </c>
      <c r="F3460" s="1" t="str">
        <f aca="false">TEXT(B3460,"mmm-yyyy")</f>
        <v>Oct-2024</v>
      </c>
    </row>
    <row r="3461" customFormat="false" ht="87" hidden="false" customHeight="true" outlineLevel="0" collapsed="false">
      <c r="A3461" s="1" t="n">
        <v>1</v>
      </c>
      <c r="B3461" s="10" t="n">
        <v>45614</v>
      </c>
      <c r="C3461" s="11" t="s">
        <v>3480</v>
      </c>
      <c r="D3461" s="1" t="s">
        <v>2901</v>
      </c>
      <c r="E3461" s="1" t="s">
        <v>18</v>
      </c>
      <c r="F3461" s="1" t="str">
        <f aca="false">TEXT(B3461,"mmm-yyyy")</f>
        <v>Nov-2024</v>
      </c>
    </row>
    <row r="3462" customFormat="false" ht="87" hidden="false" customHeight="true" outlineLevel="0" collapsed="false">
      <c r="A3462" s="1" t="n">
        <v>1</v>
      </c>
      <c r="B3462" s="10" t="n">
        <v>45616</v>
      </c>
      <c r="C3462" s="11" t="s">
        <v>3481</v>
      </c>
      <c r="D3462" s="1" t="s">
        <v>2901</v>
      </c>
      <c r="E3462" s="1" t="s">
        <v>20</v>
      </c>
      <c r="F3462" s="1" t="str">
        <f aca="false">TEXT(B3462,"mmm-yyyy")</f>
        <v>Nov-2024</v>
      </c>
    </row>
    <row r="3463" customFormat="false" ht="87" hidden="false" customHeight="true" outlineLevel="0" collapsed="false">
      <c r="A3463" s="1" t="n">
        <v>1</v>
      </c>
      <c r="B3463" s="10" t="n">
        <v>45603</v>
      </c>
      <c r="C3463" s="11" t="s">
        <v>3482</v>
      </c>
      <c r="D3463" s="1" t="s">
        <v>2901</v>
      </c>
      <c r="E3463" s="1" t="s">
        <v>20</v>
      </c>
      <c r="F3463" s="1" t="str">
        <f aca="false">TEXT(B3463,"mmm-yyyy")</f>
        <v>Nov-2024</v>
      </c>
    </row>
    <row r="3464" customFormat="false" ht="130.5" hidden="false" customHeight="true" outlineLevel="0" collapsed="false">
      <c r="A3464" s="1" t="n">
        <v>1</v>
      </c>
      <c r="B3464" s="10" t="n">
        <v>45591</v>
      </c>
      <c r="C3464" s="11" t="s">
        <v>3483</v>
      </c>
      <c r="D3464" s="1" t="s">
        <v>2901</v>
      </c>
      <c r="E3464" s="1" t="s">
        <v>20</v>
      </c>
      <c r="F3464" s="1" t="str">
        <f aca="false">TEXT(B3464,"mmm-yyyy")</f>
        <v>Oct-2024</v>
      </c>
    </row>
    <row r="3465" customFormat="false" ht="101.25" hidden="false" customHeight="true" outlineLevel="0" collapsed="false">
      <c r="A3465" s="1" t="n">
        <v>2</v>
      </c>
      <c r="B3465" s="10" t="n">
        <v>45624</v>
      </c>
      <c r="C3465" s="11" t="s">
        <v>3484</v>
      </c>
      <c r="D3465" s="1" t="s">
        <v>2901</v>
      </c>
      <c r="E3465" s="1" t="s">
        <v>20</v>
      </c>
      <c r="F3465" s="1" t="str">
        <f aca="false">TEXT(B3465,"mmm-yyyy")</f>
        <v>Nov-2024</v>
      </c>
    </row>
    <row r="3466" customFormat="false" ht="101.25" hidden="false" customHeight="true" outlineLevel="0" collapsed="false">
      <c r="A3466" s="1" t="n">
        <v>3</v>
      </c>
      <c r="B3466" s="10" t="n">
        <v>45601</v>
      </c>
      <c r="C3466" s="11" t="s">
        <v>3485</v>
      </c>
      <c r="D3466" s="1" t="s">
        <v>2901</v>
      </c>
      <c r="E3466" s="1" t="s">
        <v>18</v>
      </c>
      <c r="F3466" s="1" t="str">
        <f aca="false">TEXT(B3466,"mmm-yyyy")</f>
        <v>Nov-2024</v>
      </c>
    </row>
    <row r="3467" customFormat="false" ht="130.5" hidden="false" customHeight="true" outlineLevel="0" collapsed="false">
      <c r="A3467" s="1" t="n">
        <v>1</v>
      </c>
      <c r="B3467" s="10" t="n">
        <v>45608</v>
      </c>
      <c r="C3467" s="11" t="s">
        <v>3486</v>
      </c>
      <c r="D3467" s="1" t="s">
        <v>2901</v>
      </c>
      <c r="E3467" s="1" t="s">
        <v>20</v>
      </c>
      <c r="F3467" s="1" t="str">
        <f aca="false">TEXT(B3467,"mmm-yyyy")</f>
        <v>Nov-2024</v>
      </c>
    </row>
    <row r="3468" customFormat="false" ht="87" hidden="false" customHeight="true" outlineLevel="0" collapsed="false">
      <c r="A3468" s="1" t="n">
        <v>1</v>
      </c>
      <c r="B3468" s="10" t="n">
        <v>45627</v>
      </c>
      <c r="C3468" s="11" t="s">
        <v>3487</v>
      </c>
      <c r="D3468" s="1" t="s">
        <v>2901</v>
      </c>
      <c r="E3468" s="1" t="s">
        <v>18</v>
      </c>
      <c r="F3468" s="1" t="str">
        <f aca="false">TEXT(B3468,"mmm-yyyy")</f>
        <v>Dec-2024</v>
      </c>
    </row>
    <row r="3469" customFormat="false" ht="87" hidden="false" customHeight="true" outlineLevel="0" collapsed="false">
      <c r="A3469" s="1" t="n">
        <v>2</v>
      </c>
      <c r="B3469" s="10" t="n">
        <v>45581</v>
      </c>
      <c r="C3469" s="11" t="s">
        <v>3488</v>
      </c>
      <c r="D3469" s="1" t="s">
        <v>2901</v>
      </c>
      <c r="E3469" s="1" t="s">
        <v>20</v>
      </c>
      <c r="F3469" s="1" t="str">
        <f aca="false">TEXT(B3469,"mmm-yyyy")</f>
        <v>Oct-2024</v>
      </c>
    </row>
    <row r="3470" customFormat="false" ht="130.5" hidden="false" customHeight="true" outlineLevel="0" collapsed="false">
      <c r="A3470" s="1" t="n">
        <v>1</v>
      </c>
      <c r="B3470" s="10" t="n">
        <v>45619</v>
      </c>
      <c r="C3470" s="11" t="s">
        <v>3489</v>
      </c>
      <c r="D3470" s="1" t="s">
        <v>2901</v>
      </c>
      <c r="E3470" s="1" t="s">
        <v>18</v>
      </c>
      <c r="F3470" s="1" t="str">
        <f aca="false">TEXT(B3470,"mmm-yyyy")</f>
        <v>Nov-2024</v>
      </c>
    </row>
    <row r="3471" customFormat="false" ht="87" hidden="false" customHeight="true" outlineLevel="0" collapsed="false">
      <c r="A3471" s="1" t="n">
        <v>1</v>
      </c>
      <c r="B3471" s="10" t="n">
        <v>45586</v>
      </c>
      <c r="C3471" s="11" t="s">
        <v>3490</v>
      </c>
      <c r="D3471" s="1" t="s">
        <v>2901</v>
      </c>
      <c r="E3471" s="1" t="s">
        <v>18</v>
      </c>
      <c r="F3471" s="1" t="str">
        <f aca="false">TEXT(B3471,"mmm-yyyy")</f>
        <v>Oct-2024</v>
      </c>
    </row>
    <row r="3472" customFormat="false" ht="115.5" hidden="false" customHeight="true" outlineLevel="0" collapsed="false">
      <c r="A3472" s="1" t="n">
        <v>1</v>
      </c>
      <c r="B3472" s="10" t="n">
        <v>45614</v>
      </c>
      <c r="C3472" s="11" t="s">
        <v>3491</v>
      </c>
      <c r="D3472" s="1" t="s">
        <v>2901</v>
      </c>
      <c r="E3472" s="1" t="s">
        <v>20</v>
      </c>
      <c r="F3472" s="1" t="str">
        <f aca="false">TEXT(B3472,"mmm-yyyy")</f>
        <v>Nov-2024</v>
      </c>
    </row>
    <row r="3473" customFormat="false" ht="72" hidden="false" customHeight="true" outlineLevel="0" collapsed="false">
      <c r="A3473" s="1" t="n">
        <v>5</v>
      </c>
      <c r="B3473" s="10" t="n">
        <v>45644</v>
      </c>
      <c r="C3473" s="11" t="s">
        <v>3492</v>
      </c>
      <c r="D3473" s="1" t="s">
        <v>2901</v>
      </c>
      <c r="E3473" s="1" t="s">
        <v>18</v>
      </c>
      <c r="F3473" s="1" t="str">
        <f aca="false">TEXT(B3473,"mmm-yyyy")</f>
        <v>Dec-2024</v>
      </c>
    </row>
    <row r="3474" customFormat="false" ht="101.25" hidden="false" customHeight="true" outlineLevel="0" collapsed="false">
      <c r="A3474" s="1" t="n">
        <v>2</v>
      </c>
      <c r="B3474" s="10" t="n">
        <v>45624</v>
      </c>
      <c r="C3474" s="11" t="s">
        <v>3493</v>
      </c>
      <c r="D3474" s="1" t="s">
        <v>2901</v>
      </c>
      <c r="E3474" s="1" t="s">
        <v>20</v>
      </c>
      <c r="F3474" s="1" t="str">
        <f aca="false">TEXT(B3474,"mmm-yyyy")</f>
        <v>Nov-2024</v>
      </c>
    </row>
    <row r="3475" customFormat="false" ht="72" hidden="false" customHeight="true" outlineLevel="0" collapsed="false">
      <c r="A3475" s="1" t="n">
        <v>1</v>
      </c>
      <c r="B3475" s="10" t="n">
        <v>45581</v>
      </c>
      <c r="C3475" s="11" t="s">
        <v>3494</v>
      </c>
      <c r="D3475" s="1" t="s">
        <v>2901</v>
      </c>
      <c r="E3475" s="1" t="s">
        <v>20</v>
      </c>
      <c r="F3475" s="1" t="str">
        <f aca="false">TEXT(B3475,"mmm-yyyy")</f>
        <v>Oct-2024</v>
      </c>
    </row>
    <row r="3476" customFormat="false" ht="87" hidden="false" customHeight="true" outlineLevel="0" collapsed="false">
      <c r="A3476" s="1" t="n">
        <v>1</v>
      </c>
      <c r="B3476" s="10" t="n">
        <v>45599</v>
      </c>
      <c r="C3476" s="11" t="s">
        <v>3495</v>
      </c>
      <c r="D3476" s="1" t="s">
        <v>2901</v>
      </c>
      <c r="E3476" s="1" t="s">
        <v>20</v>
      </c>
      <c r="F3476" s="1" t="str">
        <f aca="false">TEXT(B3476,"mmm-yyyy")</f>
        <v>Nov-2024</v>
      </c>
    </row>
    <row r="3477" customFormat="false" ht="130.5" hidden="false" customHeight="true" outlineLevel="0" collapsed="false">
      <c r="A3477" s="1" t="n">
        <v>1</v>
      </c>
      <c r="B3477" s="10" t="n">
        <v>45657</v>
      </c>
      <c r="C3477" s="11" t="s">
        <v>3496</v>
      </c>
      <c r="D3477" s="1" t="s">
        <v>2901</v>
      </c>
      <c r="E3477" s="1" t="s">
        <v>20</v>
      </c>
      <c r="F3477" s="1" t="str">
        <f aca="false">TEXT(B3477,"mmm-yyyy")</f>
        <v>Dec-2024</v>
      </c>
    </row>
    <row r="3478" customFormat="false" ht="101.25" hidden="false" customHeight="true" outlineLevel="0" collapsed="false">
      <c r="A3478" s="1" t="n">
        <v>1</v>
      </c>
      <c r="B3478" s="10" t="n">
        <v>45638</v>
      </c>
      <c r="C3478" s="11" t="s">
        <v>3497</v>
      </c>
      <c r="D3478" s="1" t="s">
        <v>2901</v>
      </c>
      <c r="E3478" s="1" t="s">
        <v>20</v>
      </c>
      <c r="F3478" s="1" t="str">
        <f aca="false">TEXT(B3478,"mmm-yyyy")</f>
        <v>Dec-2024</v>
      </c>
    </row>
    <row r="3479" customFormat="false" ht="130.5" hidden="false" customHeight="true" outlineLevel="0" collapsed="false">
      <c r="A3479" s="1" t="n">
        <v>1</v>
      </c>
      <c r="B3479" s="10" t="n">
        <v>45623</v>
      </c>
      <c r="C3479" s="11" t="s">
        <v>3498</v>
      </c>
      <c r="D3479" s="1" t="s">
        <v>2901</v>
      </c>
      <c r="E3479" s="1" t="s">
        <v>20</v>
      </c>
      <c r="F3479" s="1" t="str">
        <f aca="false">TEXT(B3479,"mmm-yyyy")</f>
        <v>Nov-2024</v>
      </c>
    </row>
    <row r="3480" customFormat="false" ht="72" hidden="false" customHeight="true" outlineLevel="0" collapsed="false">
      <c r="A3480" s="1" t="n">
        <v>2</v>
      </c>
      <c r="B3480" s="10" t="n">
        <v>45642</v>
      </c>
      <c r="C3480" s="11" t="s">
        <v>3499</v>
      </c>
      <c r="D3480" s="1" t="s">
        <v>2901</v>
      </c>
      <c r="E3480" s="1" t="s">
        <v>20</v>
      </c>
      <c r="F3480" s="1" t="str">
        <f aca="false">TEXT(B3480,"mmm-yyyy")</f>
        <v>Dec-2024</v>
      </c>
    </row>
    <row r="3481" customFormat="false" ht="57.75" hidden="false" customHeight="true" outlineLevel="0" collapsed="false">
      <c r="A3481" s="1" t="n">
        <v>2</v>
      </c>
      <c r="B3481" s="10" t="n">
        <v>45577</v>
      </c>
      <c r="C3481" s="11" t="s">
        <v>3500</v>
      </c>
      <c r="D3481" s="1" t="s">
        <v>2901</v>
      </c>
      <c r="E3481" s="1" t="s">
        <v>18</v>
      </c>
      <c r="F3481" s="1" t="str">
        <f aca="false">TEXT(B3481,"mmm-yyyy")</f>
        <v>Oct-2024</v>
      </c>
    </row>
    <row r="3482" customFormat="false" ht="72" hidden="false" customHeight="true" outlineLevel="0" collapsed="false">
      <c r="A3482" s="1" t="n">
        <v>2</v>
      </c>
      <c r="B3482" s="10" t="n">
        <v>45639</v>
      </c>
      <c r="C3482" s="11" t="s">
        <v>3501</v>
      </c>
      <c r="D3482" s="1" t="s">
        <v>2901</v>
      </c>
      <c r="E3482" s="1" t="s">
        <v>18</v>
      </c>
      <c r="F3482" s="1" t="str">
        <f aca="false">TEXT(B3482,"mmm-yyyy")</f>
        <v>Dec-2024</v>
      </c>
    </row>
    <row r="3483" customFormat="false" ht="57.75" hidden="false" customHeight="true" outlineLevel="0" collapsed="false">
      <c r="A3483" s="1" t="n">
        <v>1</v>
      </c>
      <c r="B3483" s="10" t="n">
        <v>45619</v>
      </c>
      <c r="C3483" s="11" t="s">
        <v>3502</v>
      </c>
      <c r="D3483" s="1" t="s">
        <v>2901</v>
      </c>
      <c r="E3483" s="1" t="s">
        <v>18</v>
      </c>
      <c r="F3483" s="1" t="str">
        <f aca="false">TEXT(B3483,"mmm-yyyy")</f>
        <v>Nov-2024</v>
      </c>
    </row>
    <row r="3484" customFormat="false" ht="101.25" hidden="false" customHeight="true" outlineLevel="0" collapsed="false">
      <c r="A3484" s="1" t="n">
        <v>2</v>
      </c>
      <c r="B3484" s="10" t="n">
        <v>45634</v>
      </c>
      <c r="C3484" s="11" t="s">
        <v>3503</v>
      </c>
      <c r="D3484" s="1" t="s">
        <v>2901</v>
      </c>
      <c r="E3484" s="1" t="s">
        <v>20</v>
      </c>
      <c r="F3484" s="1" t="str">
        <f aca="false">TEXT(B3484,"mmm-yyyy")</f>
        <v>Dec-2024</v>
      </c>
    </row>
    <row r="3485" customFormat="false" ht="87" hidden="false" customHeight="true" outlineLevel="0" collapsed="false">
      <c r="A3485" s="1" t="n">
        <v>1</v>
      </c>
      <c r="B3485" s="10" t="n">
        <v>45578</v>
      </c>
      <c r="C3485" s="11" t="s">
        <v>3504</v>
      </c>
      <c r="D3485" s="1" t="s">
        <v>2901</v>
      </c>
      <c r="E3485" s="1" t="s">
        <v>20</v>
      </c>
      <c r="F3485" s="1" t="str">
        <f aca="false">TEXT(B3485,"mmm-yyyy")</f>
        <v>Oct-2024</v>
      </c>
    </row>
    <row r="3486" customFormat="false" ht="115.5" hidden="false" customHeight="true" outlineLevel="0" collapsed="false">
      <c r="A3486" s="1" t="n">
        <v>1</v>
      </c>
      <c r="B3486" s="10" t="n">
        <v>45650</v>
      </c>
      <c r="C3486" s="11" t="s">
        <v>3505</v>
      </c>
      <c r="D3486" s="1" t="s">
        <v>2901</v>
      </c>
      <c r="E3486" s="1" t="s">
        <v>18</v>
      </c>
      <c r="F3486" s="1" t="str">
        <f aca="false">TEXT(B3486,"mmm-yyyy")</f>
        <v>Dec-2024</v>
      </c>
    </row>
    <row r="3487" customFormat="false" ht="72" hidden="false" customHeight="true" outlineLevel="0" collapsed="false">
      <c r="A3487" s="1" t="n">
        <v>1</v>
      </c>
      <c r="B3487" s="10" t="n">
        <v>45595</v>
      </c>
      <c r="C3487" s="11" t="s">
        <v>3506</v>
      </c>
      <c r="D3487" s="1" t="s">
        <v>2901</v>
      </c>
      <c r="E3487" s="1" t="s">
        <v>20</v>
      </c>
      <c r="F3487" s="1" t="str">
        <f aca="false">TEXT(B3487,"mmm-yyyy")</f>
        <v>Oct-2024</v>
      </c>
    </row>
    <row r="3488" customFormat="false" ht="101.25" hidden="false" customHeight="true" outlineLevel="0" collapsed="false">
      <c r="A3488" s="1" t="n">
        <v>3</v>
      </c>
      <c r="B3488" s="10" t="n">
        <v>45639</v>
      </c>
      <c r="C3488" s="11" t="s">
        <v>3507</v>
      </c>
      <c r="D3488" s="1" t="s">
        <v>2901</v>
      </c>
      <c r="E3488" s="1" t="s">
        <v>18</v>
      </c>
      <c r="F3488" s="1" t="str">
        <f aca="false">TEXT(B3488,"mmm-yyyy")</f>
        <v>Dec-2024</v>
      </c>
    </row>
    <row r="3489" customFormat="false" ht="101.25" hidden="false" customHeight="true" outlineLevel="0" collapsed="false">
      <c r="A3489" s="1" t="n">
        <v>1</v>
      </c>
      <c r="B3489" s="10" t="n">
        <v>45653</v>
      </c>
      <c r="C3489" s="11" t="s">
        <v>3508</v>
      </c>
      <c r="D3489" s="1" t="s">
        <v>2901</v>
      </c>
      <c r="E3489" s="1" t="s">
        <v>20</v>
      </c>
      <c r="F3489" s="1" t="str">
        <f aca="false">TEXT(B3489,"mmm-yyyy")</f>
        <v>Dec-2024</v>
      </c>
    </row>
    <row r="3490" customFormat="false" ht="72" hidden="false" customHeight="true" outlineLevel="0" collapsed="false">
      <c r="A3490" s="1" t="n">
        <v>1</v>
      </c>
      <c r="B3490" s="10" t="n">
        <v>45636</v>
      </c>
      <c r="C3490" s="11" t="s">
        <v>3509</v>
      </c>
      <c r="D3490" s="1" t="s">
        <v>2901</v>
      </c>
      <c r="E3490" s="1" t="s">
        <v>20</v>
      </c>
      <c r="F3490" s="1" t="str">
        <f aca="false">TEXT(B3490,"mmm-yyyy")</f>
        <v>Dec-2024</v>
      </c>
    </row>
    <row r="3491" customFormat="false" ht="101.25" hidden="false" customHeight="true" outlineLevel="0" collapsed="false">
      <c r="A3491" s="1" t="n">
        <v>3</v>
      </c>
      <c r="B3491" s="10" t="n">
        <v>45631</v>
      </c>
      <c r="C3491" s="11" t="s">
        <v>3510</v>
      </c>
      <c r="D3491" s="1" t="s">
        <v>2901</v>
      </c>
      <c r="E3491" s="1" t="s">
        <v>18</v>
      </c>
      <c r="F3491" s="1" t="str">
        <f aca="false">TEXT(B3491,"mmm-yyyy")</f>
        <v>Dec-2024</v>
      </c>
    </row>
    <row r="3492" customFormat="false" ht="144.75" hidden="false" customHeight="true" outlineLevel="0" collapsed="false">
      <c r="A3492" s="1" t="n">
        <v>1</v>
      </c>
      <c r="B3492" s="10" t="n">
        <v>45620</v>
      </c>
      <c r="C3492" s="11" t="s">
        <v>3511</v>
      </c>
      <c r="D3492" s="1" t="s">
        <v>2901</v>
      </c>
      <c r="E3492" s="1" t="s">
        <v>20</v>
      </c>
      <c r="F3492" s="1" t="str">
        <f aca="false">TEXT(B3492,"mmm-yyyy")</f>
        <v>Nov-2024</v>
      </c>
    </row>
    <row r="3493" customFormat="false" ht="72" hidden="false" customHeight="true" outlineLevel="0" collapsed="false">
      <c r="A3493" s="1" t="n">
        <v>1</v>
      </c>
      <c r="B3493" s="10" t="n">
        <v>45638</v>
      </c>
      <c r="C3493" s="11" t="s">
        <v>3512</v>
      </c>
      <c r="D3493" s="1" t="s">
        <v>2901</v>
      </c>
      <c r="E3493" s="1" t="s">
        <v>20</v>
      </c>
      <c r="F3493" s="1" t="str">
        <f aca="false">TEXT(B3493,"mmm-yyyy")</f>
        <v>Dec-2024</v>
      </c>
    </row>
    <row r="3494" customFormat="false" ht="115.5" hidden="false" customHeight="true" outlineLevel="0" collapsed="false">
      <c r="A3494" s="1" t="n">
        <v>1</v>
      </c>
      <c r="B3494" s="10" t="n">
        <v>45570</v>
      </c>
      <c r="C3494" s="11" t="s">
        <v>3513</v>
      </c>
      <c r="D3494" s="1" t="s">
        <v>2901</v>
      </c>
      <c r="E3494" s="1" t="s">
        <v>18</v>
      </c>
      <c r="F3494" s="1" t="str">
        <f aca="false">TEXT(B3494,"mmm-yyyy")</f>
        <v>Oct-2024</v>
      </c>
    </row>
    <row r="3495" customFormat="false" ht="101.25" hidden="false" customHeight="true" outlineLevel="0" collapsed="false">
      <c r="A3495" s="1" t="n">
        <v>1</v>
      </c>
      <c r="B3495" s="10" t="n">
        <v>45652</v>
      </c>
      <c r="C3495" s="11" t="s">
        <v>3514</v>
      </c>
      <c r="D3495" s="1" t="s">
        <v>2901</v>
      </c>
      <c r="E3495" s="1" t="s">
        <v>20</v>
      </c>
      <c r="F3495" s="1" t="str">
        <f aca="false">TEXT(B3495,"mmm-yyyy")</f>
        <v>Dec-2024</v>
      </c>
    </row>
    <row r="3496" customFormat="false" ht="57.75" hidden="false" customHeight="true" outlineLevel="0" collapsed="false">
      <c r="A3496" s="1" t="n">
        <v>1</v>
      </c>
      <c r="B3496" s="10" t="n">
        <v>45644</v>
      </c>
      <c r="C3496" s="11" t="s">
        <v>3515</v>
      </c>
      <c r="D3496" s="1" t="s">
        <v>2901</v>
      </c>
      <c r="E3496" s="1" t="s">
        <v>18</v>
      </c>
      <c r="F3496" s="1" t="str">
        <f aca="false">TEXT(B3496,"mmm-yyyy")</f>
        <v>Dec-2024</v>
      </c>
    </row>
    <row r="3497" customFormat="false" ht="87" hidden="false" customHeight="true" outlineLevel="0" collapsed="false">
      <c r="A3497" s="1" t="n">
        <v>1</v>
      </c>
      <c r="B3497" s="10" t="n">
        <v>45582</v>
      </c>
      <c r="C3497" s="11" t="s">
        <v>3516</v>
      </c>
      <c r="D3497" s="1" t="s">
        <v>2901</v>
      </c>
      <c r="E3497" s="1" t="s">
        <v>18</v>
      </c>
      <c r="F3497" s="1" t="str">
        <f aca="false">TEXT(B3497,"mmm-yyyy")</f>
        <v>Oct-2024</v>
      </c>
    </row>
    <row r="3498" customFormat="false" ht="130.5" hidden="false" customHeight="true" outlineLevel="0" collapsed="false">
      <c r="A3498" s="1" t="n">
        <v>1</v>
      </c>
      <c r="B3498" s="10" t="n">
        <v>45599</v>
      </c>
      <c r="C3498" s="11" t="s">
        <v>3517</v>
      </c>
      <c r="D3498" s="1" t="s">
        <v>2901</v>
      </c>
      <c r="E3498" s="1" t="s">
        <v>18</v>
      </c>
      <c r="F3498" s="1" t="str">
        <f aca="false">TEXT(B3498,"mmm-yyyy")</f>
        <v>Nov-2024</v>
      </c>
    </row>
    <row r="3499" customFormat="false" ht="72" hidden="false" customHeight="true" outlineLevel="0" collapsed="false">
      <c r="A3499" s="1" t="n">
        <v>3</v>
      </c>
      <c r="B3499" s="10" t="n">
        <v>45650</v>
      </c>
      <c r="C3499" s="11" t="s">
        <v>3518</v>
      </c>
      <c r="D3499" s="1" t="s">
        <v>2901</v>
      </c>
      <c r="E3499" s="1" t="s">
        <v>20</v>
      </c>
      <c r="F3499" s="1" t="str">
        <f aca="false">TEXT(B3499,"mmm-yyyy")</f>
        <v>Dec-2024</v>
      </c>
    </row>
    <row r="3500" customFormat="false" ht="57.75" hidden="false" customHeight="true" outlineLevel="0" collapsed="false">
      <c r="A3500" s="1" t="n">
        <v>1</v>
      </c>
      <c r="B3500" s="10" t="n">
        <v>45635</v>
      </c>
      <c r="C3500" s="11" t="s">
        <v>3519</v>
      </c>
      <c r="D3500" s="1" t="s">
        <v>2901</v>
      </c>
      <c r="E3500" s="1" t="s">
        <v>20</v>
      </c>
      <c r="F3500" s="1" t="str">
        <f aca="false">TEXT(B3500,"mmm-yyyy")</f>
        <v>Dec-2024</v>
      </c>
    </row>
    <row r="3501" customFormat="false" ht="43.5" hidden="false" customHeight="true" outlineLevel="0" collapsed="false">
      <c r="A3501" s="1" t="n">
        <v>1</v>
      </c>
      <c r="B3501" s="10" t="n">
        <v>45653</v>
      </c>
      <c r="C3501" s="11" t="s">
        <v>3520</v>
      </c>
      <c r="D3501" s="1" t="s">
        <v>2901</v>
      </c>
      <c r="E3501" s="1" t="s">
        <v>32</v>
      </c>
      <c r="F3501" s="1" t="str">
        <f aca="false">TEXT(B3501,"mmm-yyyy")</f>
        <v>Dec-2024</v>
      </c>
    </row>
    <row r="3502" customFormat="false" ht="101.25" hidden="false" customHeight="true" outlineLevel="0" collapsed="false">
      <c r="A3502" s="1" t="n">
        <v>1</v>
      </c>
      <c r="B3502" s="10" t="n">
        <v>45631</v>
      </c>
      <c r="C3502" s="11" t="s">
        <v>3521</v>
      </c>
      <c r="D3502" s="1" t="s">
        <v>2901</v>
      </c>
      <c r="E3502" s="1" t="s">
        <v>20</v>
      </c>
      <c r="F3502" s="1" t="str">
        <f aca="false">TEXT(B3502,"mmm-yyyy")</f>
        <v>Dec-2024</v>
      </c>
    </row>
    <row r="3503" customFormat="false" ht="43.5" hidden="false" customHeight="true" outlineLevel="0" collapsed="false">
      <c r="A3503" s="1" t="n">
        <v>1</v>
      </c>
      <c r="B3503" s="10" t="n">
        <v>45657</v>
      </c>
      <c r="C3503" s="11" t="s">
        <v>3522</v>
      </c>
      <c r="D3503" s="1" t="s">
        <v>2901</v>
      </c>
      <c r="E3503" s="1" t="s">
        <v>18</v>
      </c>
      <c r="F3503" s="1" t="str">
        <f aca="false">TEXT(B3503,"mmm-yyyy")</f>
        <v>Dec-2024</v>
      </c>
    </row>
    <row r="3504" customFormat="false" ht="72" hidden="false" customHeight="true" outlineLevel="0" collapsed="false">
      <c r="A3504" s="1" t="n">
        <v>1</v>
      </c>
      <c r="B3504" s="10" t="n">
        <v>45641</v>
      </c>
      <c r="C3504" s="11" t="s">
        <v>3523</v>
      </c>
      <c r="D3504" s="1" t="s">
        <v>2901</v>
      </c>
      <c r="E3504" s="1" t="s">
        <v>18</v>
      </c>
      <c r="F3504" s="1" t="str">
        <f aca="false">TEXT(B3504,"mmm-yyyy")</f>
        <v>Dec-2024</v>
      </c>
    </row>
    <row r="3505" customFormat="false" ht="72" hidden="false" customHeight="true" outlineLevel="0" collapsed="false">
      <c r="A3505" s="1" t="n">
        <v>1</v>
      </c>
      <c r="B3505" s="10" t="n">
        <v>45576</v>
      </c>
      <c r="C3505" s="11" t="s">
        <v>3524</v>
      </c>
      <c r="D3505" s="1" t="s">
        <v>2901</v>
      </c>
      <c r="E3505" s="1" t="s">
        <v>18</v>
      </c>
      <c r="F3505" s="1" t="str">
        <f aca="false">TEXT(B3505,"mmm-yyyy")</f>
        <v>Oct-2024</v>
      </c>
    </row>
    <row r="3506" customFormat="false" ht="87" hidden="false" customHeight="true" outlineLevel="0" collapsed="false">
      <c r="A3506" s="1" t="n">
        <v>1</v>
      </c>
      <c r="B3506" s="10" t="n">
        <v>45654</v>
      </c>
      <c r="C3506" s="11" t="s">
        <v>3525</v>
      </c>
      <c r="D3506" s="1" t="s">
        <v>2901</v>
      </c>
      <c r="E3506" s="1" t="s">
        <v>20</v>
      </c>
      <c r="F3506" s="1" t="str">
        <f aca="false">TEXT(B3506,"mmm-yyyy")</f>
        <v>Dec-2024</v>
      </c>
    </row>
    <row r="3507" customFormat="false" ht="144.75" hidden="false" customHeight="true" outlineLevel="0" collapsed="false">
      <c r="A3507" s="1" t="n">
        <v>1</v>
      </c>
      <c r="B3507" s="10" t="n">
        <v>45635</v>
      </c>
      <c r="C3507" s="11" t="s">
        <v>3526</v>
      </c>
      <c r="D3507" s="1" t="s">
        <v>2901</v>
      </c>
      <c r="E3507" s="1" t="s">
        <v>20</v>
      </c>
      <c r="F3507" s="1" t="str">
        <f aca="false">TEXT(B3507,"mmm-yyyy")</f>
        <v>Dec-2024</v>
      </c>
    </row>
    <row r="3508" customFormat="false" ht="130.5" hidden="false" customHeight="true" outlineLevel="0" collapsed="false">
      <c r="A3508" s="1" t="n">
        <v>1</v>
      </c>
      <c r="B3508" s="10" t="n">
        <v>45594</v>
      </c>
      <c r="C3508" s="11" t="s">
        <v>3527</v>
      </c>
      <c r="D3508" s="1" t="s">
        <v>2901</v>
      </c>
      <c r="E3508" s="1" t="s">
        <v>32</v>
      </c>
      <c r="F3508" s="1" t="str">
        <f aca="false">TEXT(B3508,"mmm-yyyy")</f>
        <v>Oct-2024</v>
      </c>
    </row>
    <row r="3509" customFormat="false" ht="115.5" hidden="false" customHeight="true" outlineLevel="0" collapsed="false">
      <c r="A3509" s="1" t="n">
        <v>1</v>
      </c>
      <c r="B3509" s="10" t="n">
        <v>45610</v>
      </c>
      <c r="C3509" s="11" t="s">
        <v>3528</v>
      </c>
      <c r="D3509" s="1" t="s">
        <v>2901</v>
      </c>
      <c r="E3509" s="1" t="s">
        <v>20</v>
      </c>
      <c r="F3509" s="1" t="str">
        <f aca="false">TEXT(B3509,"mmm-yyyy")</f>
        <v>Nov-2024</v>
      </c>
    </row>
    <row r="3510" customFormat="false" ht="72" hidden="false" customHeight="true" outlineLevel="0" collapsed="false">
      <c r="A3510" s="1" t="n">
        <v>1</v>
      </c>
      <c r="B3510" s="10" t="n">
        <v>45646</v>
      </c>
      <c r="C3510" s="11" t="s">
        <v>3529</v>
      </c>
      <c r="D3510" s="1" t="s">
        <v>2901</v>
      </c>
      <c r="E3510" s="1" t="s">
        <v>20</v>
      </c>
      <c r="F3510" s="1" t="str">
        <f aca="false">TEXT(B3510,"mmm-yyyy")</f>
        <v>Dec-2024</v>
      </c>
    </row>
    <row r="3511" customFormat="false" ht="130.5" hidden="false" customHeight="true" outlineLevel="0" collapsed="false">
      <c r="A3511" s="1" t="n">
        <v>1</v>
      </c>
      <c r="B3511" s="10" t="n">
        <v>45630</v>
      </c>
      <c r="C3511" s="11" t="s">
        <v>3530</v>
      </c>
      <c r="D3511" s="1" t="s">
        <v>2901</v>
      </c>
      <c r="E3511" s="1" t="s">
        <v>18</v>
      </c>
      <c r="F3511" s="1" t="str">
        <f aca="false">TEXT(B3511,"mmm-yyyy")</f>
        <v>Dec-2024</v>
      </c>
    </row>
    <row r="3512" customFormat="false" ht="101.25" hidden="false" customHeight="true" outlineLevel="0" collapsed="false">
      <c r="A3512" s="1" t="n">
        <v>1</v>
      </c>
      <c r="B3512" s="10" t="n">
        <v>45605</v>
      </c>
      <c r="C3512" s="11" t="s">
        <v>3531</v>
      </c>
      <c r="D3512" s="1" t="s">
        <v>2901</v>
      </c>
      <c r="E3512" s="1" t="s">
        <v>20</v>
      </c>
      <c r="F3512" s="1" t="str">
        <f aca="false">TEXT(B3512,"mmm-yyyy")</f>
        <v>Nov-2024</v>
      </c>
    </row>
    <row r="3513" customFormat="false" ht="87" hidden="false" customHeight="true" outlineLevel="0" collapsed="false">
      <c r="A3513" s="1" t="n">
        <v>1</v>
      </c>
      <c r="B3513" s="10" t="n">
        <v>45641</v>
      </c>
      <c r="C3513" s="11" t="s">
        <v>3532</v>
      </c>
      <c r="D3513" s="1" t="s">
        <v>2901</v>
      </c>
      <c r="E3513" s="1" t="s">
        <v>20</v>
      </c>
      <c r="F3513" s="1" t="str">
        <f aca="false">TEXT(B3513,"mmm-yyyy")</f>
        <v>Dec-2024</v>
      </c>
    </row>
    <row r="3514" customFormat="false" ht="87" hidden="false" customHeight="true" outlineLevel="0" collapsed="false">
      <c r="A3514" s="1" t="n">
        <v>1</v>
      </c>
      <c r="B3514" s="10" t="n">
        <v>45657</v>
      </c>
      <c r="C3514" s="11" t="s">
        <v>3533</v>
      </c>
      <c r="D3514" s="1" t="s">
        <v>2901</v>
      </c>
      <c r="E3514" s="1" t="s">
        <v>18</v>
      </c>
      <c r="F3514" s="1" t="str">
        <f aca="false">TEXT(B3514,"mmm-yyyy")</f>
        <v>Dec-2024</v>
      </c>
    </row>
    <row r="3515" customFormat="false" ht="87" hidden="false" customHeight="true" outlineLevel="0" collapsed="false">
      <c r="A3515" s="1" t="n">
        <v>1</v>
      </c>
      <c r="B3515" s="10" t="n">
        <v>45590</v>
      </c>
      <c r="C3515" s="11" t="s">
        <v>3534</v>
      </c>
      <c r="D3515" s="1" t="s">
        <v>2901</v>
      </c>
      <c r="E3515" s="1" t="s">
        <v>20</v>
      </c>
      <c r="F3515" s="1" t="str">
        <f aca="false">TEXT(B3515,"mmm-yyyy")</f>
        <v>Oct-2024</v>
      </c>
    </row>
    <row r="3516" customFormat="false" ht="72" hidden="false" customHeight="true" outlineLevel="0" collapsed="false">
      <c r="A3516" s="1" t="n">
        <v>1</v>
      </c>
      <c r="B3516" s="10" t="n">
        <v>45657</v>
      </c>
      <c r="C3516" s="11" t="s">
        <v>3535</v>
      </c>
      <c r="D3516" s="1" t="s">
        <v>2901</v>
      </c>
      <c r="E3516" s="1" t="s">
        <v>18</v>
      </c>
      <c r="F3516" s="1" t="str">
        <f aca="false">TEXT(B3516,"mmm-yyyy")</f>
        <v>Dec-2024</v>
      </c>
    </row>
    <row r="3517" customFormat="false" ht="115.5" hidden="false" customHeight="true" outlineLevel="0" collapsed="false">
      <c r="A3517" s="1" t="n">
        <v>5</v>
      </c>
      <c r="B3517" s="10" t="n">
        <v>45588</v>
      </c>
      <c r="C3517" s="11" t="s">
        <v>3536</v>
      </c>
      <c r="D3517" s="1" t="s">
        <v>2901</v>
      </c>
      <c r="E3517" s="1" t="s">
        <v>18</v>
      </c>
      <c r="F3517" s="1" t="str">
        <f aca="false">TEXT(B3517,"mmm-yyyy")</f>
        <v>Oct-2024</v>
      </c>
    </row>
    <row r="3518" customFormat="false" ht="57.75" hidden="false" customHeight="true" outlineLevel="0" collapsed="false">
      <c r="A3518" s="1" t="n">
        <v>1</v>
      </c>
      <c r="B3518" s="10" t="n">
        <v>45641</v>
      </c>
      <c r="C3518" s="11" t="s">
        <v>3537</v>
      </c>
      <c r="D3518" s="1" t="s">
        <v>2901</v>
      </c>
      <c r="E3518" s="1" t="s">
        <v>18</v>
      </c>
      <c r="F3518" s="1" t="str">
        <f aca="false">TEXT(B3518,"mmm-yyyy")</f>
        <v>Dec-2024</v>
      </c>
    </row>
    <row r="3519" customFormat="false" ht="115.5" hidden="false" customHeight="true" outlineLevel="0" collapsed="false">
      <c r="A3519" s="1" t="n">
        <v>1</v>
      </c>
      <c r="B3519" s="10" t="n">
        <v>45620</v>
      </c>
      <c r="C3519" s="11" t="s">
        <v>3538</v>
      </c>
      <c r="D3519" s="1" t="s">
        <v>2901</v>
      </c>
      <c r="E3519" s="1" t="s">
        <v>18</v>
      </c>
      <c r="F3519" s="1" t="str">
        <f aca="false">TEXT(B3519,"mmm-yyyy")</f>
        <v>Nov-2024</v>
      </c>
    </row>
    <row r="3520" customFormat="false" ht="130.5" hidden="false" customHeight="true" outlineLevel="0" collapsed="false">
      <c r="A3520" s="1" t="n">
        <v>1</v>
      </c>
      <c r="B3520" s="10" t="n">
        <v>45611</v>
      </c>
      <c r="C3520" s="11" t="s">
        <v>3539</v>
      </c>
      <c r="D3520" s="1" t="s">
        <v>2901</v>
      </c>
      <c r="E3520" s="1" t="s">
        <v>20</v>
      </c>
      <c r="F3520" s="1" t="str">
        <f aca="false">TEXT(B3520,"mmm-yyyy")</f>
        <v>Nov-2024</v>
      </c>
    </row>
    <row r="3521" customFormat="false" ht="72" hidden="false" customHeight="true" outlineLevel="0" collapsed="false">
      <c r="A3521" s="1" t="n">
        <v>1</v>
      </c>
      <c r="B3521" s="10" t="n">
        <v>45643</v>
      </c>
      <c r="C3521" s="11" t="s">
        <v>3540</v>
      </c>
      <c r="D3521" s="1" t="s">
        <v>2901</v>
      </c>
      <c r="E3521" s="1" t="s">
        <v>20</v>
      </c>
      <c r="F3521" s="1" t="str">
        <f aca="false">TEXT(B3521,"mmm-yyyy")</f>
        <v>Dec-2024</v>
      </c>
    </row>
    <row r="3522" customFormat="false" ht="87" hidden="false" customHeight="true" outlineLevel="0" collapsed="false">
      <c r="A3522" s="1" t="n">
        <v>1</v>
      </c>
      <c r="B3522" s="10" t="n">
        <v>45612</v>
      </c>
      <c r="C3522" s="11" t="s">
        <v>3541</v>
      </c>
      <c r="D3522" s="1" t="s">
        <v>2901</v>
      </c>
      <c r="E3522" s="1" t="s">
        <v>18</v>
      </c>
      <c r="F3522" s="1" t="str">
        <f aca="false">TEXT(B3522,"mmm-yyyy")</f>
        <v>Nov-2024</v>
      </c>
    </row>
    <row r="3523" customFormat="false" ht="72" hidden="false" customHeight="true" outlineLevel="0" collapsed="false">
      <c r="A3523" s="1" t="n">
        <v>1</v>
      </c>
      <c r="B3523" s="10" t="n">
        <v>45656</v>
      </c>
      <c r="C3523" s="11" t="s">
        <v>3542</v>
      </c>
      <c r="D3523" s="1" t="s">
        <v>2901</v>
      </c>
      <c r="E3523" s="1" t="s">
        <v>20</v>
      </c>
      <c r="F3523" s="1" t="str">
        <f aca="false">TEXT(B3523,"mmm-yyyy")</f>
        <v>Dec-2024</v>
      </c>
    </row>
    <row r="3524" customFormat="false" ht="101.25" hidden="false" customHeight="true" outlineLevel="0" collapsed="false">
      <c r="A3524" s="1" t="n">
        <v>1</v>
      </c>
      <c r="B3524" s="10" t="n">
        <v>45635</v>
      </c>
      <c r="C3524" s="11" t="s">
        <v>3543</v>
      </c>
      <c r="D3524" s="1" t="s">
        <v>2901</v>
      </c>
      <c r="E3524" s="1" t="s">
        <v>18</v>
      </c>
      <c r="F3524" s="1" t="str">
        <f aca="false">TEXT(B3524,"mmm-yyyy")</f>
        <v>Dec-2024</v>
      </c>
    </row>
    <row r="3525" customFormat="false" ht="115.5" hidden="false" customHeight="true" outlineLevel="0" collapsed="false">
      <c r="A3525" s="1" t="n">
        <v>1</v>
      </c>
      <c r="B3525" s="10" t="n">
        <v>45627</v>
      </c>
      <c r="C3525" s="11" t="s">
        <v>3544</v>
      </c>
      <c r="D3525" s="1" t="s">
        <v>2901</v>
      </c>
      <c r="E3525" s="1" t="s">
        <v>20</v>
      </c>
      <c r="F3525" s="1" t="str">
        <f aca="false">TEXT(B3525,"mmm-yyyy")</f>
        <v>Dec-2024</v>
      </c>
    </row>
    <row r="3526" customFormat="false" ht="72" hidden="false" customHeight="true" outlineLevel="0" collapsed="false">
      <c r="A3526" s="1" t="n">
        <v>1</v>
      </c>
      <c r="B3526" s="10" t="n">
        <v>45626</v>
      </c>
      <c r="C3526" s="11" t="s">
        <v>3545</v>
      </c>
      <c r="D3526" s="1" t="s">
        <v>2901</v>
      </c>
      <c r="E3526" s="1" t="s">
        <v>18</v>
      </c>
      <c r="F3526" s="1" t="str">
        <f aca="false">TEXT(B3526,"mmm-yyyy")</f>
        <v>Nov-2024</v>
      </c>
    </row>
    <row r="3527" customFormat="false" ht="57.75" hidden="false" customHeight="true" outlineLevel="0" collapsed="false">
      <c r="A3527" s="1" t="n">
        <v>1</v>
      </c>
      <c r="B3527" s="10" t="n">
        <v>45653</v>
      </c>
      <c r="C3527" s="11" t="s">
        <v>3546</v>
      </c>
      <c r="D3527" s="1" t="s">
        <v>2901</v>
      </c>
      <c r="E3527" s="1" t="s">
        <v>18</v>
      </c>
      <c r="F3527" s="1" t="str">
        <f aca="false">TEXT(B3527,"mmm-yyyy")</f>
        <v>Dec-2024</v>
      </c>
    </row>
    <row r="3528" customFormat="false" ht="57.75" hidden="false" customHeight="true" outlineLevel="0" collapsed="false">
      <c r="A3528" s="1" t="n">
        <v>1</v>
      </c>
      <c r="B3528" s="10" t="n">
        <v>45652</v>
      </c>
      <c r="C3528" s="11" t="s">
        <v>3547</v>
      </c>
      <c r="D3528" s="1" t="s">
        <v>2901</v>
      </c>
      <c r="E3528" s="1" t="s">
        <v>20</v>
      </c>
      <c r="F3528" s="1" t="str">
        <f aca="false">TEXT(B3528,"mmm-yyyy")</f>
        <v>Dec-2024</v>
      </c>
    </row>
    <row r="3529" customFormat="false" ht="72" hidden="false" customHeight="true" outlineLevel="0" collapsed="false">
      <c r="A3529" s="1" t="n">
        <v>1</v>
      </c>
      <c r="B3529" s="10" t="n">
        <v>45642</v>
      </c>
      <c r="C3529" s="11" t="s">
        <v>3548</v>
      </c>
      <c r="D3529" s="1" t="s">
        <v>2901</v>
      </c>
      <c r="E3529" s="1" t="s">
        <v>20</v>
      </c>
      <c r="F3529" s="1" t="str">
        <f aca="false">TEXT(B3529,"mmm-yyyy")</f>
        <v>Dec-2024</v>
      </c>
    </row>
    <row r="3530" customFormat="false" ht="130.5" hidden="false" customHeight="true" outlineLevel="0" collapsed="false">
      <c r="A3530" s="1" t="n">
        <v>1</v>
      </c>
      <c r="B3530" s="10" t="n">
        <v>45629</v>
      </c>
      <c r="C3530" s="11" t="s">
        <v>3549</v>
      </c>
      <c r="D3530" s="1" t="s">
        <v>2901</v>
      </c>
      <c r="E3530" s="1" t="s">
        <v>20</v>
      </c>
      <c r="F3530" s="1" t="str">
        <f aca="false">TEXT(B3530,"mmm-yyyy")</f>
        <v>Dec-2024</v>
      </c>
    </row>
    <row r="3531" customFormat="false" ht="72" hidden="false" customHeight="true" outlineLevel="0" collapsed="false">
      <c r="A3531" s="1" t="n">
        <v>1</v>
      </c>
      <c r="B3531" s="10" t="n">
        <v>45609</v>
      </c>
      <c r="C3531" s="11" t="s">
        <v>3550</v>
      </c>
      <c r="D3531" s="1" t="s">
        <v>2901</v>
      </c>
      <c r="E3531" s="1" t="s">
        <v>20</v>
      </c>
      <c r="F3531" s="1" t="str">
        <f aca="false">TEXT(B3531,"mmm-yyyy")</f>
        <v>Nov-2024</v>
      </c>
    </row>
    <row r="3532" customFormat="false" ht="101.25" hidden="false" customHeight="true" outlineLevel="0" collapsed="false">
      <c r="A3532" s="1" t="n">
        <v>1</v>
      </c>
      <c r="B3532" s="10" t="n">
        <v>45651</v>
      </c>
      <c r="C3532" s="11" t="s">
        <v>3551</v>
      </c>
      <c r="D3532" s="1" t="s">
        <v>2901</v>
      </c>
      <c r="E3532" s="1" t="s">
        <v>18</v>
      </c>
      <c r="F3532" s="1" t="str">
        <f aca="false">TEXT(B3532,"mmm-yyyy")</f>
        <v>Dec-2024</v>
      </c>
    </row>
    <row r="3533" customFormat="false" ht="101.25" hidden="false" customHeight="true" outlineLevel="0" collapsed="false">
      <c r="A3533" s="1" t="n">
        <v>1</v>
      </c>
      <c r="B3533" s="10" t="n">
        <v>45602</v>
      </c>
      <c r="C3533" s="11" t="s">
        <v>3552</v>
      </c>
      <c r="D3533" s="1" t="s">
        <v>2901</v>
      </c>
      <c r="E3533" s="1" t="s">
        <v>20</v>
      </c>
      <c r="F3533" s="1" t="str">
        <f aca="false">TEXT(B3533,"mmm-yyyy")</f>
        <v>Nov-2024</v>
      </c>
    </row>
    <row r="3534" customFormat="false" ht="72" hidden="false" customHeight="true" outlineLevel="0" collapsed="false">
      <c r="A3534" s="1" t="n">
        <v>1</v>
      </c>
      <c r="B3534" s="10" t="n">
        <v>45637</v>
      </c>
      <c r="C3534" s="11" t="s">
        <v>3553</v>
      </c>
      <c r="D3534" s="1" t="s">
        <v>2901</v>
      </c>
      <c r="E3534" s="1" t="s">
        <v>20</v>
      </c>
      <c r="F3534" s="1" t="str">
        <f aca="false">TEXT(B3534,"mmm-yyyy")</f>
        <v>Dec-2024</v>
      </c>
    </row>
    <row r="3535" customFormat="false" ht="57.75" hidden="false" customHeight="true" outlineLevel="0" collapsed="false">
      <c r="A3535" s="1" t="n">
        <v>5</v>
      </c>
      <c r="B3535" s="10" t="n">
        <v>45645</v>
      </c>
      <c r="C3535" s="11" t="s">
        <v>3554</v>
      </c>
      <c r="D3535" s="1" t="s">
        <v>2901</v>
      </c>
      <c r="E3535" s="1" t="s">
        <v>18</v>
      </c>
      <c r="F3535" s="1" t="str">
        <f aca="false">TEXT(B3535,"mmm-yyyy")</f>
        <v>Dec-2024</v>
      </c>
    </row>
    <row r="3536" customFormat="false" ht="57.75" hidden="false" customHeight="true" outlineLevel="0" collapsed="false">
      <c r="A3536" s="1" t="n">
        <v>1</v>
      </c>
      <c r="B3536" s="10" t="n">
        <v>45642</v>
      </c>
      <c r="C3536" s="11" t="s">
        <v>3555</v>
      </c>
      <c r="D3536" s="1" t="s">
        <v>2901</v>
      </c>
      <c r="E3536" s="1" t="s">
        <v>20</v>
      </c>
      <c r="F3536" s="1" t="str">
        <f aca="false">TEXT(B3536,"mmm-yyyy")</f>
        <v>Dec-2024</v>
      </c>
    </row>
    <row r="3537" customFormat="false" ht="87" hidden="false" customHeight="true" outlineLevel="0" collapsed="false">
      <c r="A3537" s="1" t="n">
        <v>3</v>
      </c>
      <c r="B3537" s="10" t="n">
        <v>45646</v>
      </c>
      <c r="C3537" s="11" t="s">
        <v>3556</v>
      </c>
      <c r="D3537" s="1" t="s">
        <v>2901</v>
      </c>
      <c r="E3537" s="1" t="s">
        <v>20</v>
      </c>
      <c r="F3537" s="1" t="str">
        <f aca="false">TEXT(B3537,"mmm-yyyy")</f>
        <v>Dec-2024</v>
      </c>
    </row>
    <row r="3538" customFormat="false" ht="72" hidden="false" customHeight="true" outlineLevel="0" collapsed="false">
      <c r="A3538" s="1" t="n">
        <v>1</v>
      </c>
      <c r="B3538" s="10" t="n">
        <v>45586</v>
      </c>
      <c r="C3538" s="11" t="s">
        <v>3557</v>
      </c>
      <c r="D3538" s="1" t="s">
        <v>2901</v>
      </c>
      <c r="E3538" s="1" t="s">
        <v>18</v>
      </c>
      <c r="F3538" s="1" t="str">
        <f aca="false">TEXT(B3538,"mmm-yyyy")</f>
        <v>Oct-2024</v>
      </c>
    </row>
    <row r="3539" customFormat="false" ht="72" hidden="false" customHeight="true" outlineLevel="0" collapsed="false">
      <c r="A3539" s="1" t="n">
        <v>1</v>
      </c>
      <c r="B3539" s="10" t="n">
        <v>45615</v>
      </c>
      <c r="C3539" s="11" t="s">
        <v>3558</v>
      </c>
      <c r="D3539" s="1" t="s">
        <v>2901</v>
      </c>
      <c r="E3539" s="1" t="s">
        <v>20</v>
      </c>
      <c r="F3539" s="1" t="str">
        <f aca="false">TEXT(B3539,"mmm-yyyy")</f>
        <v>Nov-2024</v>
      </c>
    </row>
    <row r="3540" customFormat="false" ht="57.75" hidden="false" customHeight="true" outlineLevel="0" collapsed="false">
      <c r="A3540" s="1" t="n">
        <v>1</v>
      </c>
      <c r="B3540" s="10" t="n">
        <v>45626</v>
      </c>
      <c r="C3540" s="11" t="s">
        <v>3559</v>
      </c>
      <c r="D3540" s="1" t="s">
        <v>2901</v>
      </c>
      <c r="E3540" s="1" t="s">
        <v>18</v>
      </c>
      <c r="F3540" s="1" t="str">
        <f aca="false">TEXT(B3540,"mmm-yyyy")</f>
        <v>Nov-2024</v>
      </c>
    </row>
    <row r="3541" customFormat="false" ht="87" hidden="false" customHeight="true" outlineLevel="0" collapsed="false">
      <c r="A3541" s="1" t="n">
        <v>1</v>
      </c>
      <c r="B3541" s="10" t="n">
        <v>45642</v>
      </c>
      <c r="C3541" s="11" t="s">
        <v>3560</v>
      </c>
      <c r="D3541" s="1" t="s">
        <v>2901</v>
      </c>
      <c r="E3541" s="1" t="s">
        <v>18</v>
      </c>
      <c r="F3541" s="1" t="str">
        <f aca="false">TEXT(B3541,"mmm-yyyy")</f>
        <v>Dec-2024</v>
      </c>
    </row>
    <row r="3542" customFormat="false" ht="87" hidden="false" customHeight="true" outlineLevel="0" collapsed="false">
      <c r="A3542" s="1" t="n">
        <v>5</v>
      </c>
      <c r="B3542" s="10" t="n">
        <v>45648</v>
      </c>
      <c r="C3542" s="11" t="s">
        <v>3561</v>
      </c>
      <c r="D3542" s="1" t="s">
        <v>2901</v>
      </c>
      <c r="E3542" s="1" t="s">
        <v>18</v>
      </c>
      <c r="F3542" s="1" t="str">
        <f aca="false">TEXT(B3542,"mmm-yyyy")</f>
        <v>Dec-2024</v>
      </c>
    </row>
    <row r="3543" customFormat="false" ht="101.25" hidden="false" customHeight="true" outlineLevel="0" collapsed="false">
      <c r="A3543" s="1" t="n">
        <v>1</v>
      </c>
      <c r="B3543" s="10" t="n">
        <v>45641</v>
      </c>
      <c r="C3543" s="11" t="s">
        <v>3562</v>
      </c>
      <c r="D3543" s="1" t="s">
        <v>2901</v>
      </c>
      <c r="E3543" s="1" t="s">
        <v>20</v>
      </c>
      <c r="F3543" s="1" t="str">
        <f aca="false">TEXT(B3543,"mmm-yyyy")</f>
        <v>Dec-2024</v>
      </c>
    </row>
    <row r="3544" customFormat="false" ht="87" hidden="false" customHeight="true" outlineLevel="0" collapsed="false">
      <c r="A3544" s="1" t="n">
        <v>1</v>
      </c>
      <c r="B3544" s="10" t="n">
        <v>45579</v>
      </c>
      <c r="C3544" s="11" t="s">
        <v>3563</v>
      </c>
      <c r="D3544" s="1" t="s">
        <v>2901</v>
      </c>
      <c r="E3544" s="1" t="s">
        <v>20</v>
      </c>
      <c r="F3544" s="1" t="str">
        <f aca="false">TEXT(B3544,"mmm-yyyy")</f>
        <v>Oct-2024</v>
      </c>
    </row>
    <row r="3545" customFormat="false" ht="57.75" hidden="false" customHeight="true" outlineLevel="0" collapsed="false">
      <c r="A3545" s="1" t="n">
        <v>3</v>
      </c>
      <c r="B3545" s="10" t="n">
        <v>45637</v>
      </c>
      <c r="C3545" s="11" t="s">
        <v>3564</v>
      </c>
      <c r="D3545" s="1" t="s">
        <v>2901</v>
      </c>
      <c r="E3545" s="1" t="s">
        <v>32</v>
      </c>
      <c r="F3545" s="1" t="str">
        <f aca="false">TEXT(B3545,"mmm-yyyy")</f>
        <v>Dec-2024</v>
      </c>
    </row>
    <row r="3546" customFormat="false" ht="72" hidden="false" customHeight="true" outlineLevel="0" collapsed="false">
      <c r="A3546" s="1" t="n">
        <v>1</v>
      </c>
      <c r="B3546" s="10" t="n">
        <v>45646</v>
      </c>
      <c r="C3546" s="11" t="s">
        <v>3565</v>
      </c>
      <c r="D3546" s="1" t="s">
        <v>2901</v>
      </c>
      <c r="E3546" s="1" t="s">
        <v>20</v>
      </c>
      <c r="F3546" s="1" t="str">
        <f aca="false">TEXT(B3546,"mmm-yyyy")</f>
        <v>Dec-2024</v>
      </c>
    </row>
    <row r="3547" customFormat="false" ht="72" hidden="false" customHeight="true" outlineLevel="0" collapsed="false">
      <c r="A3547" s="1" t="n">
        <v>1</v>
      </c>
      <c r="B3547" s="10" t="n">
        <v>45594</v>
      </c>
      <c r="C3547" s="11" t="s">
        <v>3566</v>
      </c>
      <c r="D3547" s="1" t="s">
        <v>2901</v>
      </c>
      <c r="E3547" s="1" t="s">
        <v>32</v>
      </c>
      <c r="F3547" s="1" t="str">
        <f aca="false">TEXT(B3547,"mmm-yyyy")</f>
        <v>Oct-2024</v>
      </c>
    </row>
    <row r="3548" customFormat="false" ht="87" hidden="false" customHeight="true" outlineLevel="0" collapsed="false">
      <c r="A3548" s="1" t="n">
        <v>1</v>
      </c>
      <c r="B3548" s="10" t="n">
        <v>45647</v>
      </c>
      <c r="C3548" s="11" t="s">
        <v>3567</v>
      </c>
      <c r="D3548" s="1" t="s">
        <v>2901</v>
      </c>
      <c r="E3548" s="1" t="s">
        <v>20</v>
      </c>
      <c r="F3548" s="1" t="str">
        <f aca="false">TEXT(B3548,"mmm-yyyy")</f>
        <v>Dec-2024</v>
      </c>
    </row>
    <row r="3549" customFormat="false" ht="57.75" hidden="false" customHeight="true" outlineLevel="0" collapsed="false">
      <c r="A3549" s="1" t="n">
        <v>3</v>
      </c>
      <c r="B3549" s="10" t="n">
        <v>45640</v>
      </c>
      <c r="C3549" s="11" t="s">
        <v>3568</v>
      </c>
      <c r="D3549" s="1" t="s">
        <v>2901</v>
      </c>
      <c r="E3549" s="1" t="s">
        <v>18</v>
      </c>
      <c r="F3549" s="1" t="str">
        <f aca="false">TEXT(B3549,"mmm-yyyy")</f>
        <v>Dec-2024</v>
      </c>
    </row>
    <row r="3550" customFormat="false" ht="57.75" hidden="false" customHeight="true" outlineLevel="0" collapsed="false">
      <c r="A3550" s="1" t="n">
        <v>1</v>
      </c>
      <c r="B3550" s="10" t="n">
        <v>45574</v>
      </c>
      <c r="C3550" s="11" t="s">
        <v>3569</v>
      </c>
      <c r="D3550" s="1" t="s">
        <v>2901</v>
      </c>
      <c r="E3550" s="1" t="s">
        <v>20</v>
      </c>
      <c r="F3550" s="1" t="str">
        <f aca="false">TEXT(B3550,"mmm-yyyy")</f>
        <v>Oct-2024</v>
      </c>
    </row>
    <row r="3551" customFormat="false" ht="101.25" hidden="false" customHeight="true" outlineLevel="0" collapsed="false">
      <c r="A3551" s="1" t="n">
        <v>1</v>
      </c>
      <c r="B3551" s="10" t="n">
        <v>45638</v>
      </c>
      <c r="C3551" s="11" t="s">
        <v>3570</v>
      </c>
      <c r="D3551" s="1" t="s">
        <v>2901</v>
      </c>
      <c r="E3551" s="1" t="s">
        <v>20</v>
      </c>
      <c r="F3551" s="1" t="str">
        <f aca="false">TEXT(B3551,"mmm-yyyy")</f>
        <v>Dec-2024</v>
      </c>
    </row>
    <row r="3552" customFormat="false" ht="130.5" hidden="false" customHeight="true" outlineLevel="0" collapsed="false">
      <c r="A3552" s="1" t="n">
        <v>1</v>
      </c>
      <c r="B3552" s="10" t="n">
        <v>45613</v>
      </c>
      <c r="C3552" s="11" t="s">
        <v>3571</v>
      </c>
      <c r="D3552" s="1" t="s">
        <v>2901</v>
      </c>
      <c r="E3552" s="1" t="s">
        <v>18</v>
      </c>
      <c r="F3552" s="1" t="str">
        <f aca="false">TEXT(B3552,"mmm-yyyy")</f>
        <v>Nov-2024</v>
      </c>
    </row>
    <row r="3553" customFormat="false" ht="72" hidden="false" customHeight="true" outlineLevel="0" collapsed="false">
      <c r="A3553" s="1" t="n">
        <v>5</v>
      </c>
      <c r="B3553" s="10" t="n">
        <v>45650</v>
      </c>
      <c r="C3553" s="11" t="s">
        <v>3572</v>
      </c>
      <c r="D3553" s="1" t="s">
        <v>2901</v>
      </c>
      <c r="E3553" s="1" t="s">
        <v>18</v>
      </c>
      <c r="F3553" s="1" t="str">
        <f aca="false">TEXT(B3553,"mmm-yyyy")</f>
        <v>Dec-2024</v>
      </c>
    </row>
    <row r="3554" customFormat="false" ht="57.75" hidden="false" customHeight="true" outlineLevel="0" collapsed="false">
      <c r="A3554" s="1" t="n">
        <v>2</v>
      </c>
      <c r="B3554" s="10" t="n">
        <v>45637</v>
      </c>
      <c r="C3554" s="11" t="s">
        <v>3573</v>
      </c>
      <c r="D3554" s="1" t="s">
        <v>2901</v>
      </c>
      <c r="E3554" s="1" t="s">
        <v>18</v>
      </c>
      <c r="F3554" s="1" t="str">
        <f aca="false">TEXT(B3554,"mmm-yyyy")</f>
        <v>Dec-2024</v>
      </c>
    </row>
    <row r="3555" customFormat="false" ht="115.5" hidden="false" customHeight="true" outlineLevel="0" collapsed="false">
      <c r="A3555" s="1" t="n">
        <v>1</v>
      </c>
      <c r="B3555" s="10" t="n">
        <v>45634</v>
      </c>
      <c r="C3555" s="11" t="s">
        <v>3574</v>
      </c>
      <c r="D3555" s="1" t="s">
        <v>2901</v>
      </c>
      <c r="E3555" s="1" t="s">
        <v>18</v>
      </c>
      <c r="F3555" s="1" t="str">
        <f aca="false">TEXT(B3555,"mmm-yyyy")</f>
        <v>Dec-2024</v>
      </c>
    </row>
    <row r="3556" customFormat="false" ht="87" hidden="false" customHeight="true" outlineLevel="0" collapsed="false">
      <c r="A3556" s="1" t="n">
        <v>1</v>
      </c>
      <c r="B3556" s="10" t="n">
        <v>45630</v>
      </c>
      <c r="C3556" s="11" t="s">
        <v>3575</v>
      </c>
      <c r="D3556" s="1" t="s">
        <v>2901</v>
      </c>
      <c r="E3556" s="1" t="s">
        <v>20</v>
      </c>
      <c r="F3556" s="1" t="str">
        <f aca="false">TEXT(B3556,"mmm-yyyy")</f>
        <v>Dec-2024</v>
      </c>
    </row>
    <row r="3557" customFormat="false" ht="101.25" hidden="false" customHeight="true" outlineLevel="0" collapsed="false">
      <c r="A3557" s="1" t="n">
        <v>1</v>
      </c>
      <c r="B3557" s="10" t="n">
        <v>45610</v>
      </c>
      <c r="C3557" s="11" t="s">
        <v>3576</v>
      </c>
      <c r="D3557" s="1" t="s">
        <v>2901</v>
      </c>
      <c r="E3557" s="1" t="s">
        <v>18</v>
      </c>
      <c r="F3557" s="1" t="str">
        <f aca="false">TEXT(B3557,"mmm-yyyy")</f>
        <v>Nov-2024</v>
      </c>
    </row>
    <row r="3558" customFormat="false" ht="87" hidden="false" customHeight="true" outlineLevel="0" collapsed="false">
      <c r="A3558" s="1" t="n">
        <v>1</v>
      </c>
      <c r="B3558" s="10" t="n">
        <v>45639</v>
      </c>
      <c r="C3558" s="11" t="s">
        <v>3577</v>
      </c>
      <c r="D3558" s="1" t="s">
        <v>2901</v>
      </c>
      <c r="E3558" s="1" t="s">
        <v>20</v>
      </c>
      <c r="F3558" s="1" t="str">
        <f aca="false">TEXT(B3558,"mmm-yyyy")</f>
        <v>Dec-2024</v>
      </c>
    </row>
    <row r="3559" customFormat="false" ht="57.75" hidden="false" customHeight="true" outlineLevel="0" collapsed="false">
      <c r="A3559" s="1" t="n">
        <v>1</v>
      </c>
      <c r="B3559" s="10" t="n">
        <v>45654</v>
      </c>
      <c r="C3559" s="11" t="s">
        <v>3578</v>
      </c>
      <c r="D3559" s="1" t="s">
        <v>2901</v>
      </c>
      <c r="E3559" s="1" t="s">
        <v>20</v>
      </c>
      <c r="F3559" s="1" t="str">
        <f aca="false">TEXT(B3559,"mmm-yyyy")</f>
        <v>Dec-2024</v>
      </c>
    </row>
    <row r="3560" customFormat="false" ht="87" hidden="false" customHeight="true" outlineLevel="0" collapsed="false">
      <c r="A3560" s="1" t="n">
        <v>1</v>
      </c>
      <c r="B3560" s="10" t="n">
        <v>45656</v>
      </c>
      <c r="C3560" s="11" t="s">
        <v>3579</v>
      </c>
      <c r="D3560" s="1" t="s">
        <v>2901</v>
      </c>
      <c r="E3560" s="1" t="s">
        <v>20</v>
      </c>
      <c r="F3560" s="1" t="str">
        <f aca="false">TEXT(B3560,"mmm-yyyy")</f>
        <v>Dec-2024</v>
      </c>
    </row>
    <row r="3561" customFormat="false" ht="130.5" hidden="false" customHeight="true" outlineLevel="0" collapsed="false">
      <c r="A3561" s="1" t="n">
        <v>5</v>
      </c>
      <c r="B3561" s="10" t="n">
        <v>45593</v>
      </c>
      <c r="C3561" s="11" t="s">
        <v>3580</v>
      </c>
      <c r="D3561" s="1" t="s">
        <v>2901</v>
      </c>
      <c r="E3561" s="1" t="s">
        <v>18</v>
      </c>
      <c r="F3561" s="1" t="str">
        <f aca="false">TEXT(B3561,"mmm-yyyy")</f>
        <v>Oct-2024</v>
      </c>
    </row>
    <row r="3562" customFormat="false" ht="72" hidden="false" customHeight="true" outlineLevel="0" collapsed="false">
      <c r="A3562" s="1" t="n">
        <v>4</v>
      </c>
      <c r="B3562" s="10" t="n">
        <v>45656</v>
      </c>
      <c r="C3562" s="11" t="s">
        <v>3581</v>
      </c>
      <c r="D3562" s="1" t="s">
        <v>2901</v>
      </c>
      <c r="E3562" s="1" t="s">
        <v>20</v>
      </c>
      <c r="F3562" s="1" t="str">
        <f aca="false">TEXT(B3562,"mmm-yyyy")</f>
        <v>Dec-2024</v>
      </c>
    </row>
    <row r="3563" customFormat="false" ht="57.75" hidden="false" customHeight="true" outlineLevel="0" collapsed="false">
      <c r="A3563" s="1" t="n">
        <v>3</v>
      </c>
      <c r="B3563" s="10" t="n">
        <v>45652</v>
      </c>
      <c r="C3563" s="11" t="s">
        <v>3582</v>
      </c>
      <c r="D3563" s="1" t="s">
        <v>2901</v>
      </c>
      <c r="E3563" s="1" t="s">
        <v>20</v>
      </c>
      <c r="F3563" s="1" t="str">
        <f aca="false">TEXT(B3563,"mmm-yyyy")</f>
        <v>Dec-2024</v>
      </c>
    </row>
    <row r="3564" customFormat="false" ht="101.25" hidden="false" customHeight="true" outlineLevel="0" collapsed="false">
      <c r="A3564" s="1" t="n">
        <v>1</v>
      </c>
      <c r="B3564" s="10" t="n">
        <v>45585</v>
      </c>
      <c r="C3564" s="11" t="s">
        <v>3583</v>
      </c>
      <c r="D3564" s="1" t="s">
        <v>2901</v>
      </c>
      <c r="E3564" s="1" t="s">
        <v>18</v>
      </c>
      <c r="F3564" s="1" t="str">
        <f aca="false">TEXT(B3564,"mmm-yyyy")</f>
        <v>Oct-2024</v>
      </c>
    </row>
    <row r="3565" customFormat="false" ht="72" hidden="false" customHeight="true" outlineLevel="0" collapsed="false">
      <c r="A3565" s="1" t="n">
        <v>3</v>
      </c>
      <c r="B3565" s="10" t="n">
        <v>45593</v>
      </c>
      <c r="C3565" s="11" t="s">
        <v>3584</v>
      </c>
      <c r="D3565" s="1" t="s">
        <v>2901</v>
      </c>
      <c r="E3565" s="1" t="s">
        <v>18</v>
      </c>
      <c r="F3565" s="1" t="str">
        <f aca="false">TEXT(B3565,"mmm-yyyy")</f>
        <v>Oct-2024</v>
      </c>
    </row>
    <row r="3566" customFormat="false" ht="130.5" hidden="false" customHeight="true" outlineLevel="0" collapsed="false">
      <c r="A3566" s="1" t="n">
        <v>1</v>
      </c>
      <c r="B3566" s="10" t="n">
        <v>45641</v>
      </c>
      <c r="C3566" s="11" t="s">
        <v>3585</v>
      </c>
      <c r="D3566" s="1" t="s">
        <v>2901</v>
      </c>
      <c r="E3566" s="1" t="s">
        <v>20</v>
      </c>
      <c r="F3566" s="1" t="str">
        <f aca="false">TEXT(B3566,"mmm-yyyy")</f>
        <v>Dec-2024</v>
      </c>
    </row>
    <row r="3567" customFormat="false" ht="101.25" hidden="false" customHeight="true" outlineLevel="0" collapsed="false">
      <c r="A3567" s="1" t="n">
        <v>5</v>
      </c>
      <c r="B3567" s="10" t="n">
        <v>45621</v>
      </c>
      <c r="C3567" s="11" t="s">
        <v>3586</v>
      </c>
      <c r="D3567" s="1" t="s">
        <v>2901</v>
      </c>
      <c r="E3567" s="1" t="s">
        <v>18</v>
      </c>
      <c r="F3567" s="1" t="str">
        <f aca="false">TEXT(B3567,"mmm-yyyy")</f>
        <v>Nov-2024</v>
      </c>
    </row>
    <row r="3568" customFormat="false" ht="87" hidden="false" customHeight="true" outlineLevel="0" collapsed="false">
      <c r="A3568" s="1" t="n">
        <v>1</v>
      </c>
      <c r="B3568" s="10" t="n">
        <v>45623</v>
      </c>
      <c r="C3568" s="11" t="s">
        <v>3587</v>
      </c>
      <c r="D3568" s="1" t="s">
        <v>2901</v>
      </c>
      <c r="E3568" s="1" t="s">
        <v>32</v>
      </c>
      <c r="F3568" s="1" t="str">
        <f aca="false">TEXT(B3568,"mmm-yyyy")</f>
        <v>Nov-2024</v>
      </c>
    </row>
    <row r="3569" customFormat="false" ht="57.75" hidden="false" customHeight="true" outlineLevel="0" collapsed="false">
      <c r="A3569" s="1" t="n">
        <v>3</v>
      </c>
      <c r="B3569" s="10" t="n">
        <v>45638</v>
      </c>
      <c r="C3569" s="11" t="s">
        <v>3588</v>
      </c>
      <c r="D3569" s="1" t="s">
        <v>2901</v>
      </c>
      <c r="E3569" s="1" t="s">
        <v>18</v>
      </c>
      <c r="F3569" s="1" t="str">
        <f aca="false">TEXT(B3569,"mmm-yyyy")</f>
        <v>Dec-2024</v>
      </c>
    </row>
    <row r="3570" customFormat="false" ht="57.75" hidden="false" customHeight="true" outlineLevel="0" collapsed="false">
      <c r="A3570" s="1" t="n">
        <v>3</v>
      </c>
      <c r="B3570" s="10" t="n">
        <v>45618</v>
      </c>
      <c r="C3570" s="11" t="s">
        <v>3589</v>
      </c>
      <c r="D3570" s="1" t="s">
        <v>2901</v>
      </c>
      <c r="E3570" s="1" t="s">
        <v>20</v>
      </c>
      <c r="F3570" s="1" t="str">
        <f aca="false">TEXT(B3570,"mmm-yyyy")</f>
        <v>Nov-2024</v>
      </c>
    </row>
    <row r="3571" customFormat="false" ht="130.5" hidden="false" customHeight="true" outlineLevel="0" collapsed="false">
      <c r="A3571" s="1" t="n">
        <v>1</v>
      </c>
      <c r="B3571" s="10" t="n">
        <v>45647</v>
      </c>
      <c r="C3571" s="11" t="s">
        <v>3590</v>
      </c>
      <c r="D3571" s="1" t="s">
        <v>2901</v>
      </c>
      <c r="E3571" s="1" t="s">
        <v>20</v>
      </c>
      <c r="F3571" s="1" t="str">
        <f aca="false">TEXT(B3571,"mmm-yyyy")</f>
        <v>Dec-2024</v>
      </c>
    </row>
    <row r="3572" customFormat="false" ht="87" hidden="false" customHeight="true" outlineLevel="0" collapsed="false">
      <c r="A3572" s="1" t="n">
        <v>1</v>
      </c>
      <c r="B3572" s="10" t="n">
        <v>45590</v>
      </c>
      <c r="C3572" s="11" t="s">
        <v>3591</v>
      </c>
      <c r="D3572" s="1" t="s">
        <v>2901</v>
      </c>
      <c r="E3572" s="1" t="s">
        <v>20</v>
      </c>
      <c r="F3572" s="1" t="str">
        <f aca="false">TEXT(B3572,"mmm-yyyy")</f>
        <v>Oct-2024</v>
      </c>
    </row>
    <row r="3573" customFormat="false" ht="87" hidden="false" customHeight="true" outlineLevel="0" collapsed="false">
      <c r="A3573" s="1" t="n">
        <v>1</v>
      </c>
      <c r="B3573" s="10" t="n">
        <v>45610</v>
      </c>
      <c r="C3573" s="11" t="s">
        <v>3592</v>
      </c>
      <c r="D3573" s="1" t="s">
        <v>2901</v>
      </c>
      <c r="E3573" s="1" t="s">
        <v>18</v>
      </c>
      <c r="F3573" s="1" t="str">
        <f aca="false">TEXT(B3573,"mmm-yyyy")</f>
        <v>Nov-2024</v>
      </c>
    </row>
    <row r="3574" customFormat="false" ht="43.5" hidden="false" customHeight="true" outlineLevel="0" collapsed="false">
      <c r="A3574" s="1" t="n">
        <v>1</v>
      </c>
      <c r="B3574" s="10" t="n">
        <v>45657</v>
      </c>
      <c r="C3574" s="11" t="s">
        <v>3593</v>
      </c>
      <c r="D3574" s="1" t="s">
        <v>2901</v>
      </c>
      <c r="E3574" s="1" t="s">
        <v>20</v>
      </c>
      <c r="F3574" s="1" t="str">
        <f aca="false">TEXT(B3574,"mmm-yyyy")</f>
        <v>Dec-2024</v>
      </c>
    </row>
    <row r="3575" customFormat="false" ht="72" hidden="false" customHeight="true" outlineLevel="0" collapsed="false">
      <c r="A3575" s="1" t="n">
        <v>1</v>
      </c>
      <c r="B3575" s="10" t="n">
        <v>45604</v>
      </c>
      <c r="C3575" s="11" t="s">
        <v>3594</v>
      </c>
      <c r="D3575" s="1" t="s">
        <v>2901</v>
      </c>
      <c r="E3575" s="1" t="s">
        <v>20</v>
      </c>
      <c r="F3575" s="1" t="str">
        <f aca="false">TEXT(B3575,"mmm-yyyy")</f>
        <v>Nov-2024</v>
      </c>
    </row>
    <row r="3576" customFormat="false" ht="72" hidden="false" customHeight="true" outlineLevel="0" collapsed="false">
      <c r="A3576" s="1" t="n">
        <v>1</v>
      </c>
      <c r="B3576" s="10" t="n">
        <v>45625</v>
      </c>
      <c r="C3576" s="11" t="s">
        <v>3595</v>
      </c>
      <c r="D3576" s="1" t="s">
        <v>2901</v>
      </c>
      <c r="E3576" s="1" t="s">
        <v>18</v>
      </c>
      <c r="F3576" s="1" t="str">
        <f aca="false">TEXT(B3576,"mmm-yyyy")</f>
        <v>Nov-2024</v>
      </c>
    </row>
    <row r="3577" customFormat="false" ht="72" hidden="false" customHeight="true" outlineLevel="0" collapsed="false">
      <c r="A3577" s="1" t="n">
        <v>2</v>
      </c>
      <c r="B3577" s="10" t="n">
        <v>45642</v>
      </c>
      <c r="C3577" s="11" t="s">
        <v>3596</v>
      </c>
      <c r="D3577" s="1" t="s">
        <v>2901</v>
      </c>
      <c r="E3577" s="1" t="s">
        <v>20</v>
      </c>
      <c r="F3577" s="1" t="str">
        <f aca="false">TEXT(B3577,"mmm-yyyy")</f>
        <v>Dec-2024</v>
      </c>
    </row>
    <row r="3578" customFormat="false" ht="87" hidden="false" customHeight="true" outlineLevel="0" collapsed="false">
      <c r="A3578" s="1" t="n">
        <v>1</v>
      </c>
      <c r="B3578" s="10" t="n">
        <v>45593</v>
      </c>
      <c r="C3578" s="11" t="s">
        <v>3597</v>
      </c>
      <c r="D3578" s="1" t="s">
        <v>2901</v>
      </c>
      <c r="E3578" s="1" t="s">
        <v>18</v>
      </c>
      <c r="F3578" s="1" t="str">
        <f aca="false">TEXT(B3578,"mmm-yyyy")</f>
        <v>Oct-2024</v>
      </c>
    </row>
    <row r="3579" customFormat="false" ht="43.5" hidden="false" customHeight="true" outlineLevel="0" collapsed="false">
      <c r="A3579" s="1" t="n">
        <v>1</v>
      </c>
      <c r="B3579" s="10" t="n">
        <v>45640</v>
      </c>
      <c r="C3579" s="11" t="s">
        <v>3598</v>
      </c>
      <c r="D3579" s="1" t="s">
        <v>2901</v>
      </c>
      <c r="E3579" s="1" t="s">
        <v>18</v>
      </c>
      <c r="F3579" s="1" t="str">
        <f aca="false">TEXT(B3579,"mmm-yyyy")</f>
        <v>Dec-2024</v>
      </c>
    </row>
    <row r="3580" customFormat="false" ht="87" hidden="false" customHeight="true" outlineLevel="0" collapsed="false">
      <c r="A3580" s="1" t="n">
        <v>1</v>
      </c>
      <c r="B3580" s="10" t="n">
        <v>45594</v>
      </c>
      <c r="C3580" s="11" t="s">
        <v>3599</v>
      </c>
      <c r="D3580" s="1" t="s">
        <v>2901</v>
      </c>
      <c r="E3580" s="1" t="s">
        <v>20</v>
      </c>
      <c r="F3580" s="1" t="str">
        <f aca="false">TEXT(B3580,"mmm-yyyy")</f>
        <v>Oct-2024</v>
      </c>
    </row>
    <row r="3581" customFormat="false" ht="72" hidden="false" customHeight="true" outlineLevel="0" collapsed="false">
      <c r="A3581" s="1" t="n">
        <v>1</v>
      </c>
      <c r="B3581" s="10" t="n">
        <v>45581</v>
      </c>
      <c r="C3581" s="11" t="s">
        <v>3600</v>
      </c>
      <c r="D3581" s="1" t="s">
        <v>2901</v>
      </c>
      <c r="E3581" s="1" t="s">
        <v>18</v>
      </c>
      <c r="F3581" s="1" t="str">
        <f aca="false">TEXT(B3581,"mmm-yyyy")</f>
        <v>Oct-2024</v>
      </c>
    </row>
    <row r="3582" customFormat="false" ht="72" hidden="false" customHeight="true" outlineLevel="0" collapsed="false">
      <c r="A3582" s="1" t="n">
        <v>2</v>
      </c>
      <c r="B3582" s="10" t="n">
        <v>45598</v>
      </c>
      <c r="C3582" s="11" t="s">
        <v>3601</v>
      </c>
      <c r="D3582" s="1" t="s">
        <v>2901</v>
      </c>
      <c r="E3582" s="1" t="s">
        <v>20</v>
      </c>
      <c r="F3582" s="1" t="str">
        <f aca="false">TEXT(B3582,"mmm-yyyy")</f>
        <v>Nov-2024</v>
      </c>
    </row>
    <row r="3583" customFormat="false" ht="72" hidden="false" customHeight="true" outlineLevel="0" collapsed="false">
      <c r="A3583" s="1" t="n">
        <v>1</v>
      </c>
      <c r="B3583" s="10" t="n">
        <v>45652</v>
      </c>
      <c r="C3583" s="11" t="s">
        <v>3602</v>
      </c>
      <c r="D3583" s="1" t="s">
        <v>2901</v>
      </c>
      <c r="E3583" s="1" t="s">
        <v>18</v>
      </c>
      <c r="F3583" s="1" t="str">
        <f aca="false">TEXT(B3583,"mmm-yyyy")</f>
        <v>Dec-2024</v>
      </c>
    </row>
    <row r="3584" customFormat="false" ht="57.75" hidden="false" customHeight="true" outlineLevel="0" collapsed="false">
      <c r="A3584" s="1" t="n">
        <v>1</v>
      </c>
      <c r="B3584" s="10" t="n">
        <v>45650</v>
      </c>
      <c r="C3584" s="11" t="s">
        <v>3603</v>
      </c>
      <c r="D3584" s="1" t="s">
        <v>2901</v>
      </c>
      <c r="E3584" s="1" t="s">
        <v>20</v>
      </c>
      <c r="F3584" s="1" t="str">
        <f aca="false">TEXT(B3584,"mmm-yyyy")</f>
        <v>Dec-2024</v>
      </c>
    </row>
    <row r="3585" customFormat="false" ht="57.75" hidden="false" customHeight="true" outlineLevel="0" collapsed="false">
      <c r="A3585" s="1" t="n">
        <v>1</v>
      </c>
      <c r="B3585" s="10" t="n">
        <v>45643</v>
      </c>
      <c r="C3585" s="11" t="s">
        <v>3604</v>
      </c>
      <c r="D3585" s="1" t="s">
        <v>2901</v>
      </c>
      <c r="E3585" s="1" t="s">
        <v>20</v>
      </c>
      <c r="F3585" s="1" t="str">
        <f aca="false">TEXT(B3585,"mmm-yyyy")</f>
        <v>Dec-2024</v>
      </c>
    </row>
    <row r="3586" customFormat="false" ht="130.5" hidden="false" customHeight="true" outlineLevel="0" collapsed="false">
      <c r="A3586" s="1" t="n">
        <v>4</v>
      </c>
      <c r="B3586" s="10" t="n">
        <v>45580</v>
      </c>
      <c r="C3586" s="11" t="s">
        <v>3605</v>
      </c>
      <c r="D3586" s="1" t="s">
        <v>2901</v>
      </c>
      <c r="E3586" s="1" t="s">
        <v>18</v>
      </c>
      <c r="F3586" s="1" t="str">
        <f aca="false">TEXT(B3586,"mmm-yyyy")</f>
        <v>Oct-2024</v>
      </c>
    </row>
    <row r="3587" customFormat="false" ht="130.5" hidden="false" customHeight="true" outlineLevel="0" collapsed="false">
      <c r="A3587" s="1" t="n">
        <v>1</v>
      </c>
      <c r="B3587" s="10" t="n">
        <v>45592</v>
      </c>
      <c r="C3587" s="11" t="s">
        <v>3606</v>
      </c>
      <c r="D3587" s="1" t="s">
        <v>2901</v>
      </c>
      <c r="E3587" s="1" t="s">
        <v>20</v>
      </c>
      <c r="F3587" s="1" t="str">
        <f aca="false">TEXT(B3587,"mmm-yyyy")</f>
        <v>Oct-2024</v>
      </c>
    </row>
    <row r="3588" customFormat="false" ht="87" hidden="false" customHeight="true" outlineLevel="0" collapsed="false">
      <c r="A3588" s="1" t="n">
        <v>1</v>
      </c>
      <c r="B3588" s="10" t="n">
        <v>45641</v>
      </c>
      <c r="C3588" s="11" t="s">
        <v>3607</v>
      </c>
      <c r="D3588" s="1" t="s">
        <v>2901</v>
      </c>
      <c r="E3588" s="1" t="s">
        <v>18</v>
      </c>
      <c r="F3588" s="1" t="str">
        <f aca="false">TEXT(B3588,"mmm-yyyy")</f>
        <v>Dec-2024</v>
      </c>
    </row>
    <row r="3589" customFormat="false" ht="57.75" hidden="false" customHeight="true" outlineLevel="0" collapsed="false">
      <c r="A3589" s="1" t="n">
        <v>1</v>
      </c>
      <c r="B3589" s="10" t="n">
        <v>45655</v>
      </c>
      <c r="C3589" s="11" t="s">
        <v>3608</v>
      </c>
      <c r="D3589" s="1" t="s">
        <v>2901</v>
      </c>
      <c r="E3589" s="1" t="s">
        <v>18</v>
      </c>
      <c r="F3589" s="1" t="str">
        <f aca="false">TEXT(B3589,"mmm-yyyy")</f>
        <v>Dec-2024</v>
      </c>
    </row>
    <row r="3590" customFormat="false" ht="72" hidden="false" customHeight="true" outlineLevel="0" collapsed="false">
      <c r="A3590" s="1" t="n">
        <v>1</v>
      </c>
      <c r="B3590" s="10" t="n">
        <v>45651</v>
      </c>
      <c r="C3590" s="11" t="s">
        <v>3609</v>
      </c>
      <c r="D3590" s="1" t="s">
        <v>2901</v>
      </c>
      <c r="E3590" s="1" t="s">
        <v>18</v>
      </c>
      <c r="F3590" s="1" t="str">
        <f aca="false">TEXT(B3590,"mmm-yyyy")</f>
        <v>Dec-2024</v>
      </c>
    </row>
    <row r="3591" customFormat="false" ht="57.75" hidden="false" customHeight="true" outlineLevel="0" collapsed="false">
      <c r="A3591" s="1" t="n">
        <v>1</v>
      </c>
      <c r="B3591" s="10" t="n">
        <v>45653</v>
      </c>
      <c r="C3591" s="11" t="s">
        <v>3610</v>
      </c>
      <c r="D3591" s="1" t="s">
        <v>2901</v>
      </c>
      <c r="E3591" s="1" t="s">
        <v>20</v>
      </c>
      <c r="F3591" s="1" t="str">
        <f aca="false">TEXT(B3591,"mmm-yyyy")</f>
        <v>Dec-2024</v>
      </c>
    </row>
    <row r="3592" customFormat="false" ht="87" hidden="false" customHeight="true" outlineLevel="0" collapsed="false">
      <c r="A3592" s="1" t="n">
        <v>1</v>
      </c>
      <c r="B3592" s="10" t="n">
        <v>45572</v>
      </c>
      <c r="C3592" s="11" t="s">
        <v>3611</v>
      </c>
      <c r="D3592" s="1" t="s">
        <v>2901</v>
      </c>
      <c r="E3592" s="1" t="s">
        <v>20</v>
      </c>
      <c r="F3592" s="1" t="str">
        <f aca="false">TEXT(B3592,"mmm-yyyy")</f>
        <v>Oct-2024</v>
      </c>
    </row>
    <row r="3593" customFormat="false" ht="101.25" hidden="false" customHeight="true" outlineLevel="0" collapsed="false">
      <c r="A3593" s="1" t="n">
        <v>1</v>
      </c>
      <c r="B3593" s="10" t="n">
        <v>45578</v>
      </c>
      <c r="C3593" s="11" t="s">
        <v>3612</v>
      </c>
      <c r="D3593" s="1" t="s">
        <v>2901</v>
      </c>
      <c r="E3593" s="1" t="s">
        <v>20</v>
      </c>
      <c r="F3593" s="1" t="str">
        <f aca="false">TEXT(B3593,"mmm-yyyy")</f>
        <v>Oct-2024</v>
      </c>
    </row>
    <row r="3594" customFormat="false" ht="130.5" hidden="false" customHeight="true" outlineLevel="0" collapsed="false">
      <c r="A3594" s="1" t="n">
        <v>2</v>
      </c>
      <c r="B3594" s="10" t="n">
        <v>45634</v>
      </c>
      <c r="C3594" s="11" t="s">
        <v>3613</v>
      </c>
      <c r="D3594" s="1" t="s">
        <v>2901</v>
      </c>
      <c r="E3594" s="1" t="s">
        <v>20</v>
      </c>
      <c r="F3594" s="1" t="str">
        <f aca="false">TEXT(B3594,"mmm-yyyy")</f>
        <v>Dec-2024</v>
      </c>
    </row>
    <row r="3595" customFormat="false" ht="115.5" hidden="false" customHeight="true" outlineLevel="0" collapsed="false">
      <c r="A3595" s="1" t="n">
        <v>1</v>
      </c>
      <c r="B3595" s="10" t="n">
        <v>45654</v>
      </c>
      <c r="C3595" s="11" t="s">
        <v>3614</v>
      </c>
      <c r="D3595" s="1" t="s">
        <v>2901</v>
      </c>
      <c r="E3595" s="1" t="s">
        <v>20</v>
      </c>
      <c r="F3595" s="1" t="str">
        <f aca="false">TEXT(B3595,"mmm-yyyy")</f>
        <v>Dec-2024</v>
      </c>
    </row>
    <row r="3596" customFormat="false" ht="115.5" hidden="false" customHeight="true" outlineLevel="0" collapsed="false">
      <c r="A3596" s="1" t="n">
        <v>1</v>
      </c>
      <c r="B3596" s="10" t="n">
        <v>45596</v>
      </c>
      <c r="C3596" s="11" t="s">
        <v>3615</v>
      </c>
      <c r="D3596" s="1" t="s">
        <v>2901</v>
      </c>
      <c r="E3596" s="1" t="s">
        <v>20</v>
      </c>
      <c r="F3596" s="1" t="str">
        <f aca="false">TEXT(B3596,"mmm-yyyy")</f>
        <v>Oct-2024</v>
      </c>
    </row>
    <row r="3597" customFormat="false" ht="57.75" hidden="false" customHeight="true" outlineLevel="0" collapsed="false">
      <c r="A3597" s="1" t="n">
        <v>1</v>
      </c>
      <c r="B3597" s="10" t="n">
        <v>45656</v>
      </c>
      <c r="C3597" s="11" t="s">
        <v>3616</v>
      </c>
      <c r="D3597" s="1" t="s">
        <v>2901</v>
      </c>
      <c r="E3597" s="1" t="s">
        <v>18</v>
      </c>
      <c r="F3597" s="1" t="str">
        <f aca="false">TEXT(B3597,"mmm-yyyy")</f>
        <v>Dec-2024</v>
      </c>
    </row>
    <row r="3598" customFormat="false" ht="115.5" hidden="false" customHeight="true" outlineLevel="0" collapsed="false">
      <c r="A3598" s="1" t="n">
        <v>1</v>
      </c>
      <c r="B3598" s="10" t="n">
        <v>45620</v>
      </c>
      <c r="C3598" s="11" t="s">
        <v>3617</v>
      </c>
      <c r="D3598" s="1" t="s">
        <v>2901</v>
      </c>
      <c r="E3598" s="1" t="s">
        <v>18</v>
      </c>
      <c r="F3598" s="1" t="str">
        <f aca="false">TEXT(B3598,"mmm-yyyy")</f>
        <v>Nov-2024</v>
      </c>
    </row>
    <row r="3599" customFormat="false" ht="115.5" hidden="false" customHeight="true" outlineLevel="0" collapsed="false">
      <c r="A3599" s="1" t="n">
        <v>1</v>
      </c>
      <c r="B3599" s="10" t="n">
        <v>45636</v>
      </c>
      <c r="C3599" s="11" t="s">
        <v>3618</v>
      </c>
      <c r="D3599" s="1" t="s">
        <v>2901</v>
      </c>
      <c r="E3599" s="1" t="s">
        <v>20</v>
      </c>
      <c r="F3599" s="1" t="str">
        <f aca="false">TEXT(B3599,"mmm-yyyy")</f>
        <v>Dec-2024</v>
      </c>
    </row>
    <row r="3600" customFormat="false" ht="72" hidden="false" customHeight="true" outlineLevel="0" collapsed="false">
      <c r="A3600" s="1" t="n">
        <v>1</v>
      </c>
      <c r="B3600" s="10" t="n">
        <v>45641</v>
      </c>
      <c r="C3600" s="11" t="s">
        <v>3619</v>
      </c>
      <c r="D3600" s="1" t="s">
        <v>2901</v>
      </c>
      <c r="E3600" s="1" t="s">
        <v>20</v>
      </c>
      <c r="F3600" s="1" t="str">
        <f aca="false">TEXT(B3600,"mmm-yyyy")</f>
        <v>Dec-2024</v>
      </c>
    </row>
    <row r="3601" customFormat="false" ht="101.25" hidden="false" customHeight="true" outlineLevel="0" collapsed="false">
      <c r="A3601" s="1" t="n">
        <v>1</v>
      </c>
      <c r="B3601" s="10" t="n">
        <v>45589</v>
      </c>
      <c r="C3601" s="11" t="s">
        <v>3620</v>
      </c>
      <c r="D3601" s="1" t="s">
        <v>2901</v>
      </c>
      <c r="E3601" s="1" t="s">
        <v>20</v>
      </c>
      <c r="F3601" s="1" t="str">
        <f aca="false">TEXT(B3601,"mmm-yyyy")</f>
        <v>Oct-2024</v>
      </c>
    </row>
    <row r="3602" customFormat="false" ht="115.5" hidden="false" customHeight="true" outlineLevel="0" collapsed="false">
      <c r="A3602" s="1" t="n">
        <v>1</v>
      </c>
      <c r="B3602" s="10" t="n">
        <v>45625</v>
      </c>
      <c r="C3602" s="11" t="s">
        <v>3621</v>
      </c>
      <c r="D3602" s="1" t="s">
        <v>2901</v>
      </c>
      <c r="E3602" s="1" t="s">
        <v>20</v>
      </c>
      <c r="F3602" s="1" t="str">
        <f aca="false">TEXT(B3602,"mmm-yyyy")</f>
        <v>Nov-2024</v>
      </c>
    </row>
    <row r="3603" customFormat="false" ht="101.25" hidden="false" customHeight="true" outlineLevel="0" collapsed="false">
      <c r="A3603" s="1" t="n">
        <v>1</v>
      </c>
      <c r="B3603" s="10" t="n">
        <v>45633</v>
      </c>
      <c r="C3603" s="11" t="s">
        <v>3622</v>
      </c>
      <c r="D3603" s="1" t="s">
        <v>2901</v>
      </c>
      <c r="E3603" s="1" t="s">
        <v>20</v>
      </c>
      <c r="F3603" s="1" t="str">
        <f aca="false">TEXT(B3603,"mmm-yyyy")</f>
        <v>Dec-2024</v>
      </c>
    </row>
    <row r="3604" customFormat="false" ht="57.75" hidden="false" customHeight="true" outlineLevel="0" collapsed="false">
      <c r="A3604" s="1" t="n">
        <v>5</v>
      </c>
      <c r="B3604" s="10" t="n">
        <v>45647</v>
      </c>
      <c r="C3604" s="11" t="s">
        <v>3623</v>
      </c>
      <c r="D3604" s="1" t="s">
        <v>2901</v>
      </c>
      <c r="E3604" s="1" t="s">
        <v>18</v>
      </c>
      <c r="F3604" s="1" t="str">
        <f aca="false">TEXT(B3604,"mmm-yyyy")</f>
        <v>Dec-2024</v>
      </c>
    </row>
    <row r="3605" customFormat="false" ht="87" hidden="false" customHeight="true" outlineLevel="0" collapsed="false">
      <c r="A3605" s="1" t="n">
        <v>1</v>
      </c>
      <c r="B3605" s="10" t="n">
        <v>45634</v>
      </c>
      <c r="C3605" s="11" t="s">
        <v>3624</v>
      </c>
      <c r="D3605" s="1" t="s">
        <v>2901</v>
      </c>
      <c r="E3605" s="1" t="s">
        <v>20</v>
      </c>
      <c r="F3605" s="1" t="str">
        <f aca="false">TEXT(B3605,"mmm-yyyy")</f>
        <v>Dec-2024</v>
      </c>
    </row>
    <row r="3606" customFormat="false" ht="130.5" hidden="false" customHeight="true" outlineLevel="0" collapsed="false">
      <c r="A3606" s="1" t="n">
        <v>1</v>
      </c>
      <c r="B3606" s="10" t="n">
        <v>45634</v>
      </c>
      <c r="C3606" s="11" t="s">
        <v>3625</v>
      </c>
      <c r="D3606" s="1" t="s">
        <v>2901</v>
      </c>
      <c r="E3606" s="1" t="s">
        <v>20</v>
      </c>
      <c r="F3606" s="1" t="str">
        <f aca="false">TEXT(B3606,"mmm-yyyy")</f>
        <v>Dec-2024</v>
      </c>
    </row>
    <row r="3607" customFormat="false" ht="43.5" hidden="false" customHeight="true" outlineLevel="0" collapsed="false">
      <c r="A3607" s="1" t="n">
        <v>1</v>
      </c>
      <c r="B3607" s="10" t="n">
        <v>45646</v>
      </c>
      <c r="C3607" s="11" t="s">
        <v>3626</v>
      </c>
      <c r="D3607" s="1" t="s">
        <v>2901</v>
      </c>
      <c r="E3607" s="1" t="s">
        <v>20</v>
      </c>
      <c r="F3607" s="1" t="str">
        <f aca="false">TEXT(B3607,"mmm-yyyy")</f>
        <v>Dec-2024</v>
      </c>
    </row>
    <row r="3608" customFormat="false" ht="87" hidden="false" customHeight="true" outlineLevel="0" collapsed="false">
      <c r="A3608" s="1" t="n">
        <v>1</v>
      </c>
      <c r="B3608" s="10" t="n">
        <v>45635</v>
      </c>
      <c r="C3608" s="11" t="s">
        <v>3627</v>
      </c>
      <c r="D3608" s="1" t="s">
        <v>2901</v>
      </c>
      <c r="E3608" s="1" t="s">
        <v>18</v>
      </c>
      <c r="F3608" s="1" t="str">
        <f aca="false">TEXT(B3608,"mmm-yyyy")</f>
        <v>Dec-2024</v>
      </c>
    </row>
    <row r="3609" customFormat="false" ht="115.5" hidden="false" customHeight="true" outlineLevel="0" collapsed="false">
      <c r="A3609" s="1" t="n">
        <v>1</v>
      </c>
      <c r="B3609" s="10" t="n">
        <v>45632</v>
      </c>
      <c r="C3609" s="11" t="s">
        <v>3628</v>
      </c>
      <c r="D3609" s="1" t="s">
        <v>2901</v>
      </c>
      <c r="E3609" s="1" t="s">
        <v>20</v>
      </c>
      <c r="F3609" s="1" t="str">
        <f aca="false">TEXT(B3609,"mmm-yyyy")</f>
        <v>Dec-2024</v>
      </c>
    </row>
    <row r="3610" customFormat="false" ht="72" hidden="false" customHeight="true" outlineLevel="0" collapsed="false">
      <c r="A3610" s="1" t="n">
        <v>5</v>
      </c>
      <c r="B3610" s="10" t="n">
        <v>45638</v>
      </c>
      <c r="C3610" s="11" t="s">
        <v>3629</v>
      </c>
      <c r="D3610" s="1" t="s">
        <v>2901</v>
      </c>
      <c r="E3610" s="1" t="s">
        <v>18</v>
      </c>
      <c r="F3610" s="1" t="str">
        <f aca="false">TEXT(B3610,"mmm-yyyy")</f>
        <v>Dec-2024</v>
      </c>
    </row>
    <row r="3611" customFormat="false" ht="101.25" hidden="false" customHeight="true" outlineLevel="0" collapsed="false">
      <c r="A3611" s="1" t="n">
        <v>1</v>
      </c>
      <c r="B3611" s="10" t="n">
        <v>45624</v>
      </c>
      <c r="C3611" s="11" t="s">
        <v>3630</v>
      </c>
      <c r="D3611" s="1" t="s">
        <v>2901</v>
      </c>
      <c r="E3611" s="1" t="s">
        <v>20</v>
      </c>
      <c r="F3611" s="1" t="str">
        <f aca="false">TEXT(B3611,"mmm-yyyy")</f>
        <v>Nov-2024</v>
      </c>
    </row>
    <row r="3612" customFormat="false" ht="130.5" hidden="false" customHeight="true" outlineLevel="0" collapsed="false">
      <c r="A3612" s="1" t="n">
        <v>1</v>
      </c>
      <c r="B3612" s="10" t="n">
        <v>45605</v>
      </c>
      <c r="C3612" s="11" t="s">
        <v>3631</v>
      </c>
      <c r="D3612" s="1" t="s">
        <v>2901</v>
      </c>
      <c r="E3612" s="1" t="s">
        <v>20</v>
      </c>
      <c r="F3612" s="1" t="str">
        <f aca="false">TEXT(B3612,"mmm-yyyy")</f>
        <v>Nov-2024</v>
      </c>
    </row>
    <row r="3613" customFormat="false" ht="115.5" hidden="false" customHeight="true" outlineLevel="0" collapsed="false">
      <c r="A3613" s="1" t="n">
        <v>4</v>
      </c>
      <c r="B3613" s="10" t="n">
        <v>45631</v>
      </c>
      <c r="C3613" s="11" t="s">
        <v>3632</v>
      </c>
      <c r="D3613" s="1" t="s">
        <v>2901</v>
      </c>
      <c r="E3613" s="1" t="s">
        <v>18</v>
      </c>
      <c r="F3613" s="1" t="str">
        <f aca="false">TEXT(B3613,"mmm-yyyy")</f>
        <v>Dec-2024</v>
      </c>
    </row>
    <row r="3614" customFormat="false" ht="130.5" hidden="false" customHeight="true" outlineLevel="0" collapsed="false">
      <c r="A3614" s="1" t="n">
        <v>1</v>
      </c>
      <c r="B3614" s="10" t="n">
        <v>45635</v>
      </c>
      <c r="C3614" s="11" t="s">
        <v>3633</v>
      </c>
      <c r="D3614" s="1" t="s">
        <v>2901</v>
      </c>
      <c r="E3614" s="1" t="s">
        <v>18</v>
      </c>
      <c r="F3614" s="1" t="str">
        <f aca="false">TEXT(B3614,"mmm-yyyy")</f>
        <v>Dec-2024</v>
      </c>
    </row>
    <row r="3615" customFormat="false" ht="115.5" hidden="false" customHeight="true" outlineLevel="0" collapsed="false">
      <c r="A3615" s="1" t="n">
        <v>5</v>
      </c>
      <c r="B3615" s="10" t="n">
        <v>45598</v>
      </c>
      <c r="C3615" s="11" t="s">
        <v>3634</v>
      </c>
      <c r="D3615" s="1" t="s">
        <v>2901</v>
      </c>
      <c r="E3615" s="1" t="s">
        <v>18</v>
      </c>
      <c r="F3615" s="1" t="str">
        <f aca="false">TEXT(B3615,"mmm-yyyy")</f>
        <v>Nov-2024</v>
      </c>
    </row>
    <row r="3616" customFormat="false" ht="115.5" hidden="false" customHeight="true" outlineLevel="0" collapsed="false">
      <c r="A3616" s="1" t="n">
        <v>5</v>
      </c>
      <c r="B3616" s="10" t="n">
        <v>45612</v>
      </c>
      <c r="C3616" s="11" t="s">
        <v>3635</v>
      </c>
      <c r="D3616" s="1" t="s">
        <v>2901</v>
      </c>
      <c r="E3616" s="1" t="s">
        <v>18</v>
      </c>
      <c r="F3616" s="1" t="str">
        <f aca="false">TEXT(B3616,"mmm-yyyy")</f>
        <v>Nov-2024</v>
      </c>
    </row>
    <row r="3617" customFormat="false" ht="57.75" hidden="false" customHeight="true" outlineLevel="0" collapsed="false">
      <c r="A3617" s="1" t="n">
        <v>1</v>
      </c>
      <c r="B3617" s="10" t="n">
        <v>45645</v>
      </c>
      <c r="C3617" s="11" t="s">
        <v>3636</v>
      </c>
      <c r="D3617" s="1" t="s">
        <v>2901</v>
      </c>
      <c r="E3617" s="1" t="s">
        <v>20</v>
      </c>
      <c r="F3617" s="1" t="str">
        <f aca="false">TEXT(B3617,"mmm-yyyy")</f>
        <v>Dec-2024</v>
      </c>
    </row>
    <row r="3618" customFormat="false" ht="87" hidden="false" customHeight="true" outlineLevel="0" collapsed="false">
      <c r="A3618" s="1" t="n">
        <v>4</v>
      </c>
      <c r="B3618" s="10" t="n">
        <v>45573</v>
      </c>
      <c r="C3618" s="11" t="s">
        <v>3637</v>
      </c>
      <c r="D3618" s="1" t="s">
        <v>2901</v>
      </c>
      <c r="E3618" s="1" t="s">
        <v>18</v>
      </c>
      <c r="F3618" s="1" t="str">
        <f aca="false">TEXT(B3618,"mmm-yyyy")</f>
        <v>Oct-2024</v>
      </c>
    </row>
    <row r="3619" customFormat="false" ht="72" hidden="false" customHeight="true" outlineLevel="0" collapsed="false">
      <c r="A3619" s="1" t="n">
        <v>1</v>
      </c>
      <c r="B3619" s="10" t="n">
        <v>45643</v>
      </c>
      <c r="C3619" s="11" t="s">
        <v>3638</v>
      </c>
      <c r="D3619" s="1" t="s">
        <v>2901</v>
      </c>
      <c r="E3619" s="1" t="s">
        <v>18</v>
      </c>
      <c r="F3619" s="1" t="str">
        <f aca="false">TEXT(B3619,"mmm-yyyy")</f>
        <v>Dec-2024</v>
      </c>
    </row>
    <row r="3620" customFormat="false" ht="72" hidden="false" customHeight="true" outlineLevel="0" collapsed="false">
      <c r="A3620" s="1" t="n">
        <v>1</v>
      </c>
      <c r="B3620" s="10" t="n">
        <v>45590</v>
      </c>
      <c r="C3620" s="11" t="s">
        <v>3639</v>
      </c>
      <c r="D3620" s="1" t="s">
        <v>2901</v>
      </c>
      <c r="E3620" s="1" t="s">
        <v>20</v>
      </c>
      <c r="F3620" s="1" t="str">
        <f aca="false">TEXT(B3620,"mmm-yyyy")</f>
        <v>Oct-2024</v>
      </c>
    </row>
    <row r="3621" customFormat="false" ht="101.25" hidden="false" customHeight="true" outlineLevel="0" collapsed="false">
      <c r="A3621" s="1" t="n">
        <v>5</v>
      </c>
      <c r="B3621" s="10" t="n">
        <v>45608</v>
      </c>
      <c r="C3621" s="11" t="s">
        <v>3640</v>
      </c>
      <c r="D3621" s="1" t="s">
        <v>2901</v>
      </c>
      <c r="E3621" s="1" t="s">
        <v>18</v>
      </c>
      <c r="F3621" s="1" t="str">
        <f aca="false">TEXT(B3621,"mmm-yyyy")</f>
        <v>Nov-2024</v>
      </c>
    </row>
    <row r="3622" customFormat="false" ht="72" hidden="false" customHeight="true" outlineLevel="0" collapsed="false">
      <c r="A3622" s="1" t="n">
        <v>1</v>
      </c>
      <c r="B3622" s="10" t="n">
        <v>45629</v>
      </c>
      <c r="C3622" s="11" t="s">
        <v>3641</v>
      </c>
      <c r="D3622" s="1" t="s">
        <v>2901</v>
      </c>
      <c r="E3622" s="1" t="s">
        <v>20</v>
      </c>
      <c r="F3622" s="1" t="str">
        <f aca="false">TEXT(B3622,"mmm-yyyy")</f>
        <v>Dec-2024</v>
      </c>
    </row>
    <row r="3623" customFormat="false" ht="87" hidden="false" customHeight="true" outlineLevel="0" collapsed="false">
      <c r="A3623" s="1" t="n">
        <v>1</v>
      </c>
      <c r="B3623" s="10" t="n">
        <v>45602</v>
      </c>
      <c r="C3623" s="11" t="s">
        <v>3642</v>
      </c>
      <c r="D3623" s="1" t="s">
        <v>2901</v>
      </c>
      <c r="E3623" s="1" t="s">
        <v>20</v>
      </c>
      <c r="F3623" s="1" t="str">
        <f aca="false">TEXT(B3623,"mmm-yyyy")</f>
        <v>Nov-2024</v>
      </c>
    </row>
    <row r="3624" customFormat="false" ht="72" hidden="false" customHeight="true" outlineLevel="0" collapsed="false">
      <c r="A3624" s="1" t="n">
        <v>1</v>
      </c>
      <c r="B3624" s="10" t="n">
        <v>45651</v>
      </c>
      <c r="C3624" s="11" t="s">
        <v>3643</v>
      </c>
      <c r="D3624" s="1" t="s">
        <v>2901</v>
      </c>
      <c r="E3624" s="1" t="s">
        <v>20</v>
      </c>
      <c r="F3624" s="1" t="str">
        <f aca="false">TEXT(B3624,"mmm-yyyy")</f>
        <v>Dec-2024</v>
      </c>
    </row>
    <row r="3625" customFormat="false" ht="57.75" hidden="false" customHeight="true" outlineLevel="0" collapsed="false">
      <c r="A3625" s="1" t="n">
        <v>1</v>
      </c>
      <c r="B3625" s="10" t="n">
        <v>45629</v>
      </c>
      <c r="C3625" s="11" t="s">
        <v>3644</v>
      </c>
      <c r="D3625" s="1" t="s">
        <v>2901</v>
      </c>
      <c r="E3625" s="1" t="s">
        <v>20</v>
      </c>
      <c r="F3625" s="1" t="str">
        <f aca="false">TEXT(B3625,"mmm-yyyy")</f>
        <v>Dec-2024</v>
      </c>
    </row>
    <row r="3626" customFormat="false" ht="72" hidden="false" customHeight="true" outlineLevel="0" collapsed="false">
      <c r="A3626" s="1" t="n">
        <v>1</v>
      </c>
      <c r="B3626" s="10" t="n">
        <v>45646</v>
      </c>
      <c r="C3626" s="11" t="s">
        <v>3645</v>
      </c>
      <c r="D3626" s="1" t="s">
        <v>2901</v>
      </c>
      <c r="E3626" s="1" t="s">
        <v>20</v>
      </c>
      <c r="F3626" s="1" t="str">
        <f aca="false">TEXT(B3626,"mmm-yyyy")</f>
        <v>Dec-2024</v>
      </c>
    </row>
    <row r="3627" customFormat="false" ht="130.5" hidden="false" customHeight="true" outlineLevel="0" collapsed="false">
      <c r="A3627" s="1" t="n">
        <v>1</v>
      </c>
      <c r="B3627" s="10" t="n">
        <v>45654</v>
      </c>
      <c r="C3627" s="11" t="s">
        <v>3646</v>
      </c>
      <c r="D3627" s="1" t="s">
        <v>2901</v>
      </c>
      <c r="E3627" s="1" t="s">
        <v>20</v>
      </c>
      <c r="F3627" s="1" t="str">
        <f aca="false">TEXT(B3627,"mmm-yyyy")</f>
        <v>Dec-2024</v>
      </c>
    </row>
    <row r="3628" customFormat="false" ht="87" hidden="false" customHeight="true" outlineLevel="0" collapsed="false">
      <c r="A3628" s="1" t="n">
        <v>5</v>
      </c>
      <c r="B3628" s="10" t="n">
        <v>45601</v>
      </c>
      <c r="C3628" s="11" t="s">
        <v>3647</v>
      </c>
      <c r="D3628" s="1" t="s">
        <v>2901</v>
      </c>
      <c r="E3628" s="1" t="s">
        <v>18</v>
      </c>
      <c r="F3628" s="1" t="str">
        <f aca="false">TEXT(B3628,"mmm-yyyy")</f>
        <v>Nov-2024</v>
      </c>
    </row>
    <row r="3629" customFormat="false" ht="72" hidden="false" customHeight="true" outlineLevel="0" collapsed="false">
      <c r="A3629" s="1" t="n">
        <v>1</v>
      </c>
      <c r="B3629" s="10" t="n">
        <v>45655</v>
      </c>
      <c r="C3629" s="11" t="s">
        <v>3648</v>
      </c>
      <c r="D3629" s="1" t="s">
        <v>2901</v>
      </c>
      <c r="E3629" s="1" t="s">
        <v>20</v>
      </c>
      <c r="F3629" s="1" t="str">
        <f aca="false">TEXT(B3629,"mmm-yyyy")</f>
        <v>Dec-2024</v>
      </c>
    </row>
    <row r="3630" customFormat="false" ht="57.75" hidden="false" customHeight="true" outlineLevel="0" collapsed="false">
      <c r="A3630" s="1" t="n">
        <v>1</v>
      </c>
      <c r="B3630" s="10" t="n">
        <v>45643</v>
      </c>
      <c r="C3630" s="11" t="s">
        <v>3649</v>
      </c>
      <c r="D3630" s="1" t="s">
        <v>2901</v>
      </c>
      <c r="E3630" s="1" t="s">
        <v>20</v>
      </c>
      <c r="F3630" s="1" t="str">
        <f aca="false">TEXT(B3630,"mmm-yyyy")</f>
        <v>Dec-2024</v>
      </c>
    </row>
    <row r="3631" customFormat="false" ht="87" hidden="false" customHeight="true" outlineLevel="0" collapsed="false">
      <c r="A3631" s="1" t="n">
        <v>5</v>
      </c>
      <c r="B3631" s="10" t="n">
        <v>45589</v>
      </c>
      <c r="C3631" s="11" t="s">
        <v>3650</v>
      </c>
      <c r="D3631" s="1" t="s">
        <v>2901</v>
      </c>
      <c r="E3631" s="1" t="s">
        <v>18</v>
      </c>
      <c r="F3631" s="1" t="str">
        <f aca="false">TEXT(B3631,"mmm-yyyy")</f>
        <v>Oct-2024</v>
      </c>
    </row>
    <row r="3632" customFormat="false" ht="87" hidden="false" customHeight="true" outlineLevel="0" collapsed="false">
      <c r="A3632" s="1" t="n">
        <v>1</v>
      </c>
      <c r="B3632" s="10" t="n">
        <v>45590</v>
      </c>
      <c r="C3632" s="11" t="s">
        <v>3651</v>
      </c>
      <c r="D3632" s="1" t="s">
        <v>2901</v>
      </c>
      <c r="E3632" s="1" t="s">
        <v>20</v>
      </c>
      <c r="F3632" s="1" t="str">
        <f aca="false">TEXT(B3632,"mmm-yyyy")</f>
        <v>Oct-2024</v>
      </c>
    </row>
    <row r="3633" customFormat="false" ht="130.5" hidden="false" customHeight="true" outlineLevel="0" collapsed="false">
      <c r="A3633" s="1" t="n">
        <v>5</v>
      </c>
      <c r="B3633" s="10" t="n">
        <v>45630</v>
      </c>
      <c r="C3633" s="11" t="s">
        <v>3652</v>
      </c>
      <c r="D3633" s="1" t="s">
        <v>2901</v>
      </c>
      <c r="E3633" s="1" t="s">
        <v>18</v>
      </c>
      <c r="F3633" s="1" t="str">
        <f aca="false">TEXT(B3633,"mmm-yyyy")</f>
        <v>Dec-2024</v>
      </c>
    </row>
    <row r="3634" customFormat="false" ht="87" hidden="false" customHeight="true" outlineLevel="0" collapsed="false">
      <c r="A3634" s="1" t="n">
        <v>1</v>
      </c>
      <c r="B3634" s="10" t="n">
        <v>45622</v>
      </c>
      <c r="C3634" s="11" t="s">
        <v>3653</v>
      </c>
      <c r="D3634" s="1" t="s">
        <v>2901</v>
      </c>
      <c r="E3634" s="1" t="s">
        <v>20</v>
      </c>
      <c r="F3634" s="1" t="str">
        <f aca="false">TEXT(B3634,"mmm-yyyy")</f>
        <v>Nov-2024</v>
      </c>
    </row>
    <row r="3635" customFormat="false" ht="115.5" hidden="false" customHeight="true" outlineLevel="0" collapsed="false">
      <c r="A3635" s="1" t="n">
        <v>3</v>
      </c>
      <c r="B3635" s="10" t="n">
        <v>45628</v>
      </c>
      <c r="C3635" s="11" t="s">
        <v>3654</v>
      </c>
      <c r="D3635" s="1" t="s">
        <v>2901</v>
      </c>
      <c r="E3635" s="1" t="s">
        <v>18</v>
      </c>
      <c r="F3635" s="1" t="str">
        <f aca="false">TEXT(B3635,"mmm-yyyy")</f>
        <v>Dec-2024</v>
      </c>
    </row>
    <row r="3636" customFormat="false" ht="87" hidden="false" customHeight="true" outlineLevel="0" collapsed="false">
      <c r="A3636" s="1" t="n">
        <v>1</v>
      </c>
      <c r="B3636" s="10" t="n">
        <v>45624</v>
      </c>
      <c r="C3636" s="11" t="s">
        <v>3655</v>
      </c>
      <c r="D3636" s="1" t="s">
        <v>2901</v>
      </c>
      <c r="E3636" s="1" t="s">
        <v>20</v>
      </c>
      <c r="F3636" s="1" t="str">
        <f aca="false">TEXT(B3636,"mmm-yyyy")</f>
        <v>Nov-2024</v>
      </c>
    </row>
    <row r="3637" customFormat="false" ht="101.25" hidden="false" customHeight="true" outlineLevel="0" collapsed="false">
      <c r="A3637" s="1" t="n">
        <v>1</v>
      </c>
      <c r="B3637" s="10" t="n">
        <v>45602</v>
      </c>
      <c r="C3637" s="11" t="s">
        <v>3656</v>
      </c>
      <c r="D3637" s="1" t="s">
        <v>2901</v>
      </c>
      <c r="E3637" s="1" t="s">
        <v>20</v>
      </c>
      <c r="F3637" s="1" t="str">
        <f aca="false">TEXT(B3637,"mmm-yyyy")</f>
        <v>Nov-2024</v>
      </c>
    </row>
    <row r="3638" customFormat="false" ht="87" hidden="false" customHeight="true" outlineLevel="0" collapsed="false">
      <c r="A3638" s="1" t="n">
        <v>2</v>
      </c>
      <c r="B3638" s="10" t="n">
        <v>45620</v>
      </c>
      <c r="C3638" s="11" t="s">
        <v>3657</v>
      </c>
      <c r="D3638" s="1" t="s">
        <v>2901</v>
      </c>
      <c r="E3638" s="1" t="s">
        <v>18</v>
      </c>
      <c r="F3638" s="1" t="str">
        <f aca="false">TEXT(B3638,"mmm-yyyy")</f>
        <v>Nov-2024</v>
      </c>
    </row>
    <row r="3639" customFormat="false" ht="130.5" hidden="false" customHeight="true" outlineLevel="0" collapsed="false">
      <c r="A3639" s="1" t="n">
        <v>1</v>
      </c>
      <c r="B3639" s="10" t="n">
        <v>45605</v>
      </c>
      <c r="C3639" s="11" t="s">
        <v>3658</v>
      </c>
      <c r="D3639" s="1" t="s">
        <v>2901</v>
      </c>
      <c r="E3639" s="1" t="s">
        <v>20</v>
      </c>
      <c r="F3639" s="1" t="str">
        <f aca="false">TEXT(B3639,"mmm-yyyy")</f>
        <v>Nov-2024</v>
      </c>
    </row>
    <row r="3640" customFormat="false" ht="72" hidden="false" customHeight="true" outlineLevel="0" collapsed="false">
      <c r="A3640" s="1" t="n">
        <v>2</v>
      </c>
      <c r="B3640" s="10" t="n">
        <v>45657</v>
      </c>
      <c r="C3640" s="11" t="s">
        <v>3659</v>
      </c>
      <c r="D3640" s="1" t="s">
        <v>2901</v>
      </c>
      <c r="E3640" s="1" t="s">
        <v>18</v>
      </c>
      <c r="F3640" s="1" t="str">
        <f aca="false">TEXT(B3640,"mmm-yyyy")</f>
        <v>Dec-2024</v>
      </c>
    </row>
    <row r="3641" customFormat="false" ht="130.5" hidden="false" customHeight="true" outlineLevel="0" collapsed="false">
      <c r="A3641" s="1" t="n">
        <v>1</v>
      </c>
      <c r="B3641" s="10" t="n">
        <v>45648</v>
      </c>
      <c r="C3641" s="11" t="s">
        <v>3660</v>
      </c>
      <c r="D3641" s="1" t="s">
        <v>2901</v>
      </c>
      <c r="E3641" s="1" t="s">
        <v>18</v>
      </c>
      <c r="F3641" s="1" t="str">
        <f aca="false">TEXT(B3641,"mmm-yyyy")</f>
        <v>Dec-2024</v>
      </c>
    </row>
    <row r="3642" customFormat="false" ht="130.5" hidden="false" customHeight="true" outlineLevel="0" collapsed="false">
      <c r="A3642" s="1" t="n">
        <v>1</v>
      </c>
      <c r="B3642" s="10" t="n">
        <v>45586</v>
      </c>
      <c r="C3642" s="11" t="s">
        <v>3661</v>
      </c>
      <c r="D3642" s="1" t="s">
        <v>2901</v>
      </c>
      <c r="E3642" s="1" t="s">
        <v>20</v>
      </c>
      <c r="F3642" s="1" t="str">
        <f aca="false">TEXT(B3642,"mmm-yyyy")</f>
        <v>Oct-2024</v>
      </c>
    </row>
    <row r="3643" customFormat="false" ht="87" hidden="false" customHeight="true" outlineLevel="0" collapsed="false">
      <c r="A3643" s="1" t="n">
        <v>1</v>
      </c>
      <c r="B3643" s="10" t="n">
        <v>45606</v>
      </c>
      <c r="C3643" s="11" t="s">
        <v>3662</v>
      </c>
      <c r="D3643" s="1" t="s">
        <v>2901</v>
      </c>
      <c r="E3643" s="1" t="s">
        <v>18</v>
      </c>
      <c r="F3643" s="1" t="str">
        <f aca="false">TEXT(B3643,"mmm-yyyy")</f>
        <v>Nov-2024</v>
      </c>
    </row>
    <row r="3644" customFormat="false" ht="115.5" hidden="false" customHeight="true" outlineLevel="0" collapsed="false">
      <c r="A3644" s="1" t="n">
        <v>1</v>
      </c>
      <c r="B3644" s="10" t="n">
        <v>45604</v>
      </c>
      <c r="C3644" s="11" t="s">
        <v>3663</v>
      </c>
      <c r="D3644" s="1" t="s">
        <v>2901</v>
      </c>
      <c r="E3644" s="1" t="s">
        <v>20</v>
      </c>
      <c r="F3644" s="1" t="str">
        <f aca="false">TEXT(B3644,"mmm-yyyy")</f>
        <v>Nov-2024</v>
      </c>
    </row>
    <row r="3645" customFormat="false" ht="72" hidden="false" customHeight="true" outlineLevel="0" collapsed="false">
      <c r="A3645" s="1" t="n">
        <v>1</v>
      </c>
      <c r="B3645" s="10" t="n">
        <v>45644</v>
      </c>
      <c r="C3645" s="11" t="s">
        <v>3664</v>
      </c>
      <c r="D3645" s="1" t="s">
        <v>2901</v>
      </c>
      <c r="E3645" s="1" t="s">
        <v>20</v>
      </c>
      <c r="F3645" s="1" t="str">
        <f aca="false">TEXT(B3645,"mmm-yyyy")</f>
        <v>Dec-2024</v>
      </c>
    </row>
    <row r="3646" customFormat="false" ht="87" hidden="false" customHeight="true" outlineLevel="0" collapsed="false">
      <c r="A3646" s="1" t="n">
        <v>1</v>
      </c>
      <c r="B3646" s="10" t="n">
        <v>45638</v>
      </c>
      <c r="C3646" s="11" t="s">
        <v>3665</v>
      </c>
      <c r="D3646" s="1" t="s">
        <v>2901</v>
      </c>
      <c r="E3646" s="1" t="s">
        <v>20</v>
      </c>
      <c r="F3646" s="1" t="str">
        <f aca="false">TEXT(B3646,"mmm-yyyy")</f>
        <v>Dec-2024</v>
      </c>
    </row>
    <row r="3647" customFormat="false" ht="87" hidden="false" customHeight="true" outlineLevel="0" collapsed="false">
      <c r="A3647" s="1" t="n">
        <v>1</v>
      </c>
      <c r="B3647" s="10" t="n">
        <v>45628</v>
      </c>
      <c r="C3647" s="11" t="s">
        <v>3666</v>
      </c>
      <c r="D3647" s="1" t="s">
        <v>2901</v>
      </c>
      <c r="E3647" s="1" t="s">
        <v>20</v>
      </c>
      <c r="F3647" s="1" t="str">
        <f aca="false">TEXT(B3647,"mmm-yyyy")</f>
        <v>Dec-2024</v>
      </c>
    </row>
    <row r="3648" customFormat="false" ht="72" hidden="false" customHeight="true" outlineLevel="0" collapsed="false">
      <c r="A3648" s="1" t="n">
        <v>1</v>
      </c>
      <c r="B3648" s="10" t="n">
        <v>45592</v>
      </c>
      <c r="C3648" s="11" t="s">
        <v>3667</v>
      </c>
      <c r="D3648" s="1" t="s">
        <v>2901</v>
      </c>
      <c r="E3648" s="1" t="s">
        <v>20</v>
      </c>
      <c r="F3648" s="1" t="str">
        <f aca="false">TEXT(B3648,"mmm-yyyy")</f>
        <v>Oct-2024</v>
      </c>
    </row>
    <row r="3649" customFormat="false" ht="101.25" hidden="false" customHeight="true" outlineLevel="0" collapsed="false">
      <c r="A3649" s="1" t="n">
        <v>2</v>
      </c>
      <c r="B3649" s="10" t="n">
        <v>45608</v>
      </c>
      <c r="C3649" s="11" t="s">
        <v>3668</v>
      </c>
      <c r="D3649" s="1" t="s">
        <v>2901</v>
      </c>
      <c r="E3649" s="1" t="s">
        <v>20</v>
      </c>
      <c r="F3649" s="1" t="str">
        <f aca="false">TEXT(B3649,"mmm-yyyy")</f>
        <v>Nov-2024</v>
      </c>
    </row>
    <row r="3650" customFormat="false" ht="115.5" hidden="false" customHeight="true" outlineLevel="0" collapsed="false">
      <c r="A3650" s="1" t="n">
        <v>2</v>
      </c>
      <c r="B3650" s="10" t="n">
        <v>45588</v>
      </c>
      <c r="C3650" s="11" t="s">
        <v>3669</v>
      </c>
      <c r="D3650" s="1" t="s">
        <v>2901</v>
      </c>
      <c r="E3650" s="1" t="s">
        <v>20</v>
      </c>
      <c r="F3650" s="1" t="str">
        <f aca="false">TEXT(B3650,"mmm-yyyy")</f>
        <v>Oct-2024</v>
      </c>
    </row>
    <row r="3651" customFormat="false" ht="130.5" hidden="false" customHeight="true" outlineLevel="0" collapsed="false">
      <c r="A3651" s="1" t="n">
        <v>2</v>
      </c>
      <c r="B3651" s="10" t="n">
        <v>45625</v>
      </c>
      <c r="C3651" s="11" t="s">
        <v>3670</v>
      </c>
      <c r="D3651" s="1" t="s">
        <v>2901</v>
      </c>
      <c r="E3651" s="1" t="s">
        <v>18</v>
      </c>
      <c r="F3651" s="1" t="str">
        <f aca="false">TEXT(B3651,"mmm-yyyy")</f>
        <v>Nov-2024</v>
      </c>
    </row>
    <row r="3652" customFormat="false" ht="72" hidden="false" customHeight="true" outlineLevel="0" collapsed="false">
      <c r="A3652" s="1" t="n">
        <v>1</v>
      </c>
      <c r="B3652" s="10" t="n">
        <v>45647</v>
      </c>
      <c r="C3652" s="11" t="s">
        <v>3671</v>
      </c>
      <c r="D3652" s="1" t="s">
        <v>2901</v>
      </c>
      <c r="E3652" s="1" t="s">
        <v>20</v>
      </c>
      <c r="F3652" s="1" t="str">
        <f aca="false">TEXT(B3652,"mmm-yyyy")</f>
        <v>Dec-2024</v>
      </c>
    </row>
    <row r="3653" customFormat="false" ht="72" hidden="false" customHeight="true" outlineLevel="0" collapsed="false">
      <c r="A3653" s="1" t="n">
        <v>5</v>
      </c>
      <c r="B3653" s="10" t="n">
        <v>45653</v>
      </c>
      <c r="C3653" s="11" t="s">
        <v>3672</v>
      </c>
      <c r="D3653" s="1" t="s">
        <v>2901</v>
      </c>
      <c r="E3653" s="1" t="s">
        <v>18</v>
      </c>
      <c r="F3653" s="1" t="str">
        <f aca="false">TEXT(B3653,"mmm-yyyy")</f>
        <v>Dec-2024</v>
      </c>
    </row>
    <row r="3654" customFormat="false" ht="57.75" hidden="false" customHeight="true" outlineLevel="0" collapsed="false">
      <c r="A3654" s="1" t="n">
        <v>1</v>
      </c>
      <c r="B3654" s="10" t="n">
        <v>45641</v>
      </c>
      <c r="C3654" s="11" t="s">
        <v>3673</v>
      </c>
      <c r="D3654" s="1" t="s">
        <v>2901</v>
      </c>
      <c r="E3654" s="1" t="s">
        <v>20</v>
      </c>
      <c r="F3654" s="1" t="str">
        <f aca="false">TEXT(B3654,"mmm-yyyy")</f>
        <v>Dec-2024</v>
      </c>
    </row>
    <row r="3655" customFormat="false" ht="101.25" hidden="false" customHeight="true" outlineLevel="0" collapsed="false">
      <c r="A3655" s="1" t="n">
        <v>4</v>
      </c>
      <c r="B3655" s="10" t="n">
        <v>45588</v>
      </c>
      <c r="C3655" s="11" t="s">
        <v>3674</v>
      </c>
      <c r="D3655" s="1" t="s">
        <v>2901</v>
      </c>
      <c r="E3655" s="1" t="s">
        <v>18</v>
      </c>
      <c r="F3655" s="1" t="str">
        <f aca="false">TEXT(B3655,"mmm-yyyy")</f>
        <v>Oct-2024</v>
      </c>
    </row>
    <row r="3656" customFormat="false" ht="115.5" hidden="false" customHeight="true" outlineLevel="0" collapsed="false">
      <c r="A3656" s="1" t="n">
        <v>1</v>
      </c>
      <c r="B3656" s="10" t="n">
        <v>45616</v>
      </c>
      <c r="C3656" s="11" t="s">
        <v>3675</v>
      </c>
      <c r="D3656" s="1" t="s">
        <v>2901</v>
      </c>
      <c r="E3656" s="1" t="s">
        <v>20</v>
      </c>
      <c r="F3656" s="1" t="str">
        <f aca="false">TEXT(B3656,"mmm-yyyy")</f>
        <v>Nov-2024</v>
      </c>
    </row>
    <row r="3657" customFormat="false" ht="72" hidden="false" customHeight="true" outlineLevel="0" collapsed="false">
      <c r="A3657" s="1" t="n">
        <v>4</v>
      </c>
      <c r="B3657" s="10" t="n">
        <v>45647</v>
      </c>
      <c r="C3657" s="11" t="s">
        <v>3676</v>
      </c>
      <c r="D3657" s="1" t="s">
        <v>2901</v>
      </c>
      <c r="E3657" s="1" t="s">
        <v>18</v>
      </c>
      <c r="F3657" s="1" t="str">
        <f aca="false">TEXT(B3657,"mmm-yyyy")</f>
        <v>Dec-2024</v>
      </c>
    </row>
    <row r="3658" customFormat="false" ht="87" hidden="false" customHeight="true" outlineLevel="0" collapsed="false">
      <c r="A3658" s="1" t="n">
        <v>1</v>
      </c>
      <c r="B3658" s="10" t="n">
        <v>45613</v>
      </c>
      <c r="C3658" s="11" t="s">
        <v>3677</v>
      </c>
      <c r="D3658" s="1" t="s">
        <v>2901</v>
      </c>
      <c r="E3658" s="1" t="s">
        <v>20</v>
      </c>
      <c r="F3658" s="1" t="str">
        <f aca="false">TEXT(B3658,"mmm-yyyy")</f>
        <v>Nov-2024</v>
      </c>
    </row>
    <row r="3659" customFormat="false" ht="57.75" hidden="false" customHeight="true" outlineLevel="0" collapsed="false">
      <c r="A3659" s="1" t="n">
        <v>2</v>
      </c>
      <c r="B3659" s="10" t="n">
        <v>45630</v>
      </c>
      <c r="C3659" s="11" t="s">
        <v>3678</v>
      </c>
      <c r="D3659" s="1" t="s">
        <v>2901</v>
      </c>
      <c r="E3659" s="1" t="s">
        <v>20</v>
      </c>
      <c r="F3659" s="1" t="str">
        <f aca="false">TEXT(B3659,"mmm-yyyy")</f>
        <v>Dec-2024</v>
      </c>
    </row>
    <row r="3660" customFormat="false" ht="72" hidden="false" customHeight="true" outlineLevel="0" collapsed="false">
      <c r="A3660" s="1" t="n">
        <v>3</v>
      </c>
      <c r="B3660" s="10" t="n">
        <v>45631</v>
      </c>
      <c r="C3660" s="11" t="s">
        <v>3679</v>
      </c>
      <c r="D3660" s="1" t="s">
        <v>2901</v>
      </c>
      <c r="E3660" s="1" t="s">
        <v>20</v>
      </c>
      <c r="F3660" s="1" t="str">
        <f aca="false">TEXT(B3660,"mmm-yyyy")</f>
        <v>Dec-2024</v>
      </c>
    </row>
    <row r="3661" customFormat="false" ht="87" hidden="false" customHeight="true" outlineLevel="0" collapsed="false">
      <c r="A3661" s="1" t="n">
        <v>2</v>
      </c>
      <c r="B3661" s="10" t="n">
        <v>45625</v>
      </c>
      <c r="C3661" s="11" t="s">
        <v>3680</v>
      </c>
      <c r="D3661" s="1" t="s">
        <v>2901</v>
      </c>
      <c r="E3661" s="1" t="s">
        <v>18</v>
      </c>
      <c r="F3661" s="1" t="str">
        <f aca="false">TEXT(B3661,"mmm-yyyy")</f>
        <v>Nov-2024</v>
      </c>
    </row>
    <row r="3662" customFormat="false" ht="57.75" hidden="false" customHeight="true" outlineLevel="0" collapsed="false">
      <c r="A3662" s="1" t="n">
        <v>1</v>
      </c>
      <c r="B3662" s="10" t="n">
        <v>45649</v>
      </c>
      <c r="C3662" s="11" t="s">
        <v>3681</v>
      </c>
      <c r="D3662" s="1" t="s">
        <v>2901</v>
      </c>
      <c r="E3662" s="1" t="s">
        <v>20</v>
      </c>
      <c r="F3662" s="1" t="str">
        <f aca="false">TEXT(B3662,"mmm-yyyy")</f>
        <v>Dec-2024</v>
      </c>
    </row>
    <row r="3663" customFormat="false" ht="57.75" hidden="false" customHeight="true" outlineLevel="0" collapsed="false">
      <c r="A3663" s="1" t="n">
        <v>1</v>
      </c>
      <c r="B3663" s="10" t="n">
        <v>45614</v>
      </c>
      <c r="C3663" s="11" t="s">
        <v>3682</v>
      </c>
      <c r="D3663" s="1" t="s">
        <v>2901</v>
      </c>
      <c r="E3663" s="1" t="s">
        <v>20</v>
      </c>
      <c r="F3663" s="1" t="str">
        <f aca="false">TEXT(B3663,"mmm-yyyy")</f>
        <v>Nov-2024</v>
      </c>
    </row>
    <row r="3664" customFormat="false" ht="57.75" hidden="false" customHeight="true" outlineLevel="0" collapsed="false">
      <c r="A3664" s="1" t="n">
        <v>2</v>
      </c>
      <c r="B3664" s="10" t="n">
        <v>45633</v>
      </c>
      <c r="C3664" s="11" t="s">
        <v>3683</v>
      </c>
      <c r="D3664" s="1" t="s">
        <v>2901</v>
      </c>
      <c r="E3664" s="1" t="s">
        <v>20</v>
      </c>
      <c r="F3664" s="1" t="str">
        <f aca="false">TEXT(B3664,"mmm-yyyy")</f>
        <v>Dec-2024</v>
      </c>
    </row>
    <row r="3665" customFormat="false" ht="57.75" hidden="false" customHeight="true" outlineLevel="0" collapsed="false">
      <c r="A3665" s="1" t="n">
        <v>1</v>
      </c>
      <c r="B3665" s="10" t="n">
        <v>45631</v>
      </c>
      <c r="C3665" s="11" t="s">
        <v>3684</v>
      </c>
      <c r="D3665" s="1" t="s">
        <v>2901</v>
      </c>
      <c r="E3665" s="1" t="s">
        <v>20</v>
      </c>
      <c r="F3665" s="1" t="str">
        <f aca="false">TEXT(B3665,"mmm-yyyy")</f>
        <v>Dec-2024</v>
      </c>
    </row>
    <row r="3666" customFormat="false" ht="72" hidden="false" customHeight="true" outlineLevel="0" collapsed="false">
      <c r="A3666" s="1" t="n">
        <v>3</v>
      </c>
      <c r="B3666" s="10" t="n">
        <v>45651</v>
      </c>
      <c r="C3666" s="11" t="s">
        <v>3685</v>
      </c>
      <c r="D3666" s="1" t="s">
        <v>2901</v>
      </c>
      <c r="E3666" s="1" t="s">
        <v>18</v>
      </c>
      <c r="F3666" s="1" t="str">
        <f aca="false">TEXT(B3666,"mmm-yyyy")</f>
        <v>Dec-2024</v>
      </c>
    </row>
    <row r="3667" customFormat="false" ht="57.75" hidden="false" customHeight="true" outlineLevel="0" collapsed="false">
      <c r="A3667" s="1" t="n">
        <v>1</v>
      </c>
      <c r="B3667" s="10" t="n">
        <v>45613</v>
      </c>
      <c r="C3667" s="11" t="s">
        <v>3686</v>
      </c>
      <c r="D3667" s="1" t="s">
        <v>2901</v>
      </c>
      <c r="E3667" s="1" t="s">
        <v>20</v>
      </c>
      <c r="F3667" s="1" t="str">
        <f aca="false">TEXT(B3667,"mmm-yyyy")</f>
        <v>Nov-2024</v>
      </c>
    </row>
    <row r="3668" customFormat="false" ht="130.5" hidden="false" customHeight="true" outlineLevel="0" collapsed="false">
      <c r="A3668" s="1" t="n">
        <v>4</v>
      </c>
      <c r="B3668" s="10" t="n">
        <v>45590</v>
      </c>
      <c r="C3668" s="11" t="s">
        <v>3687</v>
      </c>
      <c r="D3668" s="1" t="s">
        <v>2901</v>
      </c>
      <c r="E3668" s="1" t="s">
        <v>20</v>
      </c>
      <c r="F3668" s="1" t="str">
        <f aca="false">TEXT(B3668,"mmm-yyyy")</f>
        <v>Oct-2024</v>
      </c>
    </row>
    <row r="3669" customFormat="false" ht="57.75" hidden="false" customHeight="true" outlineLevel="0" collapsed="false">
      <c r="A3669" s="1" t="n">
        <v>5</v>
      </c>
      <c r="B3669" s="10" t="n">
        <v>45648</v>
      </c>
      <c r="C3669" s="11" t="s">
        <v>3688</v>
      </c>
      <c r="D3669" s="1" t="s">
        <v>2901</v>
      </c>
      <c r="E3669" s="1" t="s">
        <v>18</v>
      </c>
      <c r="F3669" s="1" t="str">
        <f aca="false">TEXT(B3669,"mmm-yyyy")</f>
        <v>Dec-2024</v>
      </c>
    </row>
    <row r="3670" customFormat="false" ht="101.25" hidden="false" customHeight="true" outlineLevel="0" collapsed="false">
      <c r="A3670" s="1" t="n">
        <v>1</v>
      </c>
      <c r="B3670" s="10" t="n">
        <v>45581</v>
      </c>
      <c r="C3670" s="11" t="s">
        <v>3689</v>
      </c>
      <c r="D3670" s="1" t="s">
        <v>2901</v>
      </c>
      <c r="E3670" s="1" t="s">
        <v>20</v>
      </c>
      <c r="F3670" s="1" t="str">
        <f aca="false">TEXT(B3670,"mmm-yyyy")</f>
        <v>Oct-2024</v>
      </c>
    </row>
    <row r="3671" customFormat="false" ht="101.25" hidden="false" customHeight="true" outlineLevel="0" collapsed="false">
      <c r="A3671" s="1" t="n">
        <v>1</v>
      </c>
      <c r="B3671" s="10" t="n">
        <v>45585</v>
      </c>
      <c r="C3671" s="11" t="s">
        <v>3690</v>
      </c>
      <c r="D3671" s="1" t="s">
        <v>2901</v>
      </c>
      <c r="E3671" s="1" t="s">
        <v>18</v>
      </c>
      <c r="F3671" s="1" t="str">
        <f aca="false">TEXT(B3671,"mmm-yyyy")</f>
        <v>Oct-2024</v>
      </c>
    </row>
    <row r="3672" customFormat="false" ht="87" hidden="false" customHeight="true" outlineLevel="0" collapsed="false">
      <c r="A3672" s="1" t="n">
        <v>1</v>
      </c>
      <c r="B3672" s="10" t="n">
        <v>45651</v>
      </c>
      <c r="C3672" s="11" t="s">
        <v>3691</v>
      </c>
      <c r="D3672" s="1" t="s">
        <v>2901</v>
      </c>
      <c r="E3672" s="1" t="s">
        <v>18</v>
      </c>
      <c r="F3672" s="1" t="str">
        <f aca="false">TEXT(B3672,"mmm-yyyy")</f>
        <v>Dec-2024</v>
      </c>
    </row>
    <row r="3673" customFormat="false" ht="115.5" hidden="false" customHeight="true" outlineLevel="0" collapsed="false">
      <c r="A3673" s="1" t="n">
        <v>1</v>
      </c>
      <c r="B3673" s="10" t="n">
        <v>45585</v>
      </c>
      <c r="C3673" s="11" t="s">
        <v>3692</v>
      </c>
      <c r="D3673" s="1" t="s">
        <v>2901</v>
      </c>
      <c r="E3673" s="1" t="s">
        <v>20</v>
      </c>
      <c r="F3673" s="1" t="str">
        <f aca="false">TEXT(B3673,"mmm-yyyy")</f>
        <v>Oct-2024</v>
      </c>
    </row>
    <row r="3674" customFormat="false" ht="57.75" hidden="false" customHeight="true" outlineLevel="0" collapsed="false">
      <c r="A3674" s="1" t="n">
        <v>1</v>
      </c>
      <c r="B3674" s="10" t="n">
        <v>45633</v>
      </c>
      <c r="C3674" s="11" t="s">
        <v>3693</v>
      </c>
      <c r="D3674" s="1" t="s">
        <v>2901</v>
      </c>
      <c r="E3674" s="1" t="s">
        <v>20</v>
      </c>
      <c r="F3674" s="1" t="str">
        <f aca="false">TEXT(B3674,"mmm-yyyy")</f>
        <v>Dec-2024</v>
      </c>
    </row>
    <row r="3675" customFormat="false" ht="72" hidden="false" customHeight="true" outlineLevel="0" collapsed="false">
      <c r="A3675" s="1" t="n">
        <v>1</v>
      </c>
      <c r="B3675" s="10" t="n">
        <v>45656</v>
      </c>
      <c r="C3675" s="11" t="s">
        <v>3694</v>
      </c>
      <c r="D3675" s="1" t="s">
        <v>2901</v>
      </c>
      <c r="E3675" s="1" t="s">
        <v>20</v>
      </c>
      <c r="F3675" s="1" t="str">
        <f aca="false">TEXT(B3675,"mmm-yyyy")</f>
        <v>Dec-2024</v>
      </c>
    </row>
    <row r="3676" customFormat="false" ht="72" hidden="false" customHeight="true" outlineLevel="0" collapsed="false">
      <c r="A3676" s="1" t="n">
        <v>2</v>
      </c>
      <c r="B3676" s="10" t="n">
        <v>45619</v>
      </c>
      <c r="C3676" s="11" t="s">
        <v>3695</v>
      </c>
      <c r="D3676" s="1" t="s">
        <v>2901</v>
      </c>
      <c r="E3676" s="1" t="s">
        <v>18</v>
      </c>
      <c r="F3676" s="1" t="str">
        <f aca="false">TEXT(B3676,"mmm-yyyy")</f>
        <v>Nov-2024</v>
      </c>
    </row>
    <row r="3677" customFormat="false" ht="57.75" hidden="false" customHeight="true" outlineLevel="0" collapsed="false">
      <c r="A3677" s="1" t="n">
        <v>1</v>
      </c>
      <c r="B3677" s="10" t="n">
        <v>45651</v>
      </c>
      <c r="C3677" s="11" t="s">
        <v>3696</v>
      </c>
      <c r="D3677" s="1" t="s">
        <v>2901</v>
      </c>
      <c r="E3677" s="1" t="s">
        <v>20</v>
      </c>
      <c r="F3677" s="1" t="str">
        <f aca="false">TEXT(B3677,"mmm-yyyy")</f>
        <v>Dec-2024</v>
      </c>
    </row>
    <row r="3678" customFormat="false" ht="87" hidden="false" customHeight="true" outlineLevel="0" collapsed="false">
      <c r="A3678" s="1" t="n">
        <v>1</v>
      </c>
      <c r="B3678" s="10" t="n">
        <v>45609</v>
      </c>
      <c r="C3678" s="11" t="s">
        <v>3697</v>
      </c>
      <c r="D3678" s="1" t="s">
        <v>2901</v>
      </c>
      <c r="E3678" s="1" t="s">
        <v>18</v>
      </c>
      <c r="F3678" s="1" t="str">
        <f aca="false">TEXT(B3678,"mmm-yyyy")</f>
        <v>Nov-2024</v>
      </c>
    </row>
    <row r="3679" customFormat="false" ht="72" hidden="false" customHeight="true" outlineLevel="0" collapsed="false">
      <c r="A3679" s="1" t="n">
        <v>2</v>
      </c>
      <c r="B3679" s="10" t="n">
        <v>45580</v>
      </c>
      <c r="C3679" s="11" t="s">
        <v>3698</v>
      </c>
      <c r="D3679" s="1" t="s">
        <v>2901</v>
      </c>
      <c r="E3679" s="1" t="s">
        <v>20</v>
      </c>
      <c r="F3679" s="1" t="str">
        <f aca="false">TEXT(B3679,"mmm-yyyy")</f>
        <v>Oct-2024</v>
      </c>
    </row>
    <row r="3680" customFormat="false" ht="43.5" hidden="false" customHeight="true" outlineLevel="0" collapsed="false">
      <c r="A3680" s="1" t="n">
        <v>2</v>
      </c>
      <c r="B3680" s="10" t="n">
        <v>45650</v>
      </c>
      <c r="C3680" s="11" t="s">
        <v>3699</v>
      </c>
      <c r="D3680" s="1" t="s">
        <v>2901</v>
      </c>
      <c r="E3680" s="1" t="s">
        <v>20</v>
      </c>
      <c r="F3680" s="1" t="str">
        <f aca="false">TEXT(B3680,"mmm-yyyy")</f>
        <v>Dec-2024</v>
      </c>
    </row>
    <row r="3681" customFormat="false" ht="115.5" hidden="false" customHeight="true" outlineLevel="0" collapsed="false">
      <c r="A3681" s="1" t="n">
        <v>1</v>
      </c>
      <c r="B3681" s="10" t="n">
        <v>45577</v>
      </c>
      <c r="C3681" s="11" t="s">
        <v>3700</v>
      </c>
      <c r="D3681" s="1" t="s">
        <v>2901</v>
      </c>
      <c r="E3681" s="1" t="s">
        <v>20</v>
      </c>
      <c r="F3681" s="1" t="str">
        <f aca="false">TEXT(B3681,"mmm-yyyy")</f>
        <v>Oct-2024</v>
      </c>
    </row>
    <row r="3682" customFormat="false" ht="57.75" hidden="false" customHeight="true" outlineLevel="0" collapsed="false">
      <c r="A3682" s="1" t="n">
        <v>5</v>
      </c>
      <c r="B3682" s="10" t="n">
        <v>45632</v>
      </c>
      <c r="C3682" s="11" t="s">
        <v>3701</v>
      </c>
      <c r="D3682" s="1" t="s">
        <v>2901</v>
      </c>
      <c r="E3682" s="1" t="s">
        <v>18</v>
      </c>
      <c r="F3682" s="1" t="str">
        <f aca="false">TEXT(B3682,"mmm-yyyy")</f>
        <v>Dec-2024</v>
      </c>
    </row>
    <row r="3683" customFormat="false" ht="87" hidden="false" customHeight="true" outlineLevel="0" collapsed="false">
      <c r="A3683" s="1" t="n">
        <v>5</v>
      </c>
      <c r="B3683" s="10" t="n">
        <v>45647</v>
      </c>
      <c r="C3683" s="11" t="s">
        <v>3702</v>
      </c>
      <c r="D3683" s="1" t="s">
        <v>2901</v>
      </c>
      <c r="E3683" s="1" t="s">
        <v>18</v>
      </c>
      <c r="F3683" s="1" t="str">
        <f aca="false">TEXT(B3683,"mmm-yyyy")</f>
        <v>Dec-2024</v>
      </c>
    </row>
    <row r="3684" customFormat="false" ht="72" hidden="false" customHeight="true" outlineLevel="0" collapsed="false">
      <c r="A3684" s="1" t="n">
        <v>1</v>
      </c>
      <c r="B3684" s="10" t="n">
        <v>45651</v>
      </c>
      <c r="C3684" s="11" t="s">
        <v>3703</v>
      </c>
      <c r="D3684" s="1" t="s">
        <v>2901</v>
      </c>
      <c r="E3684" s="1" t="s">
        <v>20</v>
      </c>
      <c r="F3684" s="1" t="str">
        <f aca="false">TEXT(B3684,"mmm-yyyy")</f>
        <v>Dec-2024</v>
      </c>
    </row>
    <row r="3685" customFormat="false" ht="72" hidden="false" customHeight="true" outlineLevel="0" collapsed="false">
      <c r="A3685" s="1" t="n">
        <v>1</v>
      </c>
      <c r="B3685" s="10" t="n">
        <v>45646</v>
      </c>
      <c r="C3685" s="11" t="s">
        <v>3704</v>
      </c>
      <c r="D3685" s="1" t="s">
        <v>2901</v>
      </c>
      <c r="E3685" s="1" t="s">
        <v>20</v>
      </c>
      <c r="F3685" s="1" t="str">
        <f aca="false">TEXT(B3685,"mmm-yyyy")</f>
        <v>Dec-2024</v>
      </c>
    </row>
    <row r="3686" customFormat="false" ht="130.5" hidden="false" customHeight="true" outlineLevel="0" collapsed="false">
      <c r="A3686" s="1" t="n">
        <v>1</v>
      </c>
      <c r="B3686" s="10" t="n">
        <v>45621</v>
      </c>
      <c r="C3686" s="11" t="s">
        <v>3705</v>
      </c>
      <c r="D3686" s="1" t="s">
        <v>2901</v>
      </c>
      <c r="E3686" s="1" t="s">
        <v>18</v>
      </c>
      <c r="F3686" s="1" t="str">
        <f aca="false">TEXT(B3686,"mmm-yyyy")</f>
        <v>Nov-2024</v>
      </c>
    </row>
    <row r="3687" customFormat="false" ht="130.5" hidden="false" customHeight="true" outlineLevel="0" collapsed="false">
      <c r="A3687" s="1" t="n">
        <v>2</v>
      </c>
      <c r="B3687" s="10" t="n">
        <v>45595</v>
      </c>
      <c r="C3687" s="11" t="s">
        <v>3706</v>
      </c>
      <c r="D3687" s="1" t="s">
        <v>2901</v>
      </c>
      <c r="E3687" s="1" t="s">
        <v>18</v>
      </c>
      <c r="F3687" s="1" t="str">
        <f aca="false">TEXT(B3687,"mmm-yyyy")</f>
        <v>Oct-2024</v>
      </c>
    </row>
    <row r="3688" customFormat="false" ht="101.25" hidden="false" customHeight="true" outlineLevel="0" collapsed="false">
      <c r="A3688" s="1" t="n">
        <v>1</v>
      </c>
      <c r="B3688" s="10" t="n">
        <v>45643</v>
      </c>
      <c r="C3688" s="11" t="s">
        <v>3707</v>
      </c>
      <c r="D3688" s="1" t="s">
        <v>2901</v>
      </c>
      <c r="E3688" s="1" t="s">
        <v>20</v>
      </c>
      <c r="F3688" s="1" t="str">
        <f aca="false">TEXT(B3688,"mmm-yyyy")</f>
        <v>Dec-2024</v>
      </c>
    </row>
    <row r="3689" customFormat="false" ht="72" hidden="false" customHeight="true" outlineLevel="0" collapsed="false">
      <c r="A3689" s="1" t="n">
        <v>2</v>
      </c>
      <c r="B3689" s="10" t="n">
        <v>45655</v>
      </c>
      <c r="C3689" s="11" t="s">
        <v>3708</v>
      </c>
      <c r="D3689" s="1" t="s">
        <v>2901</v>
      </c>
      <c r="E3689" s="1" t="s">
        <v>20</v>
      </c>
      <c r="F3689" s="1" t="str">
        <f aca="false">TEXT(B3689,"mmm-yyyy")</f>
        <v>Dec-2024</v>
      </c>
    </row>
    <row r="3690" customFormat="false" ht="101.25" hidden="false" customHeight="true" outlineLevel="0" collapsed="false">
      <c r="A3690" s="1" t="n">
        <v>1</v>
      </c>
      <c r="B3690" s="10" t="n">
        <v>45643</v>
      </c>
      <c r="C3690" s="11" t="s">
        <v>3709</v>
      </c>
      <c r="D3690" s="1" t="s">
        <v>2901</v>
      </c>
      <c r="E3690" s="1" t="s">
        <v>18</v>
      </c>
      <c r="F3690" s="1" t="str">
        <f aca="false">TEXT(B3690,"mmm-yyyy")</f>
        <v>Dec-2024</v>
      </c>
    </row>
    <row r="3691" customFormat="false" ht="72" hidden="false" customHeight="true" outlineLevel="0" collapsed="false">
      <c r="A3691" s="1" t="n">
        <v>2</v>
      </c>
      <c r="B3691" s="10" t="n">
        <v>45587</v>
      </c>
      <c r="C3691" s="11" t="s">
        <v>3710</v>
      </c>
      <c r="D3691" s="1" t="s">
        <v>2901</v>
      </c>
      <c r="E3691" s="1" t="s">
        <v>18</v>
      </c>
      <c r="F3691" s="1" t="str">
        <f aca="false">TEXT(B3691,"mmm-yyyy")</f>
        <v>Oct-2024</v>
      </c>
    </row>
    <row r="3692" customFormat="false" ht="130.5" hidden="false" customHeight="true" outlineLevel="0" collapsed="false">
      <c r="A3692" s="1" t="n">
        <v>1</v>
      </c>
      <c r="B3692" s="10" t="n">
        <v>45645</v>
      </c>
      <c r="C3692" s="11" t="s">
        <v>3711</v>
      </c>
      <c r="D3692" s="1" t="s">
        <v>2901</v>
      </c>
      <c r="E3692" s="1" t="s">
        <v>20</v>
      </c>
      <c r="F3692" s="1" t="str">
        <f aca="false">TEXT(B3692,"mmm-yyyy")</f>
        <v>Dec-2024</v>
      </c>
    </row>
    <row r="3693" customFormat="false" ht="43.5" hidden="false" customHeight="true" outlineLevel="0" collapsed="false">
      <c r="A3693" s="1" t="n">
        <v>1</v>
      </c>
      <c r="B3693" s="10" t="n">
        <v>45657</v>
      </c>
      <c r="C3693" s="11" t="s">
        <v>3712</v>
      </c>
      <c r="D3693" s="1" t="s">
        <v>2901</v>
      </c>
      <c r="E3693" s="1" t="s">
        <v>20</v>
      </c>
      <c r="F3693" s="1" t="str">
        <f aca="false">TEXT(B3693,"mmm-yyyy")</f>
        <v>Dec-2024</v>
      </c>
    </row>
    <row r="3694" customFormat="false" ht="130.5" hidden="false" customHeight="true" outlineLevel="0" collapsed="false">
      <c r="A3694" s="1" t="n">
        <v>1</v>
      </c>
      <c r="B3694" s="10" t="n">
        <v>45640</v>
      </c>
      <c r="C3694" s="11" t="s">
        <v>3713</v>
      </c>
      <c r="D3694" s="1" t="s">
        <v>2901</v>
      </c>
      <c r="E3694" s="1" t="s">
        <v>18</v>
      </c>
      <c r="F3694" s="1" t="str">
        <f aca="false">TEXT(B3694,"mmm-yyyy")</f>
        <v>Dec-2024</v>
      </c>
    </row>
    <row r="3695" customFormat="false" ht="43.5" hidden="false" customHeight="true" outlineLevel="0" collapsed="false">
      <c r="A3695" s="1" t="n">
        <v>3</v>
      </c>
      <c r="B3695" s="10" t="n">
        <v>45646</v>
      </c>
      <c r="C3695" s="11" t="s">
        <v>3714</v>
      </c>
      <c r="D3695" s="1" t="s">
        <v>2901</v>
      </c>
      <c r="E3695" s="1" t="s">
        <v>18</v>
      </c>
      <c r="F3695" s="1" t="str">
        <f aca="false">TEXT(B3695,"mmm-yyyy")</f>
        <v>Dec-2024</v>
      </c>
    </row>
    <row r="3696" customFormat="false" ht="130.5" hidden="false" customHeight="true" outlineLevel="0" collapsed="false">
      <c r="A3696" s="1" t="n">
        <v>1</v>
      </c>
      <c r="B3696" s="10" t="n">
        <v>45580</v>
      </c>
      <c r="C3696" s="11" t="s">
        <v>3715</v>
      </c>
      <c r="D3696" s="1" t="s">
        <v>2901</v>
      </c>
      <c r="E3696" s="1" t="s">
        <v>18</v>
      </c>
      <c r="F3696" s="1" t="str">
        <f aca="false">TEXT(B3696,"mmm-yyyy")</f>
        <v>Oct-2024</v>
      </c>
    </row>
    <row r="3697" customFormat="false" ht="57.75" hidden="false" customHeight="true" outlineLevel="0" collapsed="false">
      <c r="A3697" s="1" t="n">
        <v>1</v>
      </c>
      <c r="B3697" s="10" t="n">
        <v>45657</v>
      </c>
      <c r="C3697" s="11" t="s">
        <v>3716</v>
      </c>
      <c r="D3697" s="1" t="s">
        <v>2901</v>
      </c>
      <c r="E3697" s="1" t="s">
        <v>18</v>
      </c>
      <c r="F3697" s="1" t="str">
        <f aca="false">TEXT(B3697,"mmm-yyyy")</f>
        <v>Dec-2024</v>
      </c>
    </row>
    <row r="3698" customFormat="false" ht="130.5" hidden="false" customHeight="true" outlineLevel="0" collapsed="false">
      <c r="A3698" s="1" t="n">
        <v>1</v>
      </c>
      <c r="B3698" s="10" t="n">
        <v>45641</v>
      </c>
      <c r="C3698" s="11" t="s">
        <v>3717</v>
      </c>
      <c r="D3698" s="1" t="s">
        <v>2901</v>
      </c>
      <c r="E3698" s="1" t="s">
        <v>20</v>
      </c>
      <c r="F3698" s="1" t="str">
        <f aca="false">TEXT(B3698,"mmm-yyyy")</f>
        <v>Dec-2024</v>
      </c>
    </row>
    <row r="3699" customFormat="false" ht="130.5" hidden="false" customHeight="true" outlineLevel="0" collapsed="false">
      <c r="A3699" s="1" t="n">
        <v>1</v>
      </c>
      <c r="B3699" s="10" t="n">
        <v>45589</v>
      </c>
      <c r="C3699" s="11" t="s">
        <v>3718</v>
      </c>
      <c r="D3699" s="1" t="s">
        <v>2901</v>
      </c>
      <c r="E3699" s="1" t="s">
        <v>18</v>
      </c>
      <c r="F3699" s="1" t="str">
        <f aca="false">TEXT(B3699,"mmm-yyyy")</f>
        <v>Oct-2024</v>
      </c>
    </row>
    <row r="3700" customFormat="false" ht="43.5" hidden="false" customHeight="true" outlineLevel="0" collapsed="false">
      <c r="A3700" s="1" t="n">
        <v>1</v>
      </c>
      <c r="B3700" s="10" t="n">
        <v>45646</v>
      </c>
      <c r="C3700" s="11" t="s">
        <v>3719</v>
      </c>
      <c r="D3700" s="1" t="s">
        <v>2901</v>
      </c>
      <c r="E3700" s="1" t="s">
        <v>20</v>
      </c>
      <c r="F3700" s="1" t="str">
        <f aca="false">TEXT(B3700,"mmm-yyyy")</f>
        <v>Dec-2024</v>
      </c>
    </row>
    <row r="3701" customFormat="false" ht="87" hidden="false" customHeight="true" outlineLevel="0" collapsed="false">
      <c r="A3701" s="1" t="n">
        <v>3</v>
      </c>
      <c r="B3701" s="10" t="n">
        <v>45642</v>
      </c>
      <c r="C3701" s="11" t="s">
        <v>3720</v>
      </c>
      <c r="D3701" s="1" t="s">
        <v>2901</v>
      </c>
      <c r="E3701" s="1" t="s">
        <v>18</v>
      </c>
      <c r="F3701" s="1" t="str">
        <f aca="false">TEXT(B3701,"mmm-yyyy")</f>
        <v>Dec-2024</v>
      </c>
    </row>
    <row r="3702" customFormat="false" ht="130.5" hidden="false" customHeight="true" outlineLevel="0" collapsed="false">
      <c r="A3702" s="1" t="n">
        <v>1</v>
      </c>
      <c r="B3702" s="10" t="n">
        <v>45581</v>
      </c>
      <c r="C3702" s="11" t="s">
        <v>3721</v>
      </c>
      <c r="D3702" s="1" t="s">
        <v>2901</v>
      </c>
      <c r="E3702" s="1" t="s">
        <v>20</v>
      </c>
      <c r="F3702" s="1" t="str">
        <f aca="false">TEXT(B3702,"mmm-yyyy")</f>
        <v>Oct-2024</v>
      </c>
    </row>
    <row r="3703" customFormat="false" ht="130.5" hidden="false" customHeight="true" outlineLevel="0" collapsed="false">
      <c r="A3703" s="1" t="n">
        <v>1</v>
      </c>
      <c r="B3703" s="10" t="n">
        <v>45649</v>
      </c>
      <c r="C3703" s="11" t="s">
        <v>3722</v>
      </c>
      <c r="D3703" s="1" t="s">
        <v>2901</v>
      </c>
      <c r="E3703" s="1" t="s">
        <v>18</v>
      </c>
      <c r="F3703" s="1" t="str">
        <f aca="false">TEXT(B3703,"mmm-yyyy")</f>
        <v>Dec-2024</v>
      </c>
    </row>
    <row r="3704" customFormat="false" ht="87" hidden="false" customHeight="true" outlineLevel="0" collapsed="false">
      <c r="A3704" s="1" t="n">
        <v>2</v>
      </c>
      <c r="B3704" s="10" t="n">
        <v>45612</v>
      </c>
      <c r="C3704" s="11" t="s">
        <v>3723</v>
      </c>
      <c r="D3704" s="1" t="s">
        <v>2901</v>
      </c>
      <c r="E3704" s="1" t="s">
        <v>18</v>
      </c>
      <c r="F3704" s="1" t="str">
        <f aca="false">TEXT(B3704,"mmm-yyyy")</f>
        <v>Nov-2024</v>
      </c>
    </row>
    <row r="3705" customFormat="false" ht="57.75" hidden="false" customHeight="true" outlineLevel="0" collapsed="false">
      <c r="A3705" s="1" t="n">
        <v>1</v>
      </c>
      <c r="B3705" s="10" t="n">
        <v>45634</v>
      </c>
      <c r="C3705" s="11" t="s">
        <v>3724</v>
      </c>
      <c r="D3705" s="1" t="s">
        <v>2901</v>
      </c>
      <c r="E3705" s="1" t="s">
        <v>20</v>
      </c>
      <c r="F3705" s="1" t="str">
        <f aca="false">TEXT(B3705,"mmm-yyyy")</f>
        <v>Dec-2024</v>
      </c>
    </row>
    <row r="3706" customFormat="false" ht="43.5" hidden="false" customHeight="true" outlineLevel="0" collapsed="false">
      <c r="A3706" s="1" t="n">
        <v>1</v>
      </c>
      <c r="B3706" s="10" t="n">
        <v>45642</v>
      </c>
      <c r="C3706" s="11" t="s">
        <v>3725</v>
      </c>
      <c r="D3706" s="1" t="s">
        <v>2901</v>
      </c>
      <c r="E3706" s="1" t="s">
        <v>20</v>
      </c>
      <c r="F3706" s="1" t="str">
        <f aca="false">TEXT(B3706,"mmm-yyyy")</f>
        <v>Dec-2024</v>
      </c>
    </row>
    <row r="3707" customFormat="false" ht="115.5" hidden="false" customHeight="true" outlineLevel="0" collapsed="false">
      <c r="A3707" s="1" t="n">
        <v>1</v>
      </c>
      <c r="B3707" s="10" t="n">
        <v>45597</v>
      </c>
      <c r="C3707" s="11" t="s">
        <v>3726</v>
      </c>
      <c r="D3707" s="1" t="s">
        <v>2901</v>
      </c>
      <c r="E3707" s="1" t="s">
        <v>20</v>
      </c>
      <c r="F3707" s="1" t="str">
        <f aca="false">TEXT(B3707,"mmm-yyyy")</f>
        <v>Nov-2024</v>
      </c>
    </row>
    <row r="3708" customFormat="false" ht="57.75" hidden="false" customHeight="true" outlineLevel="0" collapsed="false">
      <c r="A3708" s="1" t="n">
        <v>1</v>
      </c>
      <c r="B3708" s="10" t="n">
        <v>45642</v>
      </c>
      <c r="C3708" s="11" t="s">
        <v>3727</v>
      </c>
      <c r="D3708" s="1" t="s">
        <v>2901</v>
      </c>
      <c r="E3708" s="1" t="s">
        <v>20</v>
      </c>
      <c r="F3708" s="1" t="str">
        <f aca="false">TEXT(B3708,"mmm-yyyy")</f>
        <v>Dec-2024</v>
      </c>
    </row>
    <row r="3709" customFormat="false" ht="87" hidden="false" customHeight="true" outlineLevel="0" collapsed="false">
      <c r="A3709" s="1" t="n">
        <v>1</v>
      </c>
      <c r="B3709" s="10" t="n">
        <v>45623</v>
      </c>
      <c r="C3709" s="11" t="s">
        <v>3728</v>
      </c>
      <c r="D3709" s="1" t="s">
        <v>2901</v>
      </c>
      <c r="E3709" s="1" t="s">
        <v>20</v>
      </c>
      <c r="F3709" s="1" t="str">
        <f aca="false">TEXT(B3709,"mmm-yyyy")</f>
        <v>Nov-2024</v>
      </c>
    </row>
    <row r="3710" customFormat="false" ht="72" hidden="false" customHeight="true" outlineLevel="0" collapsed="false">
      <c r="A3710" s="1" t="n">
        <v>1</v>
      </c>
      <c r="B3710" s="10" t="n">
        <v>45612</v>
      </c>
      <c r="C3710" s="11" t="s">
        <v>3729</v>
      </c>
      <c r="D3710" s="1" t="s">
        <v>2901</v>
      </c>
      <c r="E3710" s="1" t="s">
        <v>20</v>
      </c>
      <c r="F3710" s="1" t="str">
        <f aca="false">TEXT(B3710,"mmm-yyyy")</f>
        <v>Nov-2024</v>
      </c>
    </row>
    <row r="3711" customFormat="false" ht="130.5" hidden="false" customHeight="true" outlineLevel="0" collapsed="false">
      <c r="A3711" s="1" t="n">
        <v>1</v>
      </c>
      <c r="B3711" s="10" t="n">
        <v>45631</v>
      </c>
      <c r="C3711" s="11" t="s">
        <v>3730</v>
      </c>
      <c r="D3711" s="1" t="s">
        <v>2901</v>
      </c>
      <c r="E3711" s="1" t="s">
        <v>20</v>
      </c>
      <c r="F3711" s="1" t="str">
        <f aca="false">TEXT(B3711,"mmm-yyyy")</f>
        <v>Dec-2024</v>
      </c>
    </row>
    <row r="3712" customFormat="false" ht="57.75" hidden="false" customHeight="true" outlineLevel="0" collapsed="false">
      <c r="A3712" s="1" t="n">
        <v>5</v>
      </c>
      <c r="B3712" s="10" t="n">
        <v>45652</v>
      </c>
      <c r="C3712" s="11" t="s">
        <v>3731</v>
      </c>
      <c r="D3712" s="1" t="s">
        <v>2901</v>
      </c>
      <c r="E3712" s="1" t="s">
        <v>18</v>
      </c>
      <c r="F3712" s="1" t="str">
        <f aca="false">TEXT(B3712,"mmm-yyyy")</f>
        <v>Dec-2024</v>
      </c>
    </row>
    <row r="3713" customFormat="false" ht="87" hidden="false" customHeight="true" outlineLevel="0" collapsed="false">
      <c r="A3713" s="1" t="n">
        <v>1</v>
      </c>
      <c r="B3713" s="10" t="n">
        <v>45588</v>
      </c>
      <c r="C3713" s="11" t="s">
        <v>3732</v>
      </c>
      <c r="D3713" s="1" t="s">
        <v>2901</v>
      </c>
      <c r="E3713" s="1" t="s">
        <v>20</v>
      </c>
      <c r="F3713" s="1" t="str">
        <f aca="false">TEXT(B3713,"mmm-yyyy")</f>
        <v>Oct-2024</v>
      </c>
    </row>
    <row r="3714" customFormat="false" ht="87" hidden="false" customHeight="true" outlineLevel="0" collapsed="false">
      <c r="A3714" s="1" t="n">
        <v>1</v>
      </c>
      <c r="B3714" s="10" t="n">
        <v>45632</v>
      </c>
      <c r="C3714" s="11" t="s">
        <v>3733</v>
      </c>
      <c r="D3714" s="1" t="s">
        <v>2901</v>
      </c>
      <c r="E3714" s="1" t="s">
        <v>20</v>
      </c>
      <c r="F3714" s="1" t="str">
        <f aca="false">TEXT(B3714,"mmm-yyyy")</f>
        <v>Dec-2024</v>
      </c>
    </row>
    <row r="3715" customFormat="false" ht="87" hidden="false" customHeight="true" outlineLevel="0" collapsed="false">
      <c r="A3715" s="1" t="n">
        <v>1</v>
      </c>
      <c r="B3715" s="10" t="n">
        <v>45652</v>
      </c>
      <c r="C3715" s="11" t="s">
        <v>3734</v>
      </c>
      <c r="D3715" s="1" t="s">
        <v>2901</v>
      </c>
      <c r="E3715" s="1" t="s">
        <v>18</v>
      </c>
      <c r="F3715" s="1" t="str">
        <f aca="false">TEXT(B3715,"mmm-yyyy")</f>
        <v>Dec-2024</v>
      </c>
    </row>
    <row r="3716" customFormat="false" ht="130.5" hidden="false" customHeight="true" outlineLevel="0" collapsed="false">
      <c r="A3716" s="1" t="n">
        <v>1</v>
      </c>
      <c r="B3716" s="10" t="n">
        <v>45642</v>
      </c>
      <c r="C3716" s="11" t="s">
        <v>3735</v>
      </c>
      <c r="D3716" s="1" t="s">
        <v>2901</v>
      </c>
      <c r="E3716" s="1" t="s">
        <v>20</v>
      </c>
      <c r="F3716" s="1" t="str">
        <f aca="false">TEXT(B3716,"mmm-yyyy")</f>
        <v>Dec-2024</v>
      </c>
    </row>
    <row r="3717" customFormat="false" ht="101.25" hidden="false" customHeight="true" outlineLevel="0" collapsed="false">
      <c r="A3717" s="1" t="n">
        <v>1</v>
      </c>
      <c r="B3717" s="10" t="n">
        <v>45582</v>
      </c>
      <c r="C3717" s="11" t="s">
        <v>3736</v>
      </c>
      <c r="D3717" s="1" t="s">
        <v>2901</v>
      </c>
      <c r="E3717" s="1" t="s">
        <v>18</v>
      </c>
      <c r="F3717" s="1" t="str">
        <f aca="false">TEXT(B3717,"mmm-yyyy")</f>
        <v>Oct-2024</v>
      </c>
    </row>
    <row r="3718" customFormat="false" ht="115.5" hidden="false" customHeight="true" outlineLevel="0" collapsed="false">
      <c r="A3718" s="1" t="n">
        <v>1</v>
      </c>
      <c r="B3718" s="10" t="n">
        <v>45632</v>
      </c>
      <c r="C3718" s="11" t="s">
        <v>3737</v>
      </c>
      <c r="D3718" s="1" t="s">
        <v>2901</v>
      </c>
      <c r="E3718" s="1" t="s">
        <v>20</v>
      </c>
      <c r="F3718" s="1" t="str">
        <f aca="false">TEXT(B3718,"mmm-yyyy")</f>
        <v>Dec-2024</v>
      </c>
    </row>
    <row r="3719" customFormat="false" ht="101.25" hidden="false" customHeight="true" outlineLevel="0" collapsed="false">
      <c r="A3719" s="1" t="n">
        <v>1</v>
      </c>
      <c r="B3719" s="10" t="n">
        <v>45600</v>
      </c>
      <c r="C3719" s="11" t="s">
        <v>3738</v>
      </c>
      <c r="D3719" s="1" t="s">
        <v>2901</v>
      </c>
      <c r="E3719" s="1" t="s">
        <v>18</v>
      </c>
      <c r="F3719" s="1" t="str">
        <f aca="false">TEXT(B3719,"mmm-yyyy")</f>
        <v>Nov-2024</v>
      </c>
    </row>
    <row r="3720" customFormat="false" ht="101.25" hidden="false" customHeight="true" outlineLevel="0" collapsed="false">
      <c r="A3720" s="1" t="n">
        <v>1</v>
      </c>
      <c r="B3720" s="10" t="n">
        <v>45649</v>
      </c>
      <c r="C3720" s="11" t="s">
        <v>3739</v>
      </c>
      <c r="D3720" s="1" t="s">
        <v>2901</v>
      </c>
      <c r="E3720" s="1" t="s">
        <v>20</v>
      </c>
      <c r="F3720" s="1" t="str">
        <f aca="false">TEXT(B3720,"mmm-yyyy")</f>
        <v>Dec-2024</v>
      </c>
    </row>
    <row r="3721" customFormat="false" ht="72" hidden="false" customHeight="true" outlineLevel="0" collapsed="false">
      <c r="A3721" s="1" t="n">
        <v>1</v>
      </c>
      <c r="B3721" s="10" t="n">
        <v>45648</v>
      </c>
      <c r="C3721" s="11" t="s">
        <v>3740</v>
      </c>
      <c r="D3721" s="1" t="s">
        <v>2901</v>
      </c>
      <c r="E3721" s="1" t="s">
        <v>20</v>
      </c>
      <c r="F3721" s="1" t="str">
        <f aca="false">TEXT(B3721,"mmm-yyyy")</f>
        <v>Dec-2024</v>
      </c>
    </row>
    <row r="3722" customFormat="false" ht="101.25" hidden="false" customHeight="true" outlineLevel="0" collapsed="false">
      <c r="A3722" s="1" t="n">
        <v>1</v>
      </c>
      <c r="B3722" s="10" t="n">
        <v>45585</v>
      </c>
      <c r="C3722" s="11" t="s">
        <v>3741</v>
      </c>
      <c r="D3722" s="1" t="s">
        <v>2901</v>
      </c>
      <c r="E3722" s="1" t="s">
        <v>20</v>
      </c>
      <c r="F3722" s="1" t="str">
        <f aca="false">TEXT(B3722,"mmm-yyyy")</f>
        <v>Oct-2024</v>
      </c>
    </row>
    <row r="3723" customFormat="false" ht="115.5" hidden="false" customHeight="true" outlineLevel="0" collapsed="false">
      <c r="A3723" s="1" t="n">
        <v>1</v>
      </c>
      <c r="B3723" s="10" t="n">
        <v>45650</v>
      </c>
      <c r="C3723" s="11" t="s">
        <v>3742</v>
      </c>
      <c r="D3723" s="1" t="s">
        <v>2901</v>
      </c>
      <c r="E3723" s="1" t="s">
        <v>20</v>
      </c>
      <c r="F3723" s="1" t="str">
        <f aca="false">TEXT(B3723,"mmm-yyyy")</f>
        <v>Dec-2024</v>
      </c>
    </row>
    <row r="3724" customFormat="false" ht="87" hidden="false" customHeight="true" outlineLevel="0" collapsed="false">
      <c r="A3724" s="1" t="n">
        <v>4</v>
      </c>
      <c r="B3724" s="10" t="n">
        <v>45595</v>
      </c>
      <c r="C3724" s="11" t="s">
        <v>3743</v>
      </c>
      <c r="D3724" s="1" t="s">
        <v>2901</v>
      </c>
      <c r="E3724" s="1" t="s">
        <v>20</v>
      </c>
      <c r="F3724" s="1" t="str">
        <f aca="false">TEXT(B3724,"mmm-yyyy")</f>
        <v>Oct-2024</v>
      </c>
    </row>
    <row r="3725" customFormat="false" ht="57.75" hidden="false" customHeight="true" outlineLevel="0" collapsed="false">
      <c r="A3725" s="1" t="n">
        <v>1</v>
      </c>
      <c r="B3725" s="10" t="n">
        <v>45584</v>
      </c>
      <c r="C3725" s="11" t="s">
        <v>3744</v>
      </c>
      <c r="D3725" s="1" t="s">
        <v>2901</v>
      </c>
      <c r="E3725" s="1" t="s">
        <v>18</v>
      </c>
      <c r="F3725" s="1" t="str">
        <f aca="false">TEXT(B3725,"mmm-yyyy")</f>
        <v>Oct-2024</v>
      </c>
    </row>
    <row r="3726" customFormat="false" ht="72" hidden="false" customHeight="true" outlineLevel="0" collapsed="false">
      <c r="A3726" s="1" t="n">
        <v>1</v>
      </c>
      <c r="B3726" s="10" t="n">
        <v>45632</v>
      </c>
      <c r="C3726" s="11" t="s">
        <v>3745</v>
      </c>
      <c r="D3726" s="1" t="s">
        <v>2901</v>
      </c>
      <c r="E3726" s="1" t="s">
        <v>18</v>
      </c>
      <c r="F3726" s="1" t="str">
        <f aca="false">TEXT(B3726,"mmm-yyyy")</f>
        <v>Dec-2024</v>
      </c>
    </row>
    <row r="3727" customFormat="false" ht="87" hidden="false" customHeight="true" outlineLevel="0" collapsed="false">
      <c r="A3727" s="1" t="n">
        <v>1</v>
      </c>
      <c r="B3727" s="10" t="n">
        <v>45654</v>
      </c>
      <c r="C3727" s="11" t="s">
        <v>3746</v>
      </c>
      <c r="D3727" s="1" t="s">
        <v>2901</v>
      </c>
      <c r="E3727" s="1" t="s">
        <v>20</v>
      </c>
      <c r="F3727" s="1" t="str">
        <f aca="false">TEXT(B3727,"mmm-yyyy")</f>
        <v>Dec-2024</v>
      </c>
    </row>
    <row r="3728" customFormat="false" ht="72" hidden="false" customHeight="true" outlineLevel="0" collapsed="false">
      <c r="A3728" s="1" t="n">
        <v>1</v>
      </c>
      <c r="B3728" s="10" t="n">
        <v>45657</v>
      </c>
      <c r="C3728" s="11" t="s">
        <v>3747</v>
      </c>
      <c r="D3728" s="1" t="s">
        <v>2901</v>
      </c>
      <c r="E3728" s="1" t="s">
        <v>18</v>
      </c>
      <c r="F3728" s="1" t="str">
        <f aca="false">TEXT(B3728,"mmm-yyyy")</f>
        <v>Dec-2024</v>
      </c>
    </row>
    <row r="3729" customFormat="false" ht="87" hidden="false" customHeight="true" outlineLevel="0" collapsed="false">
      <c r="A3729" s="1" t="n">
        <v>5</v>
      </c>
      <c r="B3729" s="10" t="n">
        <v>45645</v>
      </c>
      <c r="C3729" s="11" t="s">
        <v>3748</v>
      </c>
      <c r="D3729" s="1" t="s">
        <v>2901</v>
      </c>
      <c r="E3729" s="1" t="s">
        <v>18</v>
      </c>
      <c r="F3729" s="1" t="str">
        <f aca="false">TEXT(B3729,"mmm-yyyy")</f>
        <v>Dec-2024</v>
      </c>
    </row>
    <row r="3730" customFormat="false" ht="115.5" hidden="false" customHeight="true" outlineLevel="0" collapsed="false">
      <c r="A3730" s="1" t="n">
        <v>5</v>
      </c>
      <c r="B3730" s="10" t="n">
        <v>45637</v>
      </c>
      <c r="C3730" s="11" t="s">
        <v>3749</v>
      </c>
      <c r="D3730" s="1" t="s">
        <v>2901</v>
      </c>
      <c r="E3730" s="1" t="s">
        <v>18</v>
      </c>
      <c r="F3730" s="1" t="str">
        <f aca="false">TEXT(B3730,"mmm-yyyy")</f>
        <v>Dec-2024</v>
      </c>
    </row>
    <row r="3731" customFormat="false" ht="57.75" hidden="false" customHeight="true" outlineLevel="0" collapsed="false">
      <c r="A3731" s="1" t="n">
        <v>1</v>
      </c>
      <c r="B3731" s="10" t="n">
        <v>45650</v>
      </c>
      <c r="C3731" s="11" t="s">
        <v>3750</v>
      </c>
      <c r="D3731" s="1" t="s">
        <v>2901</v>
      </c>
      <c r="E3731" s="1" t="s">
        <v>20</v>
      </c>
      <c r="F3731" s="1" t="str">
        <f aca="false">TEXT(B3731,"mmm-yyyy")</f>
        <v>Dec-2024</v>
      </c>
    </row>
    <row r="3732" customFormat="false" ht="87" hidden="false" customHeight="true" outlineLevel="0" collapsed="false">
      <c r="A3732" s="1" t="n">
        <v>1</v>
      </c>
      <c r="B3732" s="10" t="n">
        <v>45580</v>
      </c>
      <c r="C3732" s="11" t="s">
        <v>3751</v>
      </c>
      <c r="D3732" s="1" t="s">
        <v>2901</v>
      </c>
      <c r="E3732" s="1" t="s">
        <v>20</v>
      </c>
      <c r="F3732" s="1" t="str">
        <f aca="false">TEXT(B3732,"mmm-yyyy")</f>
        <v>Oct-2024</v>
      </c>
    </row>
    <row r="3733" customFormat="false" ht="57.75" hidden="false" customHeight="true" outlineLevel="0" collapsed="false">
      <c r="A3733" s="1" t="n">
        <v>2</v>
      </c>
      <c r="B3733" s="10" t="n">
        <v>45607</v>
      </c>
      <c r="C3733" s="11" t="s">
        <v>3752</v>
      </c>
      <c r="D3733" s="1" t="s">
        <v>2901</v>
      </c>
      <c r="E3733" s="1" t="s">
        <v>20</v>
      </c>
      <c r="F3733" s="1" t="str">
        <f aca="false">TEXT(B3733,"mmm-yyyy")</f>
        <v>Nov-2024</v>
      </c>
    </row>
    <row r="3734" customFormat="false" ht="101.25" hidden="false" customHeight="true" outlineLevel="0" collapsed="false">
      <c r="A3734" s="1" t="n">
        <v>1</v>
      </c>
      <c r="B3734" s="10" t="n">
        <v>45622</v>
      </c>
      <c r="C3734" s="11" t="s">
        <v>3753</v>
      </c>
      <c r="D3734" s="1" t="s">
        <v>2901</v>
      </c>
      <c r="E3734" s="1" t="s">
        <v>20</v>
      </c>
      <c r="F3734" s="1" t="str">
        <f aca="false">TEXT(B3734,"mmm-yyyy")</f>
        <v>Nov-2024</v>
      </c>
    </row>
    <row r="3735" customFormat="false" ht="87" hidden="false" customHeight="true" outlineLevel="0" collapsed="false">
      <c r="A3735" s="1" t="n">
        <v>2</v>
      </c>
      <c r="B3735" s="10" t="n">
        <v>45635</v>
      </c>
      <c r="C3735" s="11" t="s">
        <v>3754</v>
      </c>
      <c r="D3735" s="1" t="s">
        <v>2901</v>
      </c>
      <c r="E3735" s="1" t="s">
        <v>20</v>
      </c>
      <c r="F3735" s="1" t="str">
        <f aca="false">TEXT(B3735,"mmm-yyyy")</f>
        <v>Dec-2024</v>
      </c>
    </row>
    <row r="3736" customFormat="false" ht="57.75" hidden="false" customHeight="true" outlineLevel="0" collapsed="false">
      <c r="A3736" s="1" t="n">
        <v>4</v>
      </c>
      <c r="B3736" s="10" t="n">
        <v>45637</v>
      </c>
      <c r="C3736" s="11" t="s">
        <v>3755</v>
      </c>
      <c r="D3736" s="1" t="s">
        <v>2901</v>
      </c>
      <c r="E3736" s="1" t="s">
        <v>20</v>
      </c>
      <c r="F3736" s="1" t="str">
        <f aca="false">TEXT(B3736,"mmm-yyyy")</f>
        <v>Dec-2024</v>
      </c>
    </row>
    <row r="3737" customFormat="false" ht="144.75" hidden="false" customHeight="true" outlineLevel="0" collapsed="false">
      <c r="A3737" s="1" t="n">
        <v>1</v>
      </c>
      <c r="B3737" s="10" t="n">
        <v>45595</v>
      </c>
      <c r="C3737" s="11" t="s">
        <v>3756</v>
      </c>
      <c r="D3737" s="1" t="s">
        <v>2901</v>
      </c>
      <c r="E3737" s="1" t="s">
        <v>20</v>
      </c>
      <c r="F3737" s="1" t="str">
        <f aca="false">TEXT(B3737,"mmm-yyyy")</f>
        <v>Oct-2024</v>
      </c>
    </row>
    <row r="3738" customFormat="false" ht="72" hidden="false" customHeight="true" outlineLevel="0" collapsed="false">
      <c r="A3738" s="1" t="n">
        <v>1</v>
      </c>
      <c r="B3738" s="10" t="n">
        <v>45635</v>
      </c>
      <c r="C3738" s="11" t="s">
        <v>3757</v>
      </c>
      <c r="D3738" s="1" t="s">
        <v>2901</v>
      </c>
      <c r="E3738" s="1" t="s">
        <v>20</v>
      </c>
      <c r="F3738" s="1" t="str">
        <f aca="false">TEXT(B3738,"mmm-yyyy")</f>
        <v>Dec-2024</v>
      </c>
    </row>
    <row r="3739" customFormat="false" ht="72" hidden="false" customHeight="true" outlineLevel="0" collapsed="false">
      <c r="A3739" s="1" t="n">
        <v>1</v>
      </c>
      <c r="B3739" s="10" t="n">
        <v>45578</v>
      </c>
      <c r="C3739" s="11" t="s">
        <v>3758</v>
      </c>
      <c r="D3739" s="1" t="s">
        <v>2901</v>
      </c>
      <c r="E3739" s="1" t="s">
        <v>20</v>
      </c>
      <c r="F3739" s="1" t="str">
        <f aca="false">TEXT(B3739,"mmm-yyyy")</f>
        <v>Oct-2024</v>
      </c>
    </row>
    <row r="3740" customFormat="false" ht="72" hidden="false" customHeight="true" outlineLevel="0" collapsed="false">
      <c r="A3740" s="1" t="n">
        <v>1</v>
      </c>
      <c r="B3740" s="10" t="n">
        <v>45642</v>
      </c>
      <c r="C3740" s="11" t="s">
        <v>3759</v>
      </c>
      <c r="D3740" s="1" t="s">
        <v>2901</v>
      </c>
      <c r="E3740" s="1" t="s">
        <v>20</v>
      </c>
      <c r="F3740" s="1" t="str">
        <f aca="false">TEXT(B3740,"mmm-yyyy")</f>
        <v>Dec-2024</v>
      </c>
    </row>
    <row r="3741" customFormat="false" ht="72" hidden="false" customHeight="true" outlineLevel="0" collapsed="false">
      <c r="A3741" s="1" t="n">
        <v>1</v>
      </c>
      <c r="B3741" s="10" t="n">
        <v>45635</v>
      </c>
      <c r="C3741" s="11" t="s">
        <v>3760</v>
      </c>
      <c r="D3741" s="1" t="s">
        <v>2901</v>
      </c>
      <c r="E3741" s="1" t="s">
        <v>20</v>
      </c>
      <c r="F3741" s="1" t="str">
        <f aca="false">TEXT(B3741,"mmm-yyyy")</f>
        <v>Dec-2024</v>
      </c>
    </row>
    <row r="3742" customFormat="false" ht="72" hidden="false" customHeight="true" outlineLevel="0" collapsed="false">
      <c r="A3742" s="1" t="n">
        <v>1</v>
      </c>
      <c r="B3742" s="10" t="n">
        <v>45631</v>
      </c>
      <c r="C3742" s="11" t="s">
        <v>3761</v>
      </c>
      <c r="D3742" s="1" t="s">
        <v>2901</v>
      </c>
      <c r="E3742" s="1" t="s">
        <v>32</v>
      </c>
      <c r="F3742" s="1" t="str">
        <f aca="false">TEXT(B3742,"mmm-yyyy")</f>
        <v>Dec-2024</v>
      </c>
    </row>
    <row r="3743" customFormat="false" ht="101.25" hidden="false" customHeight="true" outlineLevel="0" collapsed="false">
      <c r="A3743" s="1" t="n">
        <v>1</v>
      </c>
      <c r="B3743" s="10" t="n">
        <v>45578</v>
      </c>
      <c r="C3743" s="11" t="s">
        <v>3762</v>
      </c>
      <c r="D3743" s="1" t="s">
        <v>2901</v>
      </c>
      <c r="E3743" s="1" t="s">
        <v>20</v>
      </c>
      <c r="F3743" s="1" t="str">
        <f aca="false">TEXT(B3743,"mmm-yyyy")</f>
        <v>Oct-2024</v>
      </c>
    </row>
    <row r="3744" customFormat="false" ht="115.5" hidden="false" customHeight="true" outlineLevel="0" collapsed="false">
      <c r="A3744" s="1" t="n">
        <v>1</v>
      </c>
      <c r="B3744" s="10" t="n">
        <v>45652</v>
      </c>
      <c r="C3744" s="11" t="s">
        <v>3763</v>
      </c>
      <c r="D3744" s="1" t="s">
        <v>2901</v>
      </c>
      <c r="E3744" s="1" t="s">
        <v>20</v>
      </c>
      <c r="F3744" s="1" t="str">
        <f aca="false">TEXT(B3744,"mmm-yyyy")</f>
        <v>Dec-2024</v>
      </c>
    </row>
    <row r="3745" customFormat="false" ht="87" hidden="false" customHeight="true" outlineLevel="0" collapsed="false">
      <c r="A3745" s="1" t="n">
        <v>1</v>
      </c>
      <c r="B3745" s="10" t="n">
        <v>45612</v>
      </c>
      <c r="C3745" s="11" t="s">
        <v>3764</v>
      </c>
      <c r="D3745" s="1" t="s">
        <v>2901</v>
      </c>
      <c r="E3745" s="1" t="s">
        <v>18</v>
      </c>
      <c r="F3745" s="1" t="str">
        <f aca="false">TEXT(B3745,"mmm-yyyy")</f>
        <v>Nov-2024</v>
      </c>
    </row>
    <row r="3746" customFormat="false" ht="87" hidden="false" customHeight="true" outlineLevel="0" collapsed="false">
      <c r="A3746" s="1" t="n">
        <v>1</v>
      </c>
      <c r="B3746" s="10" t="n">
        <v>45618</v>
      </c>
      <c r="C3746" s="11" t="s">
        <v>3765</v>
      </c>
      <c r="D3746" s="1" t="s">
        <v>2901</v>
      </c>
      <c r="E3746" s="1" t="s">
        <v>18</v>
      </c>
      <c r="F3746" s="1" t="str">
        <f aca="false">TEXT(B3746,"mmm-yyyy")</f>
        <v>Nov-2024</v>
      </c>
    </row>
    <row r="3747" customFormat="false" ht="101.25" hidden="false" customHeight="true" outlineLevel="0" collapsed="false">
      <c r="A3747" s="1" t="n">
        <v>1</v>
      </c>
      <c r="B3747" s="10" t="n">
        <v>45638</v>
      </c>
      <c r="C3747" s="11" t="s">
        <v>3766</v>
      </c>
      <c r="D3747" s="1" t="s">
        <v>2901</v>
      </c>
      <c r="E3747" s="1" t="s">
        <v>20</v>
      </c>
      <c r="F3747" s="1" t="str">
        <f aca="false">TEXT(B3747,"mmm-yyyy")</f>
        <v>Dec-2024</v>
      </c>
    </row>
    <row r="3748" customFormat="false" ht="57.75" hidden="false" customHeight="true" outlineLevel="0" collapsed="false">
      <c r="A3748" s="1" t="n">
        <v>1</v>
      </c>
      <c r="B3748" s="10" t="n">
        <v>45634</v>
      </c>
      <c r="C3748" s="11" t="s">
        <v>3767</v>
      </c>
      <c r="D3748" s="1" t="s">
        <v>2901</v>
      </c>
      <c r="E3748" s="1" t="s">
        <v>20</v>
      </c>
      <c r="F3748" s="1" t="str">
        <f aca="false">TEXT(B3748,"mmm-yyyy")</f>
        <v>Dec-2024</v>
      </c>
    </row>
    <row r="3749" customFormat="false" ht="87" hidden="false" customHeight="true" outlineLevel="0" collapsed="false">
      <c r="A3749" s="1" t="n">
        <v>1</v>
      </c>
      <c r="B3749" s="10" t="n">
        <v>45624</v>
      </c>
      <c r="C3749" s="11" t="s">
        <v>3768</v>
      </c>
      <c r="D3749" s="1" t="s">
        <v>2901</v>
      </c>
      <c r="E3749" s="1" t="s">
        <v>18</v>
      </c>
      <c r="F3749" s="1" t="str">
        <f aca="false">TEXT(B3749,"mmm-yyyy")</f>
        <v>Nov-2024</v>
      </c>
    </row>
    <row r="3750" customFormat="false" ht="115.5" hidden="false" customHeight="true" outlineLevel="0" collapsed="false">
      <c r="A3750" s="1" t="n">
        <v>1</v>
      </c>
      <c r="B3750" s="10" t="n">
        <v>45575</v>
      </c>
      <c r="C3750" s="11" t="s">
        <v>3769</v>
      </c>
      <c r="D3750" s="1" t="s">
        <v>2901</v>
      </c>
      <c r="E3750" s="1" t="s">
        <v>20</v>
      </c>
      <c r="F3750" s="1" t="str">
        <f aca="false">TEXT(B3750,"mmm-yyyy")</f>
        <v>Oct-2024</v>
      </c>
    </row>
    <row r="3751" customFormat="false" ht="101.25" hidden="false" customHeight="true" outlineLevel="0" collapsed="false">
      <c r="A3751" s="1" t="n">
        <v>1</v>
      </c>
      <c r="B3751" s="10" t="n">
        <v>45614</v>
      </c>
      <c r="C3751" s="11" t="s">
        <v>3770</v>
      </c>
      <c r="D3751" s="1" t="s">
        <v>2901</v>
      </c>
      <c r="E3751" s="1" t="s">
        <v>18</v>
      </c>
      <c r="F3751" s="1" t="str">
        <f aca="false">TEXT(B3751,"mmm-yyyy")</f>
        <v>Nov-2024</v>
      </c>
    </row>
    <row r="3752" customFormat="false" ht="101.25" hidden="false" customHeight="true" outlineLevel="0" collapsed="false">
      <c r="A3752" s="1" t="n">
        <v>1</v>
      </c>
      <c r="B3752" s="10" t="n">
        <v>45589</v>
      </c>
      <c r="C3752" s="11" t="s">
        <v>3771</v>
      </c>
      <c r="D3752" s="1" t="s">
        <v>2901</v>
      </c>
      <c r="E3752" s="1" t="s">
        <v>18</v>
      </c>
      <c r="F3752" s="1" t="str">
        <f aca="false">TEXT(B3752,"mmm-yyyy")</f>
        <v>Oct-2024</v>
      </c>
    </row>
    <row r="3753" customFormat="false" ht="87" hidden="false" customHeight="true" outlineLevel="0" collapsed="false">
      <c r="A3753" s="1" t="n">
        <v>1</v>
      </c>
      <c r="B3753" s="10" t="n">
        <v>45613</v>
      </c>
      <c r="C3753" s="11" t="s">
        <v>3772</v>
      </c>
      <c r="D3753" s="1" t="s">
        <v>2901</v>
      </c>
      <c r="E3753" s="1" t="s">
        <v>20</v>
      </c>
      <c r="F3753" s="1" t="str">
        <f aca="false">TEXT(B3753,"mmm-yyyy")</f>
        <v>Nov-2024</v>
      </c>
    </row>
    <row r="3754" customFormat="false" ht="130.5" hidden="false" customHeight="true" outlineLevel="0" collapsed="false">
      <c r="A3754" s="1" t="n">
        <v>1</v>
      </c>
      <c r="B3754" s="10" t="n">
        <v>45623</v>
      </c>
      <c r="C3754" s="11" t="s">
        <v>3773</v>
      </c>
      <c r="D3754" s="1" t="s">
        <v>2901</v>
      </c>
      <c r="E3754" s="1" t="s">
        <v>20</v>
      </c>
      <c r="F3754" s="1" t="str">
        <f aca="false">TEXT(B3754,"mmm-yyyy")</f>
        <v>Nov-2024</v>
      </c>
    </row>
    <row r="3755" customFormat="false" ht="87" hidden="false" customHeight="true" outlineLevel="0" collapsed="false">
      <c r="A3755" s="1" t="n">
        <v>2</v>
      </c>
      <c r="B3755" s="10" t="n">
        <v>45636</v>
      </c>
      <c r="C3755" s="11" t="s">
        <v>3774</v>
      </c>
      <c r="D3755" s="1" t="s">
        <v>2901</v>
      </c>
      <c r="E3755" s="1" t="s">
        <v>20</v>
      </c>
      <c r="F3755" s="1" t="str">
        <f aca="false">TEXT(B3755,"mmm-yyyy")</f>
        <v>Dec-2024</v>
      </c>
    </row>
    <row r="3756" customFormat="false" ht="130.5" hidden="false" customHeight="true" outlineLevel="0" collapsed="false">
      <c r="A3756" s="1" t="n">
        <v>1</v>
      </c>
      <c r="B3756" s="10" t="n">
        <v>45612</v>
      </c>
      <c r="C3756" s="11" t="s">
        <v>3775</v>
      </c>
      <c r="D3756" s="1" t="s">
        <v>2901</v>
      </c>
      <c r="E3756" s="1" t="s">
        <v>20</v>
      </c>
      <c r="F3756" s="1" t="str">
        <f aca="false">TEXT(B3756,"mmm-yyyy")</f>
        <v>Nov-2024</v>
      </c>
    </row>
    <row r="3757" customFormat="false" ht="72" hidden="false" customHeight="true" outlineLevel="0" collapsed="false">
      <c r="A3757" s="1" t="n">
        <v>5</v>
      </c>
      <c r="B3757" s="10" t="n">
        <v>45653</v>
      </c>
      <c r="C3757" s="11" t="s">
        <v>3776</v>
      </c>
      <c r="D3757" s="1" t="s">
        <v>2901</v>
      </c>
      <c r="E3757" s="1" t="s">
        <v>18</v>
      </c>
      <c r="F3757" s="1" t="str">
        <f aca="false">TEXT(B3757,"mmm-yyyy")</f>
        <v>Dec-2024</v>
      </c>
    </row>
    <row r="3758" customFormat="false" ht="72" hidden="false" customHeight="true" outlineLevel="0" collapsed="false">
      <c r="A3758" s="1" t="n">
        <v>1</v>
      </c>
      <c r="B3758" s="10" t="n">
        <v>45652</v>
      </c>
      <c r="C3758" s="11" t="s">
        <v>3777</v>
      </c>
      <c r="D3758" s="1" t="s">
        <v>2901</v>
      </c>
      <c r="E3758" s="1" t="s">
        <v>20</v>
      </c>
      <c r="F3758" s="1" t="str">
        <f aca="false">TEXT(B3758,"mmm-yyyy")</f>
        <v>Dec-2024</v>
      </c>
    </row>
    <row r="3759" customFormat="false" ht="57.75" hidden="false" customHeight="true" outlineLevel="0" collapsed="false">
      <c r="A3759" s="1" t="n">
        <v>1</v>
      </c>
      <c r="B3759" s="10" t="n">
        <v>45654</v>
      </c>
      <c r="C3759" s="11" t="s">
        <v>3778</v>
      </c>
      <c r="D3759" s="1" t="s">
        <v>2901</v>
      </c>
      <c r="E3759" s="1" t="s">
        <v>20</v>
      </c>
      <c r="F3759" s="1" t="str">
        <f aca="false">TEXT(B3759,"mmm-yyyy")</f>
        <v>Dec-2024</v>
      </c>
    </row>
    <row r="3760" customFormat="false" ht="130.5" hidden="false" customHeight="true" outlineLevel="0" collapsed="false">
      <c r="A3760" s="1" t="n">
        <v>1</v>
      </c>
      <c r="B3760" s="10" t="n">
        <v>45629</v>
      </c>
      <c r="C3760" s="11" t="s">
        <v>3779</v>
      </c>
      <c r="D3760" s="1" t="s">
        <v>2901</v>
      </c>
      <c r="E3760" s="1" t="s">
        <v>20</v>
      </c>
      <c r="F3760" s="1" t="str">
        <f aca="false">TEXT(B3760,"mmm-yyyy")</f>
        <v>Dec-2024</v>
      </c>
    </row>
    <row r="3761" customFormat="false" ht="57.75" hidden="false" customHeight="true" outlineLevel="0" collapsed="false">
      <c r="A3761" s="1" t="n">
        <v>1</v>
      </c>
      <c r="B3761" s="10" t="n">
        <v>45655</v>
      </c>
      <c r="C3761" s="11" t="s">
        <v>3780</v>
      </c>
      <c r="D3761" s="1" t="s">
        <v>2901</v>
      </c>
      <c r="E3761" s="1" t="s">
        <v>18</v>
      </c>
      <c r="F3761" s="1" t="str">
        <f aca="false">TEXT(B3761,"mmm-yyyy")</f>
        <v>Dec-2024</v>
      </c>
    </row>
    <row r="3762" customFormat="false" ht="115.5" hidden="false" customHeight="true" outlineLevel="0" collapsed="false">
      <c r="A3762" s="1" t="n">
        <v>1</v>
      </c>
      <c r="B3762" s="10" t="n">
        <v>45620</v>
      </c>
      <c r="C3762" s="11" t="s">
        <v>3781</v>
      </c>
      <c r="D3762" s="1" t="s">
        <v>2901</v>
      </c>
      <c r="E3762" s="1" t="s">
        <v>20</v>
      </c>
      <c r="F3762" s="1" t="str">
        <f aca="false">TEXT(B3762,"mmm-yyyy")</f>
        <v>Nov-2024</v>
      </c>
    </row>
    <row r="3763" customFormat="false" ht="72" hidden="false" customHeight="true" outlineLevel="0" collapsed="false">
      <c r="A3763" s="1" t="n">
        <v>1</v>
      </c>
      <c r="B3763" s="10" t="n">
        <v>45607</v>
      </c>
      <c r="C3763" s="11" t="s">
        <v>3782</v>
      </c>
      <c r="D3763" s="1" t="s">
        <v>2901</v>
      </c>
      <c r="E3763" s="1" t="s">
        <v>20</v>
      </c>
      <c r="F3763" s="1" t="str">
        <f aca="false">TEXT(B3763,"mmm-yyyy")</f>
        <v>Nov-2024</v>
      </c>
    </row>
    <row r="3764" customFormat="false" ht="72" hidden="false" customHeight="true" outlineLevel="0" collapsed="false">
      <c r="A3764" s="1" t="n">
        <v>1</v>
      </c>
      <c r="B3764" s="10" t="n">
        <v>45657</v>
      </c>
      <c r="C3764" s="11" t="s">
        <v>3783</v>
      </c>
      <c r="D3764" s="1" t="s">
        <v>2901</v>
      </c>
      <c r="E3764" s="1" t="s">
        <v>20</v>
      </c>
      <c r="F3764" s="1" t="str">
        <f aca="false">TEXT(B3764,"mmm-yyyy")</f>
        <v>Dec-2024</v>
      </c>
    </row>
    <row r="3765" customFormat="false" ht="130.5" hidden="false" customHeight="true" outlineLevel="0" collapsed="false">
      <c r="A3765" s="1" t="n">
        <v>1</v>
      </c>
      <c r="B3765" s="10" t="n">
        <v>45613</v>
      </c>
      <c r="C3765" s="11" t="s">
        <v>3784</v>
      </c>
      <c r="D3765" s="1" t="s">
        <v>2901</v>
      </c>
      <c r="E3765" s="1" t="s">
        <v>20</v>
      </c>
      <c r="F3765" s="1" t="str">
        <f aca="false">TEXT(B3765,"mmm-yyyy")</f>
        <v>Nov-2024</v>
      </c>
    </row>
    <row r="3766" customFormat="false" ht="57.75" hidden="false" customHeight="true" outlineLevel="0" collapsed="false">
      <c r="A3766" s="1" t="n">
        <v>1</v>
      </c>
      <c r="B3766" s="10" t="n">
        <v>45640</v>
      </c>
      <c r="C3766" s="11" t="s">
        <v>3785</v>
      </c>
      <c r="D3766" s="1" t="s">
        <v>2901</v>
      </c>
      <c r="E3766" s="1" t="s">
        <v>20</v>
      </c>
      <c r="F3766" s="1" t="str">
        <f aca="false">TEXT(B3766,"mmm-yyyy")</f>
        <v>Dec-2024</v>
      </c>
    </row>
    <row r="3767" customFormat="false" ht="87" hidden="false" customHeight="true" outlineLevel="0" collapsed="false">
      <c r="A3767" s="1" t="n">
        <v>1</v>
      </c>
      <c r="B3767" s="10" t="n">
        <v>45622</v>
      </c>
      <c r="C3767" s="11" t="s">
        <v>3786</v>
      </c>
      <c r="D3767" s="1" t="s">
        <v>2901</v>
      </c>
      <c r="E3767" s="1" t="s">
        <v>20</v>
      </c>
      <c r="F3767" s="1" t="str">
        <f aca="false">TEXT(B3767,"mmm-yyyy")</f>
        <v>Nov-2024</v>
      </c>
    </row>
    <row r="3768" customFormat="false" ht="115.5" hidden="false" customHeight="true" outlineLevel="0" collapsed="false">
      <c r="A3768" s="1" t="n">
        <v>1</v>
      </c>
      <c r="B3768" s="10" t="n">
        <v>45624</v>
      </c>
      <c r="C3768" s="11" t="s">
        <v>3787</v>
      </c>
      <c r="D3768" s="1" t="s">
        <v>2901</v>
      </c>
      <c r="E3768" s="1" t="s">
        <v>18</v>
      </c>
      <c r="F3768" s="1" t="str">
        <f aca="false">TEXT(B3768,"mmm-yyyy")</f>
        <v>Nov-2024</v>
      </c>
    </row>
    <row r="3769" customFormat="false" ht="101.25" hidden="false" customHeight="true" outlineLevel="0" collapsed="false">
      <c r="A3769" s="1" t="n">
        <v>1</v>
      </c>
      <c r="B3769" s="10" t="n">
        <v>45643</v>
      </c>
      <c r="C3769" s="11" t="s">
        <v>3788</v>
      </c>
      <c r="D3769" s="1" t="s">
        <v>2901</v>
      </c>
      <c r="E3769" s="1" t="s">
        <v>18</v>
      </c>
      <c r="F3769" s="1" t="str">
        <f aca="false">TEXT(B3769,"mmm-yyyy")</f>
        <v>Dec-2024</v>
      </c>
    </row>
    <row r="3770" customFormat="false" ht="115.5" hidden="false" customHeight="true" outlineLevel="0" collapsed="false">
      <c r="A3770" s="1" t="n">
        <v>1</v>
      </c>
      <c r="B3770" s="10" t="n">
        <v>45655</v>
      </c>
      <c r="C3770" s="11" t="s">
        <v>3789</v>
      </c>
      <c r="D3770" s="1" t="s">
        <v>2901</v>
      </c>
      <c r="E3770" s="1" t="s">
        <v>20</v>
      </c>
      <c r="F3770" s="1" t="str">
        <f aca="false">TEXT(B3770,"mmm-yyyy")</f>
        <v>Dec-2024</v>
      </c>
    </row>
    <row r="3771" customFormat="false" ht="57.75" hidden="false" customHeight="true" outlineLevel="0" collapsed="false">
      <c r="A3771" s="1" t="n">
        <v>3</v>
      </c>
      <c r="B3771" s="10" t="n">
        <v>45604</v>
      </c>
      <c r="C3771" s="11" t="s">
        <v>3790</v>
      </c>
      <c r="D3771" s="1" t="s">
        <v>2901</v>
      </c>
      <c r="E3771" s="1" t="s">
        <v>18</v>
      </c>
      <c r="F3771" s="1" t="str">
        <f aca="false">TEXT(B3771,"mmm-yyyy")</f>
        <v>Nov-2024</v>
      </c>
    </row>
    <row r="3772" customFormat="false" ht="87" hidden="false" customHeight="true" outlineLevel="0" collapsed="false">
      <c r="A3772" s="1" t="n">
        <v>1</v>
      </c>
      <c r="B3772" s="10" t="n">
        <v>45611</v>
      </c>
      <c r="C3772" s="11" t="s">
        <v>3791</v>
      </c>
      <c r="D3772" s="1" t="s">
        <v>2901</v>
      </c>
      <c r="E3772" s="1" t="s">
        <v>18</v>
      </c>
      <c r="F3772" s="1" t="str">
        <f aca="false">TEXT(B3772,"mmm-yyyy")</f>
        <v>Nov-2024</v>
      </c>
    </row>
    <row r="3773" customFormat="false" ht="115.5" hidden="false" customHeight="true" outlineLevel="0" collapsed="false">
      <c r="A3773" s="1" t="n">
        <v>1</v>
      </c>
      <c r="B3773" s="10" t="n">
        <v>45606</v>
      </c>
      <c r="C3773" s="11" t="s">
        <v>3792</v>
      </c>
      <c r="D3773" s="1" t="s">
        <v>2901</v>
      </c>
      <c r="E3773" s="1" t="s">
        <v>18</v>
      </c>
      <c r="F3773" s="1" t="str">
        <f aca="false">TEXT(B3773,"mmm-yyyy")</f>
        <v>Nov-2024</v>
      </c>
    </row>
    <row r="3774" customFormat="false" ht="87" hidden="false" customHeight="true" outlineLevel="0" collapsed="false">
      <c r="A3774" s="1" t="n">
        <v>1</v>
      </c>
      <c r="B3774" s="10" t="n">
        <v>45610</v>
      </c>
      <c r="C3774" s="11" t="s">
        <v>3793</v>
      </c>
      <c r="D3774" s="1" t="s">
        <v>2901</v>
      </c>
      <c r="E3774" s="1" t="s">
        <v>18</v>
      </c>
      <c r="F3774" s="1" t="str">
        <f aca="false">TEXT(B3774,"mmm-yyyy")</f>
        <v>Nov-2024</v>
      </c>
    </row>
    <row r="3775" customFormat="false" ht="87" hidden="false" customHeight="true" outlineLevel="0" collapsed="false">
      <c r="A3775" s="1" t="n">
        <v>1</v>
      </c>
      <c r="B3775" s="10" t="n">
        <v>45637</v>
      </c>
      <c r="C3775" s="11" t="s">
        <v>3794</v>
      </c>
      <c r="D3775" s="1" t="s">
        <v>2901</v>
      </c>
      <c r="E3775" s="1" t="s">
        <v>20</v>
      </c>
      <c r="F3775" s="1" t="str">
        <f aca="false">TEXT(B3775,"mmm-yyyy")</f>
        <v>Dec-2024</v>
      </c>
    </row>
    <row r="3776" customFormat="false" ht="130.5" hidden="false" customHeight="true" outlineLevel="0" collapsed="false">
      <c r="A3776" s="1" t="n">
        <v>1</v>
      </c>
      <c r="B3776" s="10" t="n">
        <v>45577</v>
      </c>
      <c r="C3776" s="11" t="s">
        <v>3795</v>
      </c>
      <c r="D3776" s="1" t="s">
        <v>2901</v>
      </c>
      <c r="E3776" s="1" t="s">
        <v>18</v>
      </c>
      <c r="F3776" s="1" t="str">
        <f aca="false">TEXT(B3776,"mmm-yyyy")</f>
        <v>Oct-2024</v>
      </c>
    </row>
    <row r="3777" customFormat="false" ht="72" hidden="false" customHeight="true" outlineLevel="0" collapsed="false">
      <c r="A3777" s="1" t="n">
        <v>1</v>
      </c>
      <c r="B3777" s="10" t="n">
        <v>45642</v>
      </c>
      <c r="C3777" s="11" t="s">
        <v>3796</v>
      </c>
      <c r="D3777" s="1" t="s">
        <v>2901</v>
      </c>
      <c r="E3777" s="1" t="s">
        <v>20</v>
      </c>
      <c r="F3777" s="1" t="str">
        <f aca="false">TEXT(B3777,"mmm-yyyy")</f>
        <v>Dec-2024</v>
      </c>
    </row>
    <row r="3778" customFormat="false" ht="57.75" hidden="false" customHeight="true" outlineLevel="0" collapsed="false">
      <c r="A3778" s="1" t="n">
        <v>1</v>
      </c>
      <c r="B3778" s="10" t="n">
        <v>45638</v>
      </c>
      <c r="C3778" s="11" t="s">
        <v>3797</v>
      </c>
      <c r="D3778" s="1" t="s">
        <v>2901</v>
      </c>
      <c r="E3778" s="1" t="s">
        <v>20</v>
      </c>
      <c r="F3778" s="1" t="str">
        <f aca="false">TEXT(B3778,"mmm-yyyy")</f>
        <v>Dec-2024</v>
      </c>
    </row>
    <row r="3779" customFormat="false" ht="101.25" hidden="false" customHeight="true" outlineLevel="0" collapsed="false">
      <c r="A3779" s="1" t="n">
        <v>1</v>
      </c>
      <c r="B3779" s="10" t="n">
        <v>45648</v>
      </c>
      <c r="C3779" s="11" t="s">
        <v>3798</v>
      </c>
      <c r="D3779" s="1" t="s">
        <v>2901</v>
      </c>
      <c r="E3779" s="1" t="s">
        <v>20</v>
      </c>
      <c r="F3779" s="1" t="str">
        <f aca="false">TEXT(B3779,"mmm-yyyy")</f>
        <v>Dec-2024</v>
      </c>
    </row>
    <row r="3780" customFormat="false" ht="101.25" hidden="false" customHeight="true" outlineLevel="0" collapsed="false">
      <c r="A3780" s="1" t="n">
        <v>5</v>
      </c>
      <c r="B3780" s="10" t="n">
        <v>45644</v>
      </c>
      <c r="C3780" s="11" t="s">
        <v>3799</v>
      </c>
      <c r="D3780" s="1" t="s">
        <v>2901</v>
      </c>
      <c r="E3780" s="1" t="s">
        <v>18</v>
      </c>
      <c r="F3780" s="1" t="str">
        <f aca="false">TEXT(B3780,"mmm-yyyy")</f>
        <v>Dec-2024</v>
      </c>
    </row>
    <row r="3781" customFormat="false" ht="72" hidden="false" customHeight="true" outlineLevel="0" collapsed="false">
      <c r="A3781" s="1" t="n">
        <v>1</v>
      </c>
      <c r="B3781" s="10" t="n">
        <v>45630</v>
      </c>
      <c r="C3781" s="11" t="s">
        <v>3800</v>
      </c>
      <c r="D3781" s="1" t="s">
        <v>2901</v>
      </c>
      <c r="E3781" s="1" t="s">
        <v>20</v>
      </c>
      <c r="F3781" s="1" t="str">
        <f aca="false">TEXT(B3781,"mmm-yyyy")</f>
        <v>Dec-2024</v>
      </c>
    </row>
    <row r="3782" customFormat="false" ht="57.75" hidden="false" customHeight="true" outlineLevel="0" collapsed="false">
      <c r="A3782" s="1" t="n">
        <v>4</v>
      </c>
      <c r="B3782" s="10" t="n">
        <v>45646</v>
      </c>
      <c r="C3782" s="11" t="s">
        <v>3801</v>
      </c>
      <c r="D3782" s="1" t="s">
        <v>2901</v>
      </c>
      <c r="E3782" s="1" t="s">
        <v>18</v>
      </c>
      <c r="F3782" s="1" t="str">
        <f aca="false">TEXT(B3782,"mmm-yyyy")</f>
        <v>Dec-2024</v>
      </c>
    </row>
    <row r="3783" customFormat="false" ht="57.75" hidden="false" customHeight="true" outlineLevel="0" collapsed="false">
      <c r="A3783" s="1" t="n">
        <v>1</v>
      </c>
      <c r="B3783" s="10" t="n">
        <v>45650</v>
      </c>
      <c r="C3783" s="11" t="s">
        <v>3802</v>
      </c>
      <c r="D3783" s="1" t="s">
        <v>2901</v>
      </c>
      <c r="E3783" s="1" t="s">
        <v>20</v>
      </c>
      <c r="F3783" s="1" t="str">
        <f aca="false">TEXT(B3783,"mmm-yyyy")</f>
        <v>Dec-2024</v>
      </c>
    </row>
    <row r="3784" customFormat="false" ht="87" hidden="false" customHeight="true" outlineLevel="0" collapsed="false">
      <c r="A3784" s="1" t="n">
        <v>1</v>
      </c>
      <c r="B3784" s="10" t="n">
        <v>45584</v>
      </c>
      <c r="C3784" s="11" t="s">
        <v>3803</v>
      </c>
      <c r="D3784" s="1" t="s">
        <v>2901</v>
      </c>
      <c r="E3784" s="1" t="s">
        <v>18</v>
      </c>
      <c r="F3784" s="1" t="str">
        <f aca="false">TEXT(B3784,"mmm-yyyy")</f>
        <v>Oct-2024</v>
      </c>
    </row>
    <row r="3785" customFormat="false" ht="72" hidden="false" customHeight="true" outlineLevel="0" collapsed="false">
      <c r="A3785" s="1" t="n">
        <v>1</v>
      </c>
      <c r="B3785" s="10" t="n">
        <v>45585</v>
      </c>
      <c r="C3785" s="11" t="s">
        <v>3804</v>
      </c>
      <c r="D3785" s="1" t="s">
        <v>2901</v>
      </c>
      <c r="E3785" s="1" t="s">
        <v>20</v>
      </c>
      <c r="F3785" s="1" t="str">
        <f aca="false">TEXT(B3785,"mmm-yyyy")</f>
        <v>Oct-2024</v>
      </c>
    </row>
    <row r="3786" customFormat="false" ht="57.75" hidden="false" customHeight="true" outlineLevel="0" collapsed="false">
      <c r="A3786" s="1" t="n">
        <v>3</v>
      </c>
      <c r="B3786" s="10" t="n">
        <v>45640</v>
      </c>
      <c r="C3786" s="11" t="s">
        <v>3805</v>
      </c>
      <c r="D3786" s="1" t="s">
        <v>2901</v>
      </c>
      <c r="E3786" s="1" t="s">
        <v>20</v>
      </c>
      <c r="F3786" s="1" t="str">
        <f aca="false">TEXT(B3786,"mmm-yyyy")</f>
        <v>Dec-2024</v>
      </c>
    </row>
    <row r="3787" customFormat="false" ht="72" hidden="false" customHeight="true" outlineLevel="0" collapsed="false">
      <c r="A3787" s="1" t="n">
        <v>2</v>
      </c>
      <c r="B3787" s="10" t="n">
        <v>45600</v>
      </c>
      <c r="C3787" s="11" t="s">
        <v>3806</v>
      </c>
      <c r="D3787" s="1" t="s">
        <v>2901</v>
      </c>
      <c r="E3787" s="1" t="s">
        <v>20</v>
      </c>
      <c r="F3787" s="1" t="str">
        <f aca="false">TEXT(B3787,"mmm-yyyy")</f>
        <v>Nov-2024</v>
      </c>
    </row>
    <row r="3788" customFormat="false" ht="72" hidden="false" customHeight="true" outlineLevel="0" collapsed="false">
      <c r="A3788" s="1" t="n">
        <v>3</v>
      </c>
      <c r="B3788" s="10" t="n">
        <v>45605</v>
      </c>
      <c r="C3788" s="11" t="s">
        <v>3807</v>
      </c>
      <c r="D3788" s="1" t="s">
        <v>2901</v>
      </c>
      <c r="E3788" s="1" t="s">
        <v>20</v>
      </c>
      <c r="F3788" s="1" t="str">
        <f aca="false">TEXT(B3788,"mmm-yyyy")</f>
        <v>Nov-2024</v>
      </c>
    </row>
    <row r="3789" customFormat="false" ht="115.5" hidden="false" customHeight="true" outlineLevel="0" collapsed="false">
      <c r="A3789" s="1" t="n">
        <v>1</v>
      </c>
      <c r="B3789" s="10" t="n">
        <v>45578</v>
      </c>
      <c r="C3789" s="11" t="s">
        <v>3808</v>
      </c>
      <c r="D3789" s="1" t="s">
        <v>2901</v>
      </c>
      <c r="E3789" s="1" t="s">
        <v>18</v>
      </c>
      <c r="F3789" s="1" t="str">
        <f aca="false">TEXT(B3789,"mmm-yyyy")</f>
        <v>Oct-2024</v>
      </c>
    </row>
    <row r="3790" customFormat="false" ht="87" hidden="false" customHeight="true" outlineLevel="0" collapsed="false">
      <c r="A3790" s="1" t="n">
        <v>1</v>
      </c>
      <c r="B3790" s="10" t="n">
        <v>45656</v>
      </c>
      <c r="C3790" s="11" t="s">
        <v>3809</v>
      </c>
      <c r="D3790" s="1" t="s">
        <v>2901</v>
      </c>
      <c r="E3790" s="1" t="s">
        <v>20</v>
      </c>
      <c r="F3790" s="1" t="str">
        <f aca="false">TEXT(B3790,"mmm-yyyy")</f>
        <v>Dec-2024</v>
      </c>
    </row>
    <row r="3791" customFormat="false" ht="87" hidden="false" customHeight="true" outlineLevel="0" collapsed="false">
      <c r="A3791" s="1" t="n">
        <v>1</v>
      </c>
      <c r="B3791" s="10" t="n">
        <v>45650</v>
      </c>
      <c r="C3791" s="11" t="s">
        <v>3810</v>
      </c>
      <c r="D3791" s="1" t="s">
        <v>2901</v>
      </c>
      <c r="E3791" s="1" t="s">
        <v>20</v>
      </c>
      <c r="F3791" s="1" t="str">
        <f aca="false">TEXT(B3791,"mmm-yyyy")</f>
        <v>Dec-2024</v>
      </c>
    </row>
    <row r="3792" customFormat="false" ht="87" hidden="false" customHeight="true" outlineLevel="0" collapsed="false">
      <c r="A3792" s="1" t="n">
        <v>1</v>
      </c>
      <c r="B3792" s="10" t="n">
        <v>45651</v>
      </c>
      <c r="C3792" s="11" t="s">
        <v>3811</v>
      </c>
      <c r="D3792" s="1" t="s">
        <v>2901</v>
      </c>
      <c r="E3792" s="1" t="s">
        <v>20</v>
      </c>
      <c r="F3792" s="1" t="str">
        <f aca="false">TEXT(B3792,"mmm-yyyy")</f>
        <v>Dec-2024</v>
      </c>
    </row>
    <row r="3793" customFormat="false" ht="130.5" hidden="false" customHeight="true" outlineLevel="0" collapsed="false">
      <c r="A3793" s="1" t="n">
        <v>1</v>
      </c>
      <c r="B3793" s="10" t="n">
        <v>45596</v>
      </c>
      <c r="C3793" s="11" t="s">
        <v>3812</v>
      </c>
      <c r="D3793" s="1" t="s">
        <v>2901</v>
      </c>
      <c r="E3793" s="1" t="s">
        <v>18</v>
      </c>
      <c r="F3793" s="1" t="str">
        <f aca="false">TEXT(B3793,"mmm-yyyy")</f>
        <v>Oct-2024</v>
      </c>
    </row>
    <row r="3794" customFormat="false" ht="72" hidden="false" customHeight="true" outlineLevel="0" collapsed="false">
      <c r="A3794" s="1" t="n">
        <v>1</v>
      </c>
      <c r="B3794" s="10" t="n">
        <v>45644</v>
      </c>
      <c r="C3794" s="11" t="s">
        <v>3813</v>
      </c>
      <c r="D3794" s="1" t="s">
        <v>2901</v>
      </c>
      <c r="E3794" s="1" t="s">
        <v>20</v>
      </c>
      <c r="F3794" s="1" t="str">
        <f aca="false">TEXT(B3794,"mmm-yyyy")</f>
        <v>Dec-2024</v>
      </c>
    </row>
    <row r="3795" customFormat="false" ht="43.5" hidden="false" customHeight="true" outlineLevel="0" collapsed="false">
      <c r="A3795" s="1" t="n">
        <v>1</v>
      </c>
      <c r="B3795" s="10" t="n">
        <v>45633</v>
      </c>
      <c r="C3795" s="11" t="s">
        <v>3814</v>
      </c>
      <c r="D3795" s="1" t="s">
        <v>2901</v>
      </c>
      <c r="E3795" s="1" t="s">
        <v>20</v>
      </c>
      <c r="F3795" s="1" t="str">
        <f aca="false">TEXT(B3795,"mmm-yyyy")</f>
        <v>Dec-2024</v>
      </c>
    </row>
    <row r="3796" customFormat="false" ht="115.5" hidden="false" customHeight="true" outlineLevel="0" collapsed="false">
      <c r="A3796" s="1" t="n">
        <v>1</v>
      </c>
      <c r="B3796" s="10" t="n">
        <v>45630</v>
      </c>
      <c r="C3796" s="11" t="s">
        <v>3815</v>
      </c>
      <c r="D3796" s="1" t="s">
        <v>2901</v>
      </c>
      <c r="E3796" s="1" t="s">
        <v>20</v>
      </c>
      <c r="F3796" s="1" t="str">
        <f aca="false">TEXT(B3796,"mmm-yyyy")</f>
        <v>Dec-2024</v>
      </c>
    </row>
    <row r="3797" customFormat="false" ht="72" hidden="false" customHeight="true" outlineLevel="0" collapsed="false">
      <c r="A3797" s="1" t="n">
        <v>1</v>
      </c>
      <c r="B3797" s="10" t="n">
        <v>45601</v>
      </c>
      <c r="C3797" s="11" t="s">
        <v>3816</v>
      </c>
      <c r="D3797" s="1" t="s">
        <v>2901</v>
      </c>
      <c r="E3797" s="1" t="s">
        <v>20</v>
      </c>
      <c r="F3797" s="1" t="str">
        <f aca="false">TEXT(B3797,"mmm-yyyy")</f>
        <v>Nov-2024</v>
      </c>
    </row>
    <row r="3798" customFormat="false" ht="101.25" hidden="false" customHeight="true" outlineLevel="0" collapsed="false">
      <c r="A3798" s="1" t="n">
        <v>2</v>
      </c>
      <c r="B3798" s="10" t="n">
        <v>45627</v>
      </c>
      <c r="C3798" s="11" t="s">
        <v>3817</v>
      </c>
      <c r="D3798" s="1" t="s">
        <v>2901</v>
      </c>
      <c r="E3798" s="1" t="s">
        <v>18</v>
      </c>
      <c r="F3798" s="1" t="str">
        <f aca="false">TEXT(B3798,"mmm-yyyy")</f>
        <v>Dec-2024</v>
      </c>
    </row>
    <row r="3799" customFormat="false" ht="101.25" hidden="false" customHeight="true" outlineLevel="0" collapsed="false">
      <c r="A3799" s="1" t="n">
        <v>1</v>
      </c>
      <c r="B3799" s="10" t="n">
        <v>45602</v>
      </c>
      <c r="C3799" s="11" t="s">
        <v>3818</v>
      </c>
      <c r="D3799" s="1" t="s">
        <v>2901</v>
      </c>
      <c r="E3799" s="1" t="s">
        <v>20</v>
      </c>
      <c r="F3799" s="1" t="str">
        <f aca="false">TEXT(B3799,"mmm-yyyy")</f>
        <v>Nov-2024</v>
      </c>
    </row>
    <row r="3800" customFormat="false" ht="43.5" hidden="false" customHeight="true" outlineLevel="0" collapsed="false">
      <c r="A3800" s="1" t="n">
        <v>3</v>
      </c>
      <c r="B3800" s="10" t="n">
        <v>45646</v>
      </c>
      <c r="C3800" s="11" t="s">
        <v>3819</v>
      </c>
      <c r="D3800" s="1" t="s">
        <v>2901</v>
      </c>
      <c r="E3800" s="1" t="s">
        <v>20</v>
      </c>
      <c r="F3800" s="1" t="str">
        <f aca="false">TEXT(B3800,"mmm-yyyy")</f>
        <v>Dec-2024</v>
      </c>
    </row>
    <row r="3801" customFormat="false" ht="72" hidden="false" customHeight="true" outlineLevel="0" collapsed="false">
      <c r="A3801" s="1" t="n">
        <v>1</v>
      </c>
      <c r="B3801" s="10" t="n">
        <v>45654</v>
      </c>
      <c r="C3801" s="11" t="s">
        <v>3820</v>
      </c>
      <c r="D3801" s="1" t="s">
        <v>2901</v>
      </c>
      <c r="E3801" s="1" t="s">
        <v>18</v>
      </c>
      <c r="F3801" s="1" t="str">
        <f aca="false">TEXT(B3801,"mmm-yyyy")</f>
        <v>Dec-2024</v>
      </c>
    </row>
    <row r="3802" customFormat="false" ht="57.75" hidden="false" customHeight="true" outlineLevel="0" collapsed="false">
      <c r="A3802" s="1" t="n">
        <v>1</v>
      </c>
      <c r="B3802" s="10" t="n">
        <v>45621</v>
      </c>
      <c r="C3802" s="11" t="s">
        <v>3821</v>
      </c>
      <c r="D3802" s="1" t="s">
        <v>2901</v>
      </c>
      <c r="E3802" s="1" t="s">
        <v>20</v>
      </c>
      <c r="F3802" s="1" t="str">
        <f aca="false">TEXT(B3802,"mmm-yyyy")</f>
        <v>Nov-2024</v>
      </c>
    </row>
    <row r="3803" customFormat="false" ht="101.25" hidden="false" customHeight="true" outlineLevel="0" collapsed="false">
      <c r="A3803" s="1" t="n">
        <v>1</v>
      </c>
      <c r="B3803" s="10" t="n">
        <v>45588</v>
      </c>
      <c r="C3803" s="11" t="s">
        <v>3822</v>
      </c>
      <c r="D3803" s="1" t="s">
        <v>2901</v>
      </c>
      <c r="E3803" s="1" t="s">
        <v>20</v>
      </c>
      <c r="F3803" s="1" t="str">
        <f aca="false">TEXT(B3803,"mmm-yyyy")</f>
        <v>Oct-2024</v>
      </c>
    </row>
    <row r="3804" customFormat="false" ht="130.5" hidden="false" customHeight="true" outlineLevel="0" collapsed="false">
      <c r="A3804" s="1" t="n">
        <v>1</v>
      </c>
      <c r="B3804" s="10" t="n">
        <v>45639</v>
      </c>
      <c r="C3804" s="11" t="s">
        <v>3823</v>
      </c>
      <c r="D3804" s="1" t="s">
        <v>2901</v>
      </c>
      <c r="E3804" s="1" t="s">
        <v>20</v>
      </c>
      <c r="F3804" s="1" t="str">
        <f aca="false">TEXT(B3804,"mmm-yyyy")</f>
        <v>Dec-2024</v>
      </c>
    </row>
    <row r="3805" customFormat="false" ht="72" hidden="false" customHeight="true" outlineLevel="0" collapsed="false">
      <c r="A3805" s="1" t="n">
        <v>2</v>
      </c>
      <c r="B3805" s="10" t="n">
        <v>45652</v>
      </c>
      <c r="C3805" s="11" t="s">
        <v>3824</v>
      </c>
      <c r="D3805" s="1" t="s">
        <v>2901</v>
      </c>
      <c r="E3805" s="1" t="s">
        <v>18</v>
      </c>
      <c r="F3805" s="1" t="str">
        <f aca="false">TEXT(B3805,"mmm-yyyy")</f>
        <v>Dec-2024</v>
      </c>
    </row>
    <row r="3806" customFormat="false" ht="101.25" hidden="false" customHeight="true" outlineLevel="0" collapsed="false">
      <c r="A3806" s="1" t="n">
        <v>1</v>
      </c>
      <c r="B3806" s="10" t="n">
        <v>45588</v>
      </c>
      <c r="C3806" s="11" t="s">
        <v>3825</v>
      </c>
      <c r="D3806" s="1" t="s">
        <v>2901</v>
      </c>
      <c r="E3806" s="1" t="s">
        <v>20</v>
      </c>
      <c r="F3806" s="1" t="str">
        <f aca="false">TEXT(B3806,"mmm-yyyy")</f>
        <v>Oct-2024</v>
      </c>
    </row>
    <row r="3807" customFormat="false" ht="101.25" hidden="false" customHeight="true" outlineLevel="0" collapsed="false">
      <c r="A3807" s="1" t="n">
        <v>5</v>
      </c>
      <c r="B3807" s="10" t="n">
        <v>45591</v>
      </c>
      <c r="C3807" s="11" t="s">
        <v>3826</v>
      </c>
      <c r="D3807" s="1" t="s">
        <v>2901</v>
      </c>
      <c r="E3807" s="1" t="s">
        <v>18</v>
      </c>
      <c r="F3807" s="1" t="str">
        <f aca="false">TEXT(B3807,"mmm-yyyy")</f>
        <v>Oct-2024</v>
      </c>
    </row>
    <row r="3808" customFormat="false" ht="57.75" hidden="false" customHeight="true" outlineLevel="0" collapsed="false">
      <c r="A3808" s="1" t="n">
        <v>1</v>
      </c>
      <c r="B3808" s="10" t="n">
        <v>45647</v>
      </c>
      <c r="C3808" s="11" t="s">
        <v>3827</v>
      </c>
      <c r="D3808" s="1" t="s">
        <v>2901</v>
      </c>
      <c r="E3808" s="1" t="s">
        <v>18</v>
      </c>
      <c r="F3808" s="1" t="str">
        <f aca="false">TEXT(B3808,"mmm-yyyy")</f>
        <v>Dec-2024</v>
      </c>
    </row>
    <row r="3809" customFormat="false" ht="130.5" hidden="false" customHeight="true" outlineLevel="0" collapsed="false">
      <c r="A3809" s="1" t="n">
        <v>1</v>
      </c>
      <c r="B3809" s="10" t="n">
        <v>45606</v>
      </c>
      <c r="C3809" s="11" t="s">
        <v>3828</v>
      </c>
      <c r="D3809" s="1" t="s">
        <v>2901</v>
      </c>
      <c r="E3809" s="1" t="s">
        <v>18</v>
      </c>
      <c r="F3809" s="1" t="str">
        <f aca="false">TEXT(B3809,"mmm-yyyy")</f>
        <v>Nov-2024</v>
      </c>
    </row>
    <row r="3810" customFormat="false" ht="57.75" hidden="false" customHeight="true" outlineLevel="0" collapsed="false">
      <c r="A3810" s="1" t="n">
        <v>1</v>
      </c>
      <c r="B3810" s="10" t="n">
        <v>45606</v>
      </c>
      <c r="C3810" s="11" t="s">
        <v>3829</v>
      </c>
      <c r="D3810" s="1" t="s">
        <v>2901</v>
      </c>
      <c r="E3810" s="1" t="s">
        <v>20</v>
      </c>
      <c r="F3810" s="1" t="str">
        <f aca="false">TEXT(B3810,"mmm-yyyy")</f>
        <v>Nov-2024</v>
      </c>
    </row>
    <row r="3811" customFormat="false" ht="57.75" hidden="false" customHeight="true" outlineLevel="0" collapsed="false">
      <c r="A3811" s="1" t="n">
        <v>3</v>
      </c>
      <c r="B3811" s="10" t="n">
        <v>45617</v>
      </c>
      <c r="C3811" s="11" t="s">
        <v>3830</v>
      </c>
      <c r="D3811" s="1" t="s">
        <v>2901</v>
      </c>
      <c r="E3811" s="1" t="s">
        <v>20</v>
      </c>
      <c r="F3811" s="1" t="str">
        <f aca="false">TEXT(B3811,"mmm-yyyy")</f>
        <v>Nov-2024</v>
      </c>
    </row>
    <row r="3812" customFormat="false" ht="87" hidden="false" customHeight="true" outlineLevel="0" collapsed="false">
      <c r="A3812" s="1" t="n">
        <v>3</v>
      </c>
      <c r="B3812" s="10" t="n">
        <v>45583</v>
      </c>
      <c r="C3812" s="11" t="s">
        <v>3831</v>
      </c>
      <c r="D3812" s="1" t="s">
        <v>2901</v>
      </c>
      <c r="E3812" s="1" t="s">
        <v>18</v>
      </c>
      <c r="F3812" s="1" t="str">
        <f aca="false">TEXT(B3812,"mmm-yyyy")</f>
        <v>Oct-2024</v>
      </c>
    </row>
    <row r="3813" customFormat="false" ht="57.75" hidden="false" customHeight="true" outlineLevel="0" collapsed="false">
      <c r="A3813" s="1" t="n">
        <v>1</v>
      </c>
      <c r="B3813" s="10" t="n">
        <v>45650</v>
      </c>
      <c r="C3813" s="11" t="s">
        <v>3832</v>
      </c>
      <c r="D3813" s="1" t="s">
        <v>2901</v>
      </c>
      <c r="E3813" s="1" t="s">
        <v>20</v>
      </c>
      <c r="F3813" s="1" t="str">
        <f aca="false">TEXT(B3813,"mmm-yyyy")</f>
        <v>Dec-2024</v>
      </c>
    </row>
    <row r="3814" customFormat="false" ht="72" hidden="false" customHeight="true" outlineLevel="0" collapsed="false">
      <c r="A3814" s="1" t="n">
        <v>2</v>
      </c>
      <c r="B3814" s="10" t="n">
        <v>45636</v>
      </c>
      <c r="C3814" s="11" t="s">
        <v>3833</v>
      </c>
      <c r="D3814" s="1" t="s">
        <v>2901</v>
      </c>
      <c r="E3814" s="1" t="s">
        <v>20</v>
      </c>
      <c r="F3814" s="1" t="str">
        <f aca="false">TEXT(B3814,"mmm-yyyy")</f>
        <v>Dec-2024</v>
      </c>
    </row>
    <row r="3815" customFormat="false" ht="101.25" hidden="false" customHeight="true" outlineLevel="0" collapsed="false">
      <c r="A3815" s="1" t="n">
        <v>1</v>
      </c>
      <c r="B3815" s="10" t="n">
        <v>45600</v>
      </c>
      <c r="C3815" s="11" t="s">
        <v>3834</v>
      </c>
      <c r="D3815" s="1" t="s">
        <v>2901</v>
      </c>
      <c r="E3815" s="1" t="s">
        <v>18</v>
      </c>
      <c r="F3815" s="1" t="str">
        <f aca="false">TEXT(B3815,"mmm-yyyy")</f>
        <v>Nov-2024</v>
      </c>
    </row>
    <row r="3816" customFormat="false" ht="72" hidden="false" customHeight="true" outlineLevel="0" collapsed="false">
      <c r="A3816" s="1" t="n">
        <v>1</v>
      </c>
      <c r="B3816" s="10" t="n">
        <v>45620</v>
      </c>
      <c r="C3816" s="11" t="s">
        <v>3835</v>
      </c>
      <c r="D3816" s="1" t="s">
        <v>2901</v>
      </c>
      <c r="E3816" s="1" t="s">
        <v>20</v>
      </c>
      <c r="F3816" s="1" t="str">
        <f aca="false">TEXT(B3816,"mmm-yyyy")</f>
        <v>Nov-2024</v>
      </c>
    </row>
    <row r="3817" customFormat="false" ht="43.5" hidden="false" customHeight="true" outlineLevel="0" collapsed="false">
      <c r="A3817" s="1" t="n">
        <v>4</v>
      </c>
      <c r="B3817" s="10" t="n">
        <v>45648</v>
      </c>
      <c r="C3817" s="11" t="s">
        <v>3836</v>
      </c>
      <c r="D3817" s="1" t="s">
        <v>2901</v>
      </c>
      <c r="E3817" s="1" t="s">
        <v>32</v>
      </c>
      <c r="F3817" s="1" t="str">
        <f aca="false">TEXT(B3817,"mmm-yyyy")</f>
        <v>Dec-2024</v>
      </c>
    </row>
    <row r="3818" customFormat="false" ht="101.25" hidden="false" customHeight="true" outlineLevel="0" collapsed="false">
      <c r="A3818" s="1" t="n">
        <v>1</v>
      </c>
      <c r="B3818" s="10" t="n">
        <v>45639</v>
      </c>
      <c r="C3818" s="11" t="s">
        <v>3837</v>
      </c>
      <c r="D3818" s="1" t="s">
        <v>2901</v>
      </c>
      <c r="E3818" s="1" t="s">
        <v>20</v>
      </c>
      <c r="F3818" s="1" t="str">
        <f aca="false">TEXT(B3818,"mmm-yyyy")</f>
        <v>Dec-2024</v>
      </c>
    </row>
    <row r="3819" customFormat="false" ht="72" hidden="false" customHeight="true" outlineLevel="0" collapsed="false">
      <c r="A3819" s="1" t="n">
        <v>1</v>
      </c>
      <c r="B3819" s="10" t="n">
        <v>45633</v>
      </c>
      <c r="C3819" s="11" t="s">
        <v>3838</v>
      </c>
      <c r="D3819" s="1" t="s">
        <v>2901</v>
      </c>
      <c r="E3819" s="1" t="s">
        <v>18</v>
      </c>
      <c r="F3819" s="1" t="str">
        <f aca="false">TEXT(B3819,"mmm-yyyy")</f>
        <v>Dec-2024</v>
      </c>
    </row>
    <row r="3820" customFormat="false" ht="57.75" hidden="false" customHeight="true" outlineLevel="0" collapsed="false">
      <c r="A3820" s="1" t="n">
        <v>1</v>
      </c>
      <c r="B3820" s="10" t="n">
        <v>45578</v>
      </c>
      <c r="C3820" s="11" t="s">
        <v>3839</v>
      </c>
      <c r="D3820" s="1" t="s">
        <v>2901</v>
      </c>
      <c r="E3820" s="1" t="s">
        <v>20</v>
      </c>
      <c r="F3820" s="1" t="str">
        <f aca="false">TEXT(B3820,"mmm-yyyy")</f>
        <v>Oct-2024</v>
      </c>
    </row>
    <row r="3821" customFormat="false" ht="72" hidden="false" customHeight="true" outlineLevel="0" collapsed="false">
      <c r="A3821" s="1" t="n">
        <v>1</v>
      </c>
      <c r="B3821" s="10" t="n">
        <v>45655</v>
      </c>
      <c r="C3821" s="11" t="s">
        <v>3840</v>
      </c>
      <c r="D3821" s="1" t="s">
        <v>2901</v>
      </c>
      <c r="E3821" s="1" t="s">
        <v>20</v>
      </c>
      <c r="F3821" s="1" t="str">
        <f aca="false">TEXT(B3821,"mmm-yyyy")</f>
        <v>Dec-2024</v>
      </c>
    </row>
    <row r="3822" customFormat="false" ht="115.5" hidden="false" customHeight="true" outlineLevel="0" collapsed="false">
      <c r="A3822" s="1" t="n">
        <v>1</v>
      </c>
      <c r="B3822" s="10" t="n">
        <v>45631</v>
      </c>
      <c r="C3822" s="11" t="s">
        <v>3841</v>
      </c>
      <c r="D3822" s="1" t="s">
        <v>2901</v>
      </c>
      <c r="E3822" s="1" t="s">
        <v>18</v>
      </c>
      <c r="F3822" s="1" t="str">
        <f aca="false">TEXT(B3822,"mmm-yyyy")</f>
        <v>Dec-2024</v>
      </c>
    </row>
    <row r="3823" customFormat="false" ht="101.25" hidden="false" customHeight="true" outlineLevel="0" collapsed="false">
      <c r="A3823" s="1" t="n">
        <v>1</v>
      </c>
      <c r="B3823" s="10" t="n">
        <v>45591</v>
      </c>
      <c r="C3823" s="11" t="s">
        <v>3842</v>
      </c>
      <c r="D3823" s="1" t="s">
        <v>2901</v>
      </c>
      <c r="E3823" s="1" t="s">
        <v>18</v>
      </c>
      <c r="F3823" s="1" t="str">
        <f aca="false">TEXT(B3823,"mmm-yyyy")</f>
        <v>Oct-2024</v>
      </c>
    </row>
    <row r="3824" customFormat="false" ht="115.5" hidden="false" customHeight="true" outlineLevel="0" collapsed="false">
      <c r="A3824" s="1" t="n">
        <v>5</v>
      </c>
      <c r="B3824" s="10" t="n">
        <v>45582</v>
      </c>
      <c r="C3824" s="11" t="s">
        <v>3843</v>
      </c>
      <c r="D3824" s="1" t="s">
        <v>2901</v>
      </c>
      <c r="E3824" s="1" t="s">
        <v>18</v>
      </c>
      <c r="F3824" s="1" t="str">
        <f aca="false">TEXT(B3824,"mmm-yyyy")</f>
        <v>Oct-2024</v>
      </c>
    </row>
    <row r="3825" customFormat="false" ht="87" hidden="false" customHeight="true" outlineLevel="0" collapsed="false">
      <c r="A3825" s="1" t="n">
        <v>1</v>
      </c>
      <c r="B3825" s="10" t="n">
        <v>45613</v>
      </c>
      <c r="C3825" s="11" t="s">
        <v>3844</v>
      </c>
      <c r="D3825" s="1" t="s">
        <v>2901</v>
      </c>
      <c r="E3825" s="1" t="s">
        <v>20</v>
      </c>
      <c r="F3825" s="1" t="str">
        <f aca="false">TEXT(B3825,"mmm-yyyy")</f>
        <v>Nov-2024</v>
      </c>
    </row>
    <row r="3826" customFormat="false" ht="130.5" hidden="false" customHeight="true" outlineLevel="0" collapsed="false">
      <c r="A3826" s="1" t="n">
        <v>3</v>
      </c>
      <c r="B3826" s="10" t="n">
        <v>45637</v>
      </c>
      <c r="C3826" s="11" t="s">
        <v>3845</v>
      </c>
      <c r="D3826" s="1" t="s">
        <v>2901</v>
      </c>
      <c r="E3826" s="1" t="s">
        <v>18</v>
      </c>
      <c r="F3826" s="1" t="str">
        <f aca="false">TEXT(B3826,"mmm-yyyy")</f>
        <v>Dec-2024</v>
      </c>
    </row>
    <row r="3827" customFormat="false" ht="87" hidden="false" customHeight="true" outlineLevel="0" collapsed="false">
      <c r="A3827" s="1" t="n">
        <v>1</v>
      </c>
      <c r="B3827" s="10" t="n">
        <v>45650</v>
      </c>
      <c r="C3827" s="11" t="s">
        <v>3846</v>
      </c>
      <c r="D3827" s="1" t="s">
        <v>2901</v>
      </c>
      <c r="E3827" s="1" t="s">
        <v>20</v>
      </c>
      <c r="F3827" s="1" t="str">
        <f aca="false">TEXT(B3827,"mmm-yyyy")</f>
        <v>Dec-2024</v>
      </c>
    </row>
    <row r="3828" customFormat="false" ht="130.5" hidden="false" customHeight="true" outlineLevel="0" collapsed="false">
      <c r="A3828" s="1" t="n">
        <v>1</v>
      </c>
      <c r="B3828" s="10" t="n">
        <v>45608</v>
      </c>
      <c r="C3828" s="11" t="s">
        <v>3847</v>
      </c>
      <c r="D3828" s="1" t="s">
        <v>2901</v>
      </c>
      <c r="E3828" s="1" t="s">
        <v>18</v>
      </c>
      <c r="F3828" s="1" t="str">
        <f aca="false">TEXT(B3828,"mmm-yyyy")</f>
        <v>Nov-2024</v>
      </c>
    </row>
    <row r="3829" customFormat="false" ht="87" hidden="false" customHeight="true" outlineLevel="0" collapsed="false">
      <c r="A3829" s="1" t="n">
        <v>2</v>
      </c>
      <c r="B3829" s="10" t="n">
        <v>45631</v>
      </c>
      <c r="C3829" s="11" t="s">
        <v>3848</v>
      </c>
      <c r="D3829" s="1" t="s">
        <v>2901</v>
      </c>
      <c r="E3829" s="1" t="s">
        <v>20</v>
      </c>
      <c r="F3829" s="1" t="str">
        <f aca="false">TEXT(B3829,"mmm-yyyy")</f>
        <v>Dec-2024</v>
      </c>
    </row>
    <row r="3830" customFormat="false" ht="115.5" hidden="false" customHeight="true" outlineLevel="0" collapsed="false">
      <c r="A3830" s="1" t="n">
        <v>1</v>
      </c>
      <c r="B3830" s="10" t="n">
        <v>45584</v>
      </c>
      <c r="C3830" s="11" t="s">
        <v>3849</v>
      </c>
      <c r="D3830" s="1" t="s">
        <v>2901</v>
      </c>
      <c r="E3830" s="1" t="s">
        <v>18</v>
      </c>
      <c r="F3830" s="1" t="str">
        <f aca="false">TEXT(B3830,"mmm-yyyy")</f>
        <v>Oct-2024</v>
      </c>
    </row>
    <row r="3831" customFormat="false" ht="72" hidden="false" customHeight="true" outlineLevel="0" collapsed="false">
      <c r="A3831" s="1" t="n">
        <v>1</v>
      </c>
      <c r="B3831" s="10" t="n">
        <v>45635</v>
      </c>
      <c r="C3831" s="11" t="s">
        <v>3850</v>
      </c>
      <c r="D3831" s="1" t="s">
        <v>2901</v>
      </c>
      <c r="E3831" s="1" t="s">
        <v>18</v>
      </c>
      <c r="F3831" s="1" t="str">
        <f aca="false">TEXT(B3831,"mmm-yyyy")</f>
        <v>Dec-2024</v>
      </c>
    </row>
    <row r="3832" customFormat="false" ht="57.75" hidden="false" customHeight="true" outlineLevel="0" collapsed="false">
      <c r="A3832" s="1" t="n">
        <v>2</v>
      </c>
      <c r="B3832" s="10" t="n">
        <v>45654</v>
      </c>
      <c r="C3832" s="11" t="s">
        <v>3851</v>
      </c>
      <c r="D3832" s="1" t="s">
        <v>2901</v>
      </c>
      <c r="E3832" s="1" t="s">
        <v>20</v>
      </c>
      <c r="F3832" s="1" t="str">
        <f aca="false">TEXT(B3832,"mmm-yyyy")</f>
        <v>Dec-2024</v>
      </c>
    </row>
    <row r="3833" customFormat="false" ht="130.5" hidden="false" customHeight="true" outlineLevel="0" collapsed="false">
      <c r="A3833" s="1" t="n">
        <v>1</v>
      </c>
      <c r="B3833" s="10" t="n">
        <v>45651</v>
      </c>
      <c r="C3833" s="11" t="s">
        <v>3852</v>
      </c>
      <c r="D3833" s="1" t="s">
        <v>2901</v>
      </c>
      <c r="E3833" s="1" t="s">
        <v>20</v>
      </c>
      <c r="F3833" s="1" t="str">
        <f aca="false">TEXT(B3833,"mmm-yyyy")</f>
        <v>Dec-2024</v>
      </c>
    </row>
    <row r="3834" customFormat="false" ht="130.5" hidden="false" customHeight="true" outlineLevel="0" collapsed="false">
      <c r="A3834" s="1" t="n">
        <v>2</v>
      </c>
      <c r="B3834" s="10" t="n">
        <v>45592</v>
      </c>
      <c r="C3834" s="11" t="s">
        <v>3853</v>
      </c>
      <c r="D3834" s="1" t="s">
        <v>2901</v>
      </c>
      <c r="E3834" s="1" t="s">
        <v>20</v>
      </c>
      <c r="F3834" s="1" t="str">
        <f aca="false">TEXT(B3834,"mmm-yyyy")</f>
        <v>Oct-2024</v>
      </c>
    </row>
    <row r="3835" customFormat="false" ht="72" hidden="false" customHeight="true" outlineLevel="0" collapsed="false">
      <c r="A3835" s="1" t="n">
        <v>2</v>
      </c>
      <c r="B3835" s="10" t="n">
        <v>45582</v>
      </c>
      <c r="C3835" s="11" t="s">
        <v>3854</v>
      </c>
      <c r="D3835" s="1" t="s">
        <v>2901</v>
      </c>
      <c r="E3835" s="1" t="s">
        <v>20</v>
      </c>
      <c r="F3835" s="1" t="str">
        <f aca="false">TEXT(B3835,"mmm-yyyy")</f>
        <v>Oct-2024</v>
      </c>
    </row>
    <row r="3836" customFormat="false" ht="72" hidden="false" customHeight="true" outlineLevel="0" collapsed="false">
      <c r="A3836" s="1" t="n">
        <v>1</v>
      </c>
      <c r="B3836" s="10" t="n">
        <v>45603</v>
      </c>
      <c r="C3836" s="11" t="s">
        <v>3855</v>
      </c>
      <c r="D3836" s="1" t="s">
        <v>2901</v>
      </c>
      <c r="E3836" s="1" t="s">
        <v>20</v>
      </c>
      <c r="F3836" s="1" t="str">
        <f aca="false">TEXT(B3836,"mmm-yyyy")</f>
        <v>Nov-2024</v>
      </c>
    </row>
    <row r="3837" customFormat="false" ht="72" hidden="false" customHeight="true" outlineLevel="0" collapsed="false">
      <c r="A3837" s="1" t="n">
        <v>1</v>
      </c>
      <c r="B3837" s="10" t="n">
        <v>45652</v>
      </c>
      <c r="C3837" s="11" t="s">
        <v>3856</v>
      </c>
      <c r="D3837" s="1" t="s">
        <v>2901</v>
      </c>
      <c r="E3837" s="1" t="s">
        <v>18</v>
      </c>
      <c r="F3837" s="1" t="str">
        <f aca="false">TEXT(B3837,"mmm-yyyy")</f>
        <v>Dec-2024</v>
      </c>
    </row>
    <row r="3838" customFormat="false" ht="130.5" hidden="false" customHeight="true" outlineLevel="0" collapsed="false">
      <c r="A3838" s="1" t="n">
        <v>1</v>
      </c>
      <c r="B3838" s="10" t="n">
        <v>45619</v>
      </c>
      <c r="C3838" s="11" t="s">
        <v>3857</v>
      </c>
      <c r="D3838" s="1" t="s">
        <v>2901</v>
      </c>
      <c r="E3838" s="1" t="s">
        <v>20</v>
      </c>
      <c r="F3838" s="1" t="str">
        <f aca="false">TEXT(B3838,"mmm-yyyy")</f>
        <v>Nov-2024</v>
      </c>
    </row>
    <row r="3839" customFormat="false" ht="101.25" hidden="false" customHeight="true" outlineLevel="0" collapsed="false">
      <c r="A3839" s="1" t="n">
        <v>1</v>
      </c>
      <c r="B3839" s="10" t="n">
        <v>45635</v>
      </c>
      <c r="C3839" s="11" t="s">
        <v>3858</v>
      </c>
      <c r="D3839" s="1" t="s">
        <v>2901</v>
      </c>
      <c r="E3839" s="1" t="s">
        <v>20</v>
      </c>
      <c r="F3839" s="1" t="str">
        <f aca="false">TEXT(B3839,"mmm-yyyy")</f>
        <v>Dec-2024</v>
      </c>
    </row>
    <row r="3840" customFormat="false" ht="57.75" hidden="false" customHeight="true" outlineLevel="0" collapsed="false">
      <c r="A3840" s="1" t="n">
        <v>1</v>
      </c>
      <c r="B3840" s="10" t="n">
        <v>45595</v>
      </c>
      <c r="C3840" s="11" t="s">
        <v>3859</v>
      </c>
      <c r="D3840" s="1" t="s">
        <v>2901</v>
      </c>
      <c r="E3840" s="1" t="s">
        <v>20</v>
      </c>
      <c r="F3840" s="1" t="str">
        <f aca="false">TEXT(B3840,"mmm-yyyy")</f>
        <v>Oct-2024</v>
      </c>
    </row>
    <row r="3841" customFormat="false" ht="43.5" hidden="false" customHeight="true" outlineLevel="0" collapsed="false">
      <c r="A3841" s="1" t="n">
        <v>1</v>
      </c>
      <c r="B3841" s="10" t="n">
        <v>45647</v>
      </c>
      <c r="C3841" s="11" t="s">
        <v>3860</v>
      </c>
      <c r="D3841" s="1" t="s">
        <v>2901</v>
      </c>
      <c r="E3841" s="1" t="s">
        <v>20</v>
      </c>
      <c r="F3841" s="1" t="str">
        <f aca="false">TEXT(B3841,"mmm-yyyy")</f>
        <v>Dec-2024</v>
      </c>
    </row>
    <row r="3842" customFormat="false" ht="130.5" hidden="false" customHeight="true" outlineLevel="0" collapsed="false">
      <c r="A3842" s="1" t="n">
        <v>5</v>
      </c>
      <c r="B3842" s="10" t="n">
        <v>45646</v>
      </c>
      <c r="C3842" s="11" t="s">
        <v>3861</v>
      </c>
      <c r="D3842" s="1" t="s">
        <v>2901</v>
      </c>
      <c r="E3842" s="1" t="s">
        <v>18</v>
      </c>
      <c r="F3842" s="1" t="str">
        <f aca="false">TEXT(B3842,"mmm-yyyy")</f>
        <v>Dec-2024</v>
      </c>
    </row>
    <row r="3843" customFormat="false" ht="57.75" hidden="false" customHeight="true" outlineLevel="0" collapsed="false">
      <c r="A3843" s="1" t="n">
        <v>1</v>
      </c>
      <c r="B3843" s="10" t="n">
        <v>45648</v>
      </c>
      <c r="C3843" s="11" t="s">
        <v>3862</v>
      </c>
      <c r="D3843" s="1" t="s">
        <v>2901</v>
      </c>
      <c r="E3843" s="1" t="s">
        <v>18</v>
      </c>
      <c r="F3843" s="1" t="str">
        <f aca="false">TEXT(B3843,"mmm-yyyy")</f>
        <v>Dec-2024</v>
      </c>
    </row>
    <row r="3844" customFormat="false" ht="72" hidden="false" customHeight="true" outlineLevel="0" collapsed="false">
      <c r="A3844" s="1" t="n">
        <v>1</v>
      </c>
      <c r="B3844" s="10" t="n">
        <v>45649</v>
      </c>
      <c r="C3844" s="11" t="s">
        <v>3863</v>
      </c>
      <c r="D3844" s="1" t="s">
        <v>2901</v>
      </c>
      <c r="E3844" s="1" t="s">
        <v>20</v>
      </c>
      <c r="F3844" s="1" t="str">
        <f aca="false">TEXT(B3844,"mmm-yyyy")</f>
        <v>Dec-2024</v>
      </c>
    </row>
    <row r="3845" customFormat="false" ht="144.75" hidden="false" customHeight="true" outlineLevel="0" collapsed="false">
      <c r="A3845" s="1" t="n">
        <v>2</v>
      </c>
      <c r="B3845" s="10" t="n">
        <v>45606</v>
      </c>
      <c r="C3845" s="11" t="s">
        <v>3864</v>
      </c>
      <c r="D3845" s="1" t="s">
        <v>2901</v>
      </c>
      <c r="E3845" s="1" t="s">
        <v>18</v>
      </c>
      <c r="F3845" s="1" t="str">
        <f aca="false">TEXT(B3845,"mmm-yyyy")</f>
        <v>Nov-2024</v>
      </c>
    </row>
    <row r="3846" customFormat="false" ht="115.5" hidden="false" customHeight="true" outlineLevel="0" collapsed="false">
      <c r="A3846" s="1" t="n">
        <v>1</v>
      </c>
      <c r="B3846" s="10" t="n">
        <v>45639</v>
      </c>
      <c r="C3846" s="11" t="s">
        <v>3865</v>
      </c>
      <c r="D3846" s="1" t="s">
        <v>2901</v>
      </c>
      <c r="E3846" s="1" t="s">
        <v>20</v>
      </c>
      <c r="F3846" s="1" t="str">
        <f aca="false">TEXT(B3846,"mmm-yyyy")</f>
        <v>Dec-2024</v>
      </c>
    </row>
    <row r="3847" customFormat="false" ht="87" hidden="false" customHeight="true" outlineLevel="0" collapsed="false">
      <c r="A3847" s="1" t="n">
        <v>3</v>
      </c>
      <c r="B3847" s="10" t="n">
        <v>45577</v>
      </c>
      <c r="C3847" s="11" t="s">
        <v>3866</v>
      </c>
      <c r="D3847" s="1" t="s">
        <v>2901</v>
      </c>
      <c r="E3847" s="1" t="s">
        <v>20</v>
      </c>
      <c r="F3847" s="1" t="str">
        <f aca="false">TEXT(B3847,"mmm-yyyy")</f>
        <v>Oct-2024</v>
      </c>
    </row>
    <row r="3848" customFormat="false" ht="144.75" hidden="false" customHeight="true" outlineLevel="0" collapsed="false">
      <c r="A3848" s="1" t="n">
        <v>1</v>
      </c>
      <c r="B3848" s="10" t="n">
        <v>45609</v>
      </c>
      <c r="C3848" s="11" t="s">
        <v>3867</v>
      </c>
      <c r="D3848" s="1" t="s">
        <v>2901</v>
      </c>
      <c r="E3848" s="1" t="s">
        <v>20</v>
      </c>
      <c r="F3848" s="1" t="str">
        <f aca="false">TEXT(B3848,"mmm-yyyy")</f>
        <v>Nov-2024</v>
      </c>
    </row>
    <row r="3849" customFormat="false" ht="72" hidden="false" customHeight="true" outlineLevel="0" collapsed="false">
      <c r="A3849" s="1" t="n">
        <v>1</v>
      </c>
      <c r="B3849" s="10" t="n">
        <v>45585</v>
      </c>
      <c r="C3849" s="11" t="s">
        <v>3868</v>
      </c>
      <c r="D3849" s="1" t="s">
        <v>2901</v>
      </c>
      <c r="E3849" s="1" t="s">
        <v>20</v>
      </c>
      <c r="F3849" s="1" t="str">
        <f aca="false">TEXT(B3849,"mmm-yyyy")</f>
        <v>Oct-2024</v>
      </c>
    </row>
    <row r="3850" customFormat="false" ht="87" hidden="false" customHeight="true" outlineLevel="0" collapsed="false">
      <c r="A3850" s="1" t="n">
        <v>2</v>
      </c>
      <c r="B3850" s="10" t="n">
        <v>45584</v>
      </c>
      <c r="C3850" s="11" t="s">
        <v>3869</v>
      </c>
      <c r="D3850" s="1" t="s">
        <v>2901</v>
      </c>
      <c r="E3850" s="1" t="s">
        <v>20</v>
      </c>
      <c r="F3850" s="1" t="str">
        <f aca="false">TEXT(B3850,"mmm-yyyy")</f>
        <v>Oct-2024</v>
      </c>
    </row>
    <row r="3851" customFormat="false" ht="101.25" hidden="false" customHeight="true" outlineLevel="0" collapsed="false">
      <c r="A3851" s="1" t="n">
        <v>1</v>
      </c>
      <c r="B3851" s="10" t="n">
        <v>45624</v>
      </c>
      <c r="C3851" s="11" t="s">
        <v>3870</v>
      </c>
      <c r="D3851" s="1" t="s">
        <v>2901</v>
      </c>
      <c r="E3851" s="1" t="s">
        <v>18</v>
      </c>
      <c r="F3851" s="1" t="str">
        <f aca="false">TEXT(B3851,"mmm-yyyy")</f>
        <v>Nov-2024</v>
      </c>
    </row>
    <row r="3852" customFormat="false" ht="72" hidden="false" customHeight="true" outlineLevel="0" collapsed="false">
      <c r="A3852" s="1" t="n">
        <v>2</v>
      </c>
      <c r="B3852" s="10" t="n">
        <v>45650</v>
      </c>
      <c r="C3852" s="11" t="s">
        <v>3871</v>
      </c>
      <c r="D3852" s="1" t="s">
        <v>2901</v>
      </c>
      <c r="E3852" s="1" t="s">
        <v>20</v>
      </c>
      <c r="F3852" s="1" t="str">
        <f aca="false">TEXT(B3852,"mmm-yyyy")</f>
        <v>Dec-2024</v>
      </c>
    </row>
    <row r="3853" customFormat="false" ht="115.5" hidden="false" customHeight="true" outlineLevel="0" collapsed="false">
      <c r="A3853" s="1" t="n">
        <v>1</v>
      </c>
      <c r="B3853" s="10" t="n">
        <v>45581</v>
      </c>
      <c r="C3853" s="11" t="s">
        <v>3872</v>
      </c>
      <c r="D3853" s="1" t="s">
        <v>2901</v>
      </c>
      <c r="E3853" s="1" t="s">
        <v>20</v>
      </c>
      <c r="F3853" s="1" t="str">
        <f aca="false">TEXT(B3853,"mmm-yyyy")</f>
        <v>Oct-2024</v>
      </c>
    </row>
    <row r="3854" customFormat="false" ht="87" hidden="false" customHeight="true" outlineLevel="0" collapsed="false">
      <c r="A3854" s="1" t="n">
        <v>1</v>
      </c>
      <c r="B3854" s="10" t="n">
        <v>45657</v>
      </c>
      <c r="C3854" s="11" t="s">
        <v>3873</v>
      </c>
      <c r="D3854" s="1" t="s">
        <v>2901</v>
      </c>
      <c r="E3854" s="1" t="s">
        <v>20</v>
      </c>
      <c r="F3854" s="1" t="str">
        <f aca="false">TEXT(B3854,"mmm-yyyy")</f>
        <v>Dec-2024</v>
      </c>
    </row>
    <row r="3855" customFormat="false" ht="101.25" hidden="false" customHeight="true" outlineLevel="0" collapsed="false">
      <c r="A3855" s="1" t="n">
        <v>1</v>
      </c>
      <c r="B3855" s="10" t="n">
        <v>45587</v>
      </c>
      <c r="C3855" s="11" t="s">
        <v>3874</v>
      </c>
      <c r="D3855" s="1" t="s">
        <v>2901</v>
      </c>
      <c r="E3855" s="1" t="s">
        <v>20</v>
      </c>
      <c r="F3855" s="1" t="str">
        <f aca="false">TEXT(B3855,"mmm-yyyy")</f>
        <v>Oct-2024</v>
      </c>
    </row>
    <row r="3856" customFormat="false" ht="57.75" hidden="false" customHeight="true" outlineLevel="0" collapsed="false">
      <c r="A3856" s="1" t="n">
        <v>2</v>
      </c>
      <c r="B3856" s="10" t="n">
        <v>45615</v>
      </c>
      <c r="C3856" s="11" t="s">
        <v>3875</v>
      </c>
      <c r="D3856" s="1" t="s">
        <v>2901</v>
      </c>
      <c r="E3856" s="1" t="s">
        <v>20</v>
      </c>
      <c r="F3856" s="1" t="str">
        <f aca="false">TEXT(B3856,"mmm-yyyy")</f>
        <v>Nov-2024</v>
      </c>
    </row>
    <row r="3857" customFormat="false" ht="43.5" hidden="false" customHeight="true" outlineLevel="0" collapsed="false">
      <c r="A3857" s="1" t="n">
        <v>1</v>
      </c>
      <c r="B3857" s="10" t="n">
        <v>45654</v>
      </c>
      <c r="C3857" s="11" t="s">
        <v>3876</v>
      </c>
      <c r="D3857" s="1" t="s">
        <v>2901</v>
      </c>
      <c r="E3857" s="1" t="s">
        <v>20</v>
      </c>
      <c r="F3857" s="1" t="str">
        <f aca="false">TEXT(B3857,"mmm-yyyy")</f>
        <v>Dec-2024</v>
      </c>
    </row>
    <row r="3858" customFormat="false" ht="87" hidden="false" customHeight="true" outlineLevel="0" collapsed="false">
      <c r="A3858" s="1" t="n">
        <v>1</v>
      </c>
      <c r="B3858" s="10" t="n">
        <v>45644</v>
      </c>
      <c r="C3858" s="11" t="s">
        <v>3877</v>
      </c>
      <c r="D3858" s="1" t="s">
        <v>2901</v>
      </c>
      <c r="E3858" s="1" t="s">
        <v>20</v>
      </c>
      <c r="F3858" s="1" t="str">
        <f aca="false">TEXT(B3858,"mmm-yyyy")</f>
        <v>Dec-2024</v>
      </c>
    </row>
    <row r="3859" customFormat="false" ht="57.75" hidden="false" customHeight="true" outlineLevel="0" collapsed="false">
      <c r="A3859" s="1" t="n">
        <v>2</v>
      </c>
      <c r="B3859" s="10" t="n">
        <v>45633</v>
      </c>
      <c r="C3859" s="11" t="s">
        <v>3878</v>
      </c>
      <c r="D3859" s="1" t="s">
        <v>2901</v>
      </c>
      <c r="E3859" s="1" t="s">
        <v>20</v>
      </c>
      <c r="F3859" s="1" t="str">
        <f aca="false">TEXT(B3859,"mmm-yyyy")</f>
        <v>Dec-2024</v>
      </c>
    </row>
    <row r="3860" customFormat="false" ht="87" hidden="false" customHeight="true" outlineLevel="0" collapsed="false">
      <c r="A3860" s="1" t="n">
        <v>4</v>
      </c>
      <c r="B3860" s="10" t="n">
        <v>45599</v>
      </c>
      <c r="C3860" s="11" t="s">
        <v>3879</v>
      </c>
      <c r="D3860" s="1" t="s">
        <v>2901</v>
      </c>
      <c r="E3860" s="1" t="s">
        <v>18</v>
      </c>
      <c r="F3860" s="1" t="str">
        <f aca="false">TEXT(B3860,"mmm-yyyy")</f>
        <v>Nov-2024</v>
      </c>
    </row>
    <row r="3861" customFormat="false" ht="87" hidden="false" customHeight="true" outlineLevel="0" collapsed="false">
      <c r="A3861" s="1" t="n">
        <v>1</v>
      </c>
      <c r="B3861" s="10" t="n">
        <v>45612</v>
      </c>
      <c r="C3861" s="11" t="s">
        <v>3880</v>
      </c>
      <c r="D3861" s="1" t="s">
        <v>2901</v>
      </c>
      <c r="E3861" s="1" t="s">
        <v>18</v>
      </c>
      <c r="F3861" s="1" t="str">
        <f aca="false">TEXT(B3861,"mmm-yyyy")</f>
        <v>Nov-2024</v>
      </c>
    </row>
    <row r="3862" customFormat="false" ht="115.5" hidden="false" customHeight="true" outlineLevel="0" collapsed="false">
      <c r="A3862" s="1" t="n">
        <v>2</v>
      </c>
      <c r="B3862" s="10" t="n">
        <v>45589</v>
      </c>
      <c r="C3862" s="11" t="s">
        <v>3881</v>
      </c>
      <c r="D3862" s="1" t="s">
        <v>2901</v>
      </c>
      <c r="E3862" s="1" t="s">
        <v>18</v>
      </c>
      <c r="F3862" s="1" t="str">
        <f aca="false">TEXT(B3862,"mmm-yyyy")</f>
        <v>Oct-2024</v>
      </c>
    </row>
    <row r="3863" customFormat="false" ht="87" hidden="false" customHeight="true" outlineLevel="0" collapsed="false">
      <c r="A3863" s="1" t="n">
        <v>1</v>
      </c>
      <c r="B3863" s="10" t="n">
        <v>45624</v>
      </c>
      <c r="C3863" s="11" t="s">
        <v>3882</v>
      </c>
      <c r="D3863" s="1" t="s">
        <v>2901</v>
      </c>
      <c r="E3863" s="1" t="s">
        <v>20</v>
      </c>
      <c r="F3863" s="1" t="str">
        <f aca="false">TEXT(B3863,"mmm-yyyy")</f>
        <v>Nov-2024</v>
      </c>
    </row>
    <row r="3864" customFormat="false" ht="115.5" hidden="false" customHeight="true" outlineLevel="0" collapsed="false">
      <c r="A3864" s="1" t="n">
        <v>4</v>
      </c>
      <c r="B3864" s="10" t="n">
        <v>45605</v>
      </c>
      <c r="C3864" s="11" t="s">
        <v>3883</v>
      </c>
      <c r="D3864" s="1" t="s">
        <v>2901</v>
      </c>
      <c r="E3864" s="1" t="s">
        <v>20</v>
      </c>
      <c r="F3864" s="1" t="str">
        <f aca="false">TEXT(B3864,"mmm-yyyy")</f>
        <v>Nov-2024</v>
      </c>
    </row>
    <row r="3865" customFormat="false" ht="72" hidden="false" customHeight="true" outlineLevel="0" collapsed="false">
      <c r="A3865" s="1" t="n">
        <v>1</v>
      </c>
      <c r="B3865" s="10" t="n">
        <v>45613</v>
      </c>
      <c r="C3865" s="11" t="s">
        <v>3884</v>
      </c>
      <c r="D3865" s="1" t="s">
        <v>2901</v>
      </c>
      <c r="E3865" s="1" t="s">
        <v>20</v>
      </c>
      <c r="F3865" s="1" t="str">
        <f aca="false">TEXT(B3865,"mmm-yyyy")</f>
        <v>Nov-2024</v>
      </c>
    </row>
    <row r="3866" customFormat="false" ht="101.25" hidden="false" customHeight="true" outlineLevel="0" collapsed="false">
      <c r="A3866" s="1" t="n">
        <v>5</v>
      </c>
      <c r="B3866" s="10" t="n">
        <v>45573</v>
      </c>
      <c r="C3866" s="11" t="s">
        <v>3885</v>
      </c>
      <c r="D3866" s="1" t="s">
        <v>2901</v>
      </c>
      <c r="E3866" s="1" t="s">
        <v>18</v>
      </c>
      <c r="F3866" s="1" t="str">
        <f aca="false">TEXT(B3866,"mmm-yyyy")</f>
        <v>Oct-2024</v>
      </c>
    </row>
    <row r="3867" customFormat="false" ht="57.75" hidden="false" customHeight="true" outlineLevel="0" collapsed="false">
      <c r="A3867" s="1" t="n">
        <v>4</v>
      </c>
      <c r="B3867" s="10" t="n">
        <v>45611</v>
      </c>
      <c r="C3867" s="11" t="s">
        <v>3886</v>
      </c>
      <c r="D3867" s="1" t="s">
        <v>2901</v>
      </c>
      <c r="E3867" s="1" t="s">
        <v>18</v>
      </c>
      <c r="F3867" s="1" t="str">
        <f aca="false">TEXT(B3867,"mmm-yyyy")</f>
        <v>Nov-2024</v>
      </c>
    </row>
    <row r="3868" customFormat="false" ht="87" hidden="false" customHeight="true" outlineLevel="0" collapsed="false">
      <c r="A3868" s="1" t="n">
        <v>1</v>
      </c>
      <c r="B3868" s="10" t="n">
        <v>45619</v>
      </c>
      <c r="C3868" s="11" t="s">
        <v>3887</v>
      </c>
      <c r="D3868" s="1" t="s">
        <v>2901</v>
      </c>
      <c r="E3868" s="1" t="s">
        <v>20</v>
      </c>
      <c r="F3868" s="1" t="str">
        <f aca="false">TEXT(B3868,"mmm-yyyy")</f>
        <v>Nov-2024</v>
      </c>
    </row>
    <row r="3869" customFormat="false" ht="144.75" hidden="false" customHeight="true" outlineLevel="0" collapsed="false">
      <c r="A3869" s="1" t="n">
        <v>1</v>
      </c>
      <c r="B3869" s="10" t="n">
        <v>45595</v>
      </c>
      <c r="C3869" s="11" t="s">
        <v>3888</v>
      </c>
      <c r="D3869" s="1" t="s">
        <v>2901</v>
      </c>
      <c r="E3869" s="1" t="s">
        <v>20</v>
      </c>
      <c r="F3869" s="1" t="str">
        <f aca="false">TEXT(B3869,"mmm-yyyy")</f>
        <v>Oct-2024</v>
      </c>
    </row>
    <row r="3870" customFormat="false" ht="115.5" hidden="false" customHeight="true" outlineLevel="0" collapsed="false">
      <c r="A3870" s="1" t="n">
        <v>1</v>
      </c>
      <c r="B3870" s="10" t="n">
        <v>45607</v>
      </c>
      <c r="C3870" s="11" t="s">
        <v>3889</v>
      </c>
      <c r="D3870" s="1" t="s">
        <v>2901</v>
      </c>
      <c r="E3870" s="1" t="s">
        <v>20</v>
      </c>
      <c r="F3870" s="1" t="str">
        <f aca="false">TEXT(B3870,"mmm-yyyy")</f>
        <v>Nov-2024</v>
      </c>
    </row>
    <row r="3871" customFormat="false" ht="101.25" hidden="false" customHeight="true" outlineLevel="0" collapsed="false">
      <c r="A3871" s="1" t="n">
        <v>5</v>
      </c>
      <c r="B3871" s="10" t="n">
        <v>45628</v>
      </c>
      <c r="C3871" s="11" t="s">
        <v>3890</v>
      </c>
      <c r="D3871" s="1" t="s">
        <v>2901</v>
      </c>
      <c r="E3871" s="1" t="s">
        <v>18</v>
      </c>
      <c r="F3871" s="1" t="str">
        <f aca="false">TEXT(B3871,"mmm-yyyy")</f>
        <v>Dec-2024</v>
      </c>
    </row>
    <row r="3872" customFormat="false" ht="57.75" hidden="false" customHeight="true" outlineLevel="0" collapsed="false">
      <c r="A3872" s="1" t="n">
        <v>1</v>
      </c>
      <c r="B3872" s="10" t="n">
        <v>45633</v>
      </c>
      <c r="C3872" s="11" t="s">
        <v>3891</v>
      </c>
      <c r="D3872" s="1" t="s">
        <v>2901</v>
      </c>
      <c r="E3872" s="1" t="s">
        <v>20</v>
      </c>
      <c r="F3872" s="1" t="str">
        <f aca="false">TEXT(B3872,"mmm-yyyy")</f>
        <v>Dec-2024</v>
      </c>
    </row>
    <row r="3873" customFormat="false" ht="130.5" hidden="false" customHeight="true" outlineLevel="0" collapsed="false">
      <c r="A3873" s="1" t="n">
        <v>1</v>
      </c>
      <c r="B3873" s="10" t="n">
        <v>45636</v>
      </c>
      <c r="C3873" s="11" t="s">
        <v>3892</v>
      </c>
      <c r="D3873" s="1" t="s">
        <v>2901</v>
      </c>
      <c r="E3873" s="1" t="s">
        <v>18</v>
      </c>
      <c r="F3873" s="1" t="str">
        <f aca="false">TEXT(B3873,"mmm-yyyy")</f>
        <v>Dec-2024</v>
      </c>
    </row>
    <row r="3874" customFormat="false" ht="87" hidden="false" customHeight="true" outlineLevel="0" collapsed="false">
      <c r="A3874" s="1" t="n">
        <v>1</v>
      </c>
      <c r="B3874" s="10" t="n">
        <v>45630</v>
      </c>
      <c r="C3874" s="11" t="s">
        <v>3893</v>
      </c>
      <c r="D3874" s="1" t="s">
        <v>2901</v>
      </c>
      <c r="E3874" s="1" t="s">
        <v>20</v>
      </c>
      <c r="F3874" s="1" t="str">
        <f aca="false">TEXT(B3874,"mmm-yyyy")</f>
        <v>Dec-2024</v>
      </c>
    </row>
    <row r="3875" customFormat="false" ht="101.25" hidden="false" customHeight="true" outlineLevel="0" collapsed="false">
      <c r="A3875" s="1" t="n">
        <v>1</v>
      </c>
      <c r="B3875" s="10" t="n">
        <v>45628</v>
      </c>
      <c r="C3875" s="11" t="s">
        <v>3894</v>
      </c>
      <c r="D3875" s="1" t="s">
        <v>2901</v>
      </c>
      <c r="E3875" s="1" t="s">
        <v>20</v>
      </c>
      <c r="F3875" s="1" t="str">
        <f aca="false">TEXT(B3875,"mmm-yyyy")</f>
        <v>Dec-2024</v>
      </c>
    </row>
    <row r="3876" customFormat="false" ht="72" hidden="false" customHeight="true" outlineLevel="0" collapsed="false">
      <c r="A3876" s="1" t="n">
        <v>1</v>
      </c>
      <c r="B3876" s="10" t="n">
        <v>45609</v>
      </c>
      <c r="C3876" s="11" t="s">
        <v>3895</v>
      </c>
      <c r="D3876" s="1" t="s">
        <v>2901</v>
      </c>
      <c r="E3876" s="1" t="s">
        <v>20</v>
      </c>
      <c r="F3876" s="1" t="str">
        <f aca="false">TEXT(B3876,"mmm-yyyy")</f>
        <v>Nov-2024</v>
      </c>
    </row>
    <row r="3877" customFormat="false" ht="130.5" hidden="false" customHeight="true" outlineLevel="0" collapsed="false">
      <c r="A3877" s="1" t="n">
        <v>1</v>
      </c>
      <c r="B3877" s="10" t="n">
        <v>45654</v>
      </c>
      <c r="C3877" s="11" t="s">
        <v>3896</v>
      </c>
      <c r="D3877" s="1" t="s">
        <v>2901</v>
      </c>
      <c r="E3877" s="1" t="s">
        <v>20</v>
      </c>
      <c r="F3877" s="1" t="str">
        <f aca="false">TEXT(B3877,"mmm-yyyy")</f>
        <v>Dec-2024</v>
      </c>
    </row>
    <row r="3878" customFormat="false" ht="87" hidden="false" customHeight="true" outlineLevel="0" collapsed="false">
      <c r="A3878" s="1" t="n">
        <v>1</v>
      </c>
      <c r="B3878" s="10" t="n">
        <v>45631</v>
      </c>
      <c r="C3878" s="11" t="s">
        <v>3897</v>
      </c>
      <c r="D3878" s="1" t="s">
        <v>2901</v>
      </c>
      <c r="E3878" s="1" t="s">
        <v>20</v>
      </c>
      <c r="F3878" s="1" t="str">
        <f aca="false">TEXT(B3878,"mmm-yyyy")</f>
        <v>Dec-2024</v>
      </c>
    </row>
    <row r="3879" customFormat="false" ht="87" hidden="false" customHeight="true" outlineLevel="0" collapsed="false">
      <c r="A3879" s="1" t="n">
        <v>1</v>
      </c>
      <c r="B3879" s="10" t="n">
        <v>45601</v>
      </c>
      <c r="C3879" s="11" t="s">
        <v>3898</v>
      </c>
      <c r="D3879" s="1" t="s">
        <v>2901</v>
      </c>
      <c r="E3879" s="1" t="s">
        <v>20</v>
      </c>
      <c r="F3879" s="1" t="str">
        <f aca="false">TEXT(B3879,"mmm-yyyy")</f>
        <v>Nov-2024</v>
      </c>
    </row>
    <row r="3880" customFormat="false" ht="115.5" hidden="false" customHeight="true" outlineLevel="0" collapsed="false">
      <c r="A3880" s="1" t="n">
        <v>1</v>
      </c>
      <c r="B3880" s="10" t="n">
        <v>45606</v>
      </c>
      <c r="C3880" s="11" t="s">
        <v>3899</v>
      </c>
      <c r="D3880" s="1" t="s">
        <v>2901</v>
      </c>
      <c r="E3880" s="1" t="s">
        <v>20</v>
      </c>
      <c r="F3880" s="1" t="str">
        <f aca="false">TEXT(B3880,"mmm-yyyy")</f>
        <v>Nov-2024</v>
      </c>
    </row>
    <row r="3881" customFormat="false" ht="87" hidden="false" customHeight="true" outlineLevel="0" collapsed="false">
      <c r="A3881" s="1" t="n">
        <v>2</v>
      </c>
      <c r="B3881" s="10" t="n">
        <v>45617</v>
      </c>
      <c r="C3881" s="11" t="s">
        <v>3900</v>
      </c>
      <c r="D3881" s="1" t="s">
        <v>2901</v>
      </c>
      <c r="E3881" s="1" t="s">
        <v>20</v>
      </c>
      <c r="F3881" s="1" t="str">
        <f aca="false">TEXT(B3881,"mmm-yyyy")</f>
        <v>Nov-2024</v>
      </c>
    </row>
    <row r="3882" customFormat="false" ht="57.75" hidden="false" customHeight="true" outlineLevel="0" collapsed="false">
      <c r="A3882" s="1" t="n">
        <v>1</v>
      </c>
      <c r="B3882" s="10" t="n">
        <v>45656</v>
      </c>
      <c r="C3882" s="11" t="s">
        <v>3901</v>
      </c>
      <c r="D3882" s="1" t="s">
        <v>2901</v>
      </c>
      <c r="E3882" s="1" t="s">
        <v>20</v>
      </c>
      <c r="F3882" s="1" t="str">
        <f aca="false">TEXT(B3882,"mmm-yyyy")</f>
        <v>Dec-2024</v>
      </c>
    </row>
    <row r="3883" customFormat="false" ht="101.25" hidden="false" customHeight="true" outlineLevel="0" collapsed="false">
      <c r="A3883" s="1" t="n">
        <v>1</v>
      </c>
      <c r="B3883" s="10" t="n">
        <v>45595</v>
      </c>
      <c r="C3883" s="11" t="s">
        <v>3902</v>
      </c>
      <c r="D3883" s="1" t="s">
        <v>2901</v>
      </c>
      <c r="E3883" s="1" t="s">
        <v>20</v>
      </c>
      <c r="F3883" s="1" t="str">
        <f aca="false">TEXT(B3883,"mmm-yyyy")</f>
        <v>Oct-2024</v>
      </c>
    </row>
    <row r="3884" customFormat="false" ht="115.5" hidden="false" customHeight="true" outlineLevel="0" collapsed="false">
      <c r="A3884" s="1" t="n">
        <v>4</v>
      </c>
      <c r="B3884" s="10" t="n">
        <v>45599</v>
      </c>
      <c r="C3884" s="11" t="s">
        <v>3903</v>
      </c>
      <c r="D3884" s="1" t="s">
        <v>2901</v>
      </c>
      <c r="E3884" s="1" t="s">
        <v>20</v>
      </c>
      <c r="F3884" s="1" t="str">
        <f aca="false">TEXT(B3884,"mmm-yyyy")</f>
        <v>Nov-2024</v>
      </c>
    </row>
    <row r="3885" customFormat="false" ht="43.5" hidden="false" customHeight="true" outlineLevel="0" collapsed="false">
      <c r="A3885" s="1" t="n">
        <v>1</v>
      </c>
      <c r="B3885" s="10" t="n">
        <v>45615</v>
      </c>
      <c r="C3885" s="11" t="s">
        <v>3904</v>
      </c>
      <c r="D3885" s="1" t="s">
        <v>2901</v>
      </c>
      <c r="E3885" s="1" t="s">
        <v>20</v>
      </c>
      <c r="F3885" s="1" t="str">
        <f aca="false">TEXT(B3885,"mmm-yyyy")</f>
        <v>Nov-2024</v>
      </c>
    </row>
    <row r="3886" customFormat="false" ht="72" hidden="false" customHeight="true" outlineLevel="0" collapsed="false">
      <c r="A3886" s="1" t="n">
        <v>1</v>
      </c>
      <c r="B3886" s="10" t="n">
        <v>45616</v>
      </c>
      <c r="C3886" s="11" t="s">
        <v>3905</v>
      </c>
      <c r="D3886" s="1" t="s">
        <v>2901</v>
      </c>
      <c r="E3886" s="1" t="s">
        <v>20</v>
      </c>
      <c r="F3886" s="1" t="str">
        <f aca="false">TEXT(B3886,"mmm-yyyy")</f>
        <v>Nov-2024</v>
      </c>
    </row>
    <row r="3887" customFormat="false" ht="72" hidden="false" customHeight="true" outlineLevel="0" collapsed="false">
      <c r="A3887" s="1" t="n">
        <v>1</v>
      </c>
      <c r="B3887" s="10" t="n">
        <v>45596</v>
      </c>
      <c r="C3887" s="11" t="s">
        <v>3906</v>
      </c>
      <c r="D3887" s="1" t="s">
        <v>2901</v>
      </c>
      <c r="E3887" s="1" t="s">
        <v>20</v>
      </c>
      <c r="F3887" s="1" t="str">
        <f aca="false">TEXT(B3887,"mmm-yyyy")</f>
        <v>Oct-2024</v>
      </c>
    </row>
    <row r="3888" customFormat="false" ht="101.25" hidden="false" customHeight="true" outlineLevel="0" collapsed="false">
      <c r="A3888" s="1" t="n">
        <v>1</v>
      </c>
      <c r="B3888" s="10" t="n">
        <v>45576</v>
      </c>
      <c r="C3888" s="11" t="s">
        <v>3907</v>
      </c>
      <c r="D3888" s="1" t="s">
        <v>2901</v>
      </c>
      <c r="E3888" s="1" t="s">
        <v>18</v>
      </c>
      <c r="F3888" s="1" t="str">
        <f aca="false">TEXT(B3888,"mmm-yyyy")</f>
        <v>Oct-2024</v>
      </c>
    </row>
    <row r="3889" customFormat="false" ht="101.25" hidden="false" customHeight="true" outlineLevel="0" collapsed="false">
      <c r="A3889" s="1" t="n">
        <v>1</v>
      </c>
      <c r="B3889" s="10" t="n">
        <v>45603</v>
      </c>
      <c r="C3889" s="11" t="s">
        <v>3908</v>
      </c>
      <c r="D3889" s="1" t="s">
        <v>2901</v>
      </c>
      <c r="E3889" s="1" t="s">
        <v>18</v>
      </c>
      <c r="F3889" s="1" t="str">
        <f aca="false">TEXT(B3889,"mmm-yyyy")</f>
        <v>Nov-2024</v>
      </c>
    </row>
    <row r="3890" customFormat="false" ht="87" hidden="false" customHeight="true" outlineLevel="0" collapsed="false">
      <c r="A3890" s="1" t="n">
        <v>1</v>
      </c>
      <c r="B3890" s="10" t="n">
        <v>45603</v>
      </c>
      <c r="C3890" s="11" t="s">
        <v>3909</v>
      </c>
      <c r="D3890" s="1" t="s">
        <v>2901</v>
      </c>
      <c r="E3890" s="1" t="s">
        <v>32</v>
      </c>
      <c r="F3890" s="1" t="str">
        <f aca="false">TEXT(B3890,"mmm-yyyy")</f>
        <v>Nov-2024</v>
      </c>
    </row>
    <row r="3891" customFormat="false" ht="57.75" hidden="false" customHeight="true" outlineLevel="0" collapsed="false">
      <c r="A3891" s="1" t="n">
        <v>1</v>
      </c>
      <c r="B3891" s="10" t="n">
        <v>45634</v>
      </c>
      <c r="C3891" s="11" t="s">
        <v>3910</v>
      </c>
      <c r="D3891" s="1" t="s">
        <v>2901</v>
      </c>
      <c r="E3891" s="1" t="s">
        <v>20</v>
      </c>
      <c r="F3891" s="1" t="str">
        <f aca="false">TEXT(B3891,"mmm-yyyy")</f>
        <v>Dec-2024</v>
      </c>
    </row>
    <row r="3892" customFormat="false" ht="72" hidden="false" customHeight="true" outlineLevel="0" collapsed="false">
      <c r="A3892" s="1" t="n">
        <v>4</v>
      </c>
      <c r="B3892" s="10" t="n">
        <v>45606</v>
      </c>
      <c r="C3892" s="11" t="s">
        <v>3911</v>
      </c>
      <c r="D3892" s="1" t="s">
        <v>2901</v>
      </c>
      <c r="E3892" s="1" t="s">
        <v>20</v>
      </c>
      <c r="F3892" s="1" t="str">
        <f aca="false">TEXT(B3892,"mmm-yyyy")</f>
        <v>Nov-2024</v>
      </c>
    </row>
    <row r="3893" customFormat="false" ht="87" hidden="false" customHeight="true" outlineLevel="0" collapsed="false">
      <c r="A3893" s="1" t="n">
        <v>1</v>
      </c>
      <c r="B3893" s="10" t="n">
        <v>45623</v>
      </c>
      <c r="C3893" s="11" t="s">
        <v>3912</v>
      </c>
      <c r="D3893" s="1" t="s">
        <v>2901</v>
      </c>
      <c r="E3893" s="1" t="s">
        <v>20</v>
      </c>
      <c r="F3893" s="1" t="str">
        <f aca="false">TEXT(B3893,"mmm-yyyy")</f>
        <v>Nov-2024</v>
      </c>
    </row>
    <row r="3894" customFormat="false" ht="72" hidden="false" customHeight="true" outlineLevel="0" collapsed="false">
      <c r="A3894" s="1" t="n">
        <v>1</v>
      </c>
      <c r="B3894" s="10" t="n">
        <v>45609</v>
      </c>
      <c r="C3894" s="11" t="s">
        <v>3913</v>
      </c>
      <c r="D3894" s="1" t="s">
        <v>2901</v>
      </c>
      <c r="E3894" s="1" t="s">
        <v>20</v>
      </c>
      <c r="F3894" s="1" t="str">
        <f aca="false">TEXT(B3894,"mmm-yyyy")</f>
        <v>Nov-2024</v>
      </c>
    </row>
    <row r="3895" customFormat="false" ht="115.5" hidden="false" customHeight="true" outlineLevel="0" collapsed="false">
      <c r="A3895" s="1" t="n">
        <v>1</v>
      </c>
      <c r="B3895" s="10" t="n">
        <v>45576</v>
      </c>
      <c r="C3895" s="11" t="s">
        <v>3914</v>
      </c>
      <c r="D3895" s="1" t="s">
        <v>2901</v>
      </c>
      <c r="E3895" s="1" t="s">
        <v>20</v>
      </c>
      <c r="F3895" s="1" t="str">
        <f aca="false">TEXT(B3895,"mmm-yyyy")</f>
        <v>Oct-2024</v>
      </c>
    </row>
    <row r="3896" customFormat="false" ht="72" hidden="false" customHeight="true" outlineLevel="0" collapsed="false">
      <c r="A3896" s="1" t="n">
        <v>1</v>
      </c>
      <c r="B3896" s="10" t="n">
        <v>45588</v>
      </c>
      <c r="C3896" s="11" t="s">
        <v>3915</v>
      </c>
      <c r="D3896" s="1" t="s">
        <v>2901</v>
      </c>
      <c r="E3896" s="1" t="s">
        <v>20</v>
      </c>
      <c r="F3896" s="1" t="str">
        <f aca="false">TEXT(B3896,"mmm-yyyy")</f>
        <v>Oct-2024</v>
      </c>
    </row>
    <row r="3897" customFormat="false" ht="130.5" hidden="false" customHeight="true" outlineLevel="0" collapsed="false">
      <c r="A3897" s="1" t="n">
        <v>1</v>
      </c>
      <c r="B3897" s="10" t="n">
        <v>45618</v>
      </c>
      <c r="C3897" s="11" t="s">
        <v>3916</v>
      </c>
      <c r="D3897" s="1" t="s">
        <v>2901</v>
      </c>
      <c r="E3897" s="1" t="s">
        <v>20</v>
      </c>
      <c r="F3897" s="1" t="str">
        <f aca="false">TEXT(B3897,"mmm-yyyy")</f>
        <v>Nov-2024</v>
      </c>
    </row>
    <row r="3898" customFormat="false" ht="87" hidden="false" customHeight="true" outlineLevel="0" collapsed="false">
      <c r="A3898" s="1" t="n">
        <v>1</v>
      </c>
      <c r="B3898" s="10" t="n">
        <v>45640</v>
      </c>
      <c r="C3898" s="11" t="s">
        <v>3917</v>
      </c>
      <c r="D3898" s="1" t="s">
        <v>2901</v>
      </c>
      <c r="E3898" s="1" t="s">
        <v>20</v>
      </c>
      <c r="F3898" s="1" t="str">
        <f aca="false">TEXT(B3898,"mmm-yyyy")</f>
        <v>Dec-2024</v>
      </c>
    </row>
    <row r="3899" customFormat="false" ht="87" hidden="false" customHeight="true" outlineLevel="0" collapsed="false">
      <c r="A3899" s="1" t="n">
        <v>1</v>
      </c>
      <c r="B3899" s="10" t="n">
        <v>45631</v>
      </c>
      <c r="C3899" s="11" t="s">
        <v>3918</v>
      </c>
      <c r="D3899" s="1" t="s">
        <v>2901</v>
      </c>
      <c r="E3899" s="1" t="s">
        <v>20</v>
      </c>
      <c r="F3899" s="1" t="str">
        <f aca="false">TEXT(B3899,"mmm-yyyy")</f>
        <v>Dec-2024</v>
      </c>
    </row>
    <row r="3900" customFormat="false" ht="57.75" hidden="false" customHeight="true" outlineLevel="0" collapsed="false">
      <c r="A3900" s="1" t="n">
        <v>1</v>
      </c>
      <c r="B3900" s="10" t="n">
        <v>45592</v>
      </c>
      <c r="C3900" s="11" t="s">
        <v>3919</v>
      </c>
      <c r="D3900" s="1" t="s">
        <v>2901</v>
      </c>
      <c r="E3900" s="1" t="s">
        <v>20</v>
      </c>
      <c r="F3900" s="1" t="str">
        <f aca="false">TEXT(B3900,"mmm-yyyy")</f>
        <v>Oct-2024</v>
      </c>
    </row>
    <row r="3901" customFormat="false" ht="57.75" hidden="false" customHeight="true" outlineLevel="0" collapsed="false">
      <c r="A3901" s="1" t="n">
        <v>1</v>
      </c>
      <c r="B3901" s="10" t="n">
        <v>45590</v>
      </c>
      <c r="C3901" s="11" t="s">
        <v>3920</v>
      </c>
      <c r="D3901" s="1" t="s">
        <v>2901</v>
      </c>
      <c r="E3901" s="1" t="s">
        <v>18</v>
      </c>
      <c r="F3901" s="1" t="str">
        <f aca="false">TEXT(B3901,"mmm-yyyy")</f>
        <v>Oct-2024</v>
      </c>
    </row>
    <row r="3902" customFormat="false" ht="101.25" hidden="false" customHeight="true" outlineLevel="0" collapsed="false">
      <c r="A3902" s="1" t="n">
        <v>2</v>
      </c>
      <c r="B3902" s="10" t="n">
        <v>45587</v>
      </c>
      <c r="C3902" s="11" t="s">
        <v>3921</v>
      </c>
      <c r="D3902" s="1" t="s">
        <v>2901</v>
      </c>
      <c r="E3902" s="1" t="s">
        <v>20</v>
      </c>
      <c r="F3902" s="1" t="str">
        <f aca="false">TEXT(B3902,"mmm-yyyy")</f>
        <v>Oct-2024</v>
      </c>
    </row>
    <row r="3903" customFormat="false" ht="57.75" hidden="false" customHeight="true" outlineLevel="0" collapsed="false">
      <c r="A3903" s="1" t="n">
        <v>1</v>
      </c>
      <c r="B3903" s="10" t="n">
        <v>45634</v>
      </c>
      <c r="C3903" s="11" t="s">
        <v>3922</v>
      </c>
      <c r="D3903" s="1" t="s">
        <v>2901</v>
      </c>
      <c r="E3903" s="1" t="s">
        <v>20</v>
      </c>
      <c r="F3903" s="1" t="str">
        <f aca="false">TEXT(B3903,"mmm-yyyy")</f>
        <v>Dec-2024</v>
      </c>
    </row>
    <row r="3904" customFormat="false" ht="57.75" hidden="false" customHeight="true" outlineLevel="0" collapsed="false">
      <c r="A3904" s="1" t="n">
        <v>1</v>
      </c>
      <c r="B3904" s="10" t="n">
        <v>45628</v>
      </c>
      <c r="C3904" s="11" t="s">
        <v>3923</v>
      </c>
      <c r="D3904" s="1" t="s">
        <v>2901</v>
      </c>
      <c r="E3904" s="1" t="s">
        <v>20</v>
      </c>
      <c r="F3904" s="1" t="str">
        <f aca="false">TEXT(B3904,"mmm-yyyy")</f>
        <v>Dec-2024</v>
      </c>
    </row>
    <row r="3905" customFormat="false" ht="130.5" hidden="false" customHeight="true" outlineLevel="0" collapsed="false">
      <c r="A3905" s="1" t="n">
        <v>1</v>
      </c>
      <c r="B3905" s="10" t="n">
        <v>45633</v>
      </c>
      <c r="C3905" s="11" t="s">
        <v>3924</v>
      </c>
      <c r="D3905" s="1" t="s">
        <v>2901</v>
      </c>
      <c r="E3905" s="1" t="s">
        <v>20</v>
      </c>
      <c r="F3905" s="1" t="str">
        <f aca="false">TEXT(B3905,"mmm-yyyy")</f>
        <v>Dec-2024</v>
      </c>
    </row>
    <row r="3906" customFormat="false" ht="130.5" hidden="false" customHeight="true" outlineLevel="0" collapsed="false">
      <c r="A3906" s="1" t="n">
        <v>1</v>
      </c>
      <c r="B3906" s="10" t="n">
        <v>45611</v>
      </c>
      <c r="C3906" s="11" t="s">
        <v>3925</v>
      </c>
      <c r="D3906" s="1" t="s">
        <v>2901</v>
      </c>
      <c r="E3906" s="1" t="s">
        <v>20</v>
      </c>
      <c r="F3906" s="1" t="str">
        <f aca="false">TEXT(B3906,"mmm-yyyy")</f>
        <v>Nov-2024</v>
      </c>
    </row>
    <row r="3907" customFormat="false" ht="43.5" hidden="false" customHeight="true" outlineLevel="0" collapsed="false">
      <c r="A3907" s="1" t="n">
        <v>4</v>
      </c>
      <c r="B3907" s="10" t="n">
        <v>45652</v>
      </c>
      <c r="C3907" s="11" t="s">
        <v>3926</v>
      </c>
      <c r="D3907" s="1" t="s">
        <v>2901</v>
      </c>
      <c r="E3907" s="1" t="s">
        <v>18</v>
      </c>
      <c r="F3907" s="1" t="str">
        <f aca="false">TEXT(B3907,"mmm-yyyy")</f>
        <v>Dec-2024</v>
      </c>
    </row>
    <row r="3908" customFormat="false" ht="72" hidden="false" customHeight="true" outlineLevel="0" collapsed="false">
      <c r="A3908" s="1" t="n">
        <v>1</v>
      </c>
      <c r="B3908" s="10" t="n">
        <v>45620</v>
      </c>
      <c r="C3908" s="11" t="s">
        <v>3927</v>
      </c>
      <c r="D3908" s="1" t="s">
        <v>2901</v>
      </c>
      <c r="E3908" s="1" t="s">
        <v>18</v>
      </c>
      <c r="F3908" s="1" t="str">
        <f aca="false">TEXT(B3908,"mmm-yyyy")</f>
        <v>Nov-2024</v>
      </c>
    </row>
    <row r="3909" customFormat="false" ht="87" hidden="false" customHeight="true" outlineLevel="0" collapsed="false">
      <c r="A3909" s="1" t="n">
        <v>1</v>
      </c>
      <c r="B3909" s="10" t="n">
        <v>45576</v>
      </c>
      <c r="C3909" s="11" t="s">
        <v>3928</v>
      </c>
      <c r="D3909" s="1" t="s">
        <v>2901</v>
      </c>
      <c r="E3909" s="1" t="s">
        <v>18</v>
      </c>
      <c r="F3909" s="1" t="str">
        <f aca="false">TEXT(B3909,"mmm-yyyy")</f>
        <v>Oct-2024</v>
      </c>
    </row>
    <row r="3910" customFormat="false" ht="87" hidden="false" customHeight="true" outlineLevel="0" collapsed="false">
      <c r="A3910" s="1" t="n">
        <v>1</v>
      </c>
      <c r="B3910" s="10" t="n">
        <v>45603</v>
      </c>
      <c r="C3910" s="11" t="s">
        <v>3929</v>
      </c>
      <c r="D3910" s="1" t="s">
        <v>2901</v>
      </c>
      <c r="E3910" s="1" t="s">
        <v>20</v>
      </c>
      <c r="F3910" s="1" t="str">
        <f aca="false">TEXT(B3910,"mmm-yyyy")</f>
        <v>Nov-2024</v>
      </c>
    </row>
    <row r="3911" customFormat="false" ht="130.5" hidden="false" customHeight="true" outlineLevel="0" collapsed="false">
      <c r="A3911" s="1" t="n">
        <v>2</v>
      </c>
      <c r="B3911" s="10" t="n">
        <v>45609</v>
      </c>
      <c r="C3911" s="11" t="s">
        <v>3930</v>
      </c>
      <c r="D3911" s="1" t="s">
        <v>2901</v>
      </c>
      <c r="E3911" s="1" t="s">
        <v>18</v>
      </c>
      <c r="F3911" s="1" t="str">
        <f aca="false">TEXT(B3911,"mmm-yyyy")</f>
        <v>Nov-2024</v>
      </c>
    </row>
    <row r="3912" customFormat="false" ht="72" hidden="false" customHeight="true" outlineLevel="0" collapsed="false">
      <c r="A3912" s="1" t="n">
        <v>1</v>
      </c>
      <c r="B3912" s="10" t="n">
        <v>45585</v>
      </c>
      <c r="C3912" s="11" t="s">
        <v>3931</v>
      </c>
      <c r="D3912" s="1" t="s">
        <v>2901</v>
      </c>
      <c r="E3912" s="1" t="s">
        <v>18</v>
      </c>
      <c r="F3912" s="1" t="str">
        <f aca="false">TEXT(B3912,"mmm-yyyy")</f>
        <v>Oct-2024</v>
      </c>
    </row>
    <row r="3913" customFormat="false" ht="57.75" hidden="false" customHeight="true" outlineLevel="0" collapsed="false">
      <c r="A3913" s="1" t="n">
        <v>3</v>
      </c>
      <c r="B3913" s="10" t="n">
        <v>45610</v>
      </c>
      <c r="C3913" s="11" t="s">
        <v>3932</v>
      </c>
      <c r="D3913" s="1" t="s">
        <v>2901</v>
      </c>
      <c r="E3913" s="1" t="s">
        <v>20</v>
      </c>
      <c r="F3913" s="1" t="str">
        <f aca="false">TEXT(B3913,"mmm-yyyy")</f>
        <v>Nov-2024</v>
      </c>
    </row>
    <row r="3914" customFormat="false" ht="130.5" hidden="false" customHeight="true" outlineLevel="0" collapsed="false">
      <c r="A3914" s="1" t="n">
        <v>1</v>
      </c>
      <c r="B3914" s="10" t="n">
        <v>45579</v>
      </c>
      <c r="C3914" s="11" t="s">
        <v>3933</v>
      </c>
      <c r="D3914" s="1" t="s">
        <v>2901</v>
      </c>
      <c r="E3914" s="1" t="s">
        <v>18</v>
      </c>
      <c r="F3914" s="1" t="str">
        <f aca="false">TEXT(B3914,"mmm-yyyy")</f>
        <v>Oct-2024</v>
      </c>
    </row>
    <row r="3915" customFormat="false" ht="130.5" hidden="false" customHeight="true" outlineLevel="0" collapsed="false">
      <c r="A3915" s="1" t="n">
        <v>1</v>
      </c>
      <c r="B3915" s="10" t="n">
        <v>45613</v>
      </c>
      <c r="C3915" s="11" t="s">
        <v>3934</v>
      </c>
      <c r="D3915" s="1" t="s">
        <v>2901</v>
      </c>
      <c r="E3915" s="1" t="s">
        <v>20</v>
      </c>
      <c r="F3915" s="1" t="str">
        <f aca="false">TEXT(B3915,"mmm-yyyy")</f>
        <v>Nov-2024</v>
      </c>
    </row>
    <row r="3916" customFormat="false" ht="115.5" hidden="false" customHeight="true" outlineLevel="0" collapsed="false">
      <c r="A3916" s="1" t="n">
        <v>1</v>
      </c>
      <c r="B3916" s="10" t="n">
        <v>45582</v>
      </c>
      <c r="C3916" s="11" t="s">
        <v>3935</v>
      </c>
      <c r="D3916" s="1" t="s">
        <v>2901</v>
      </c>
      <c r="E3916" s="1" t="s">
        <v>32</v>
      </c>
      <c r="F3916" s="1" t="str">
        <f aca="false">TEXT(B3916,"mmm-yyyy")</f>
        <v>Oct-2024</v>
      </c>
    </row>
    <row r="3917" customFormat="false" ht="87" hidden="false" customHeight="true" outlineLevel="0" collapsed="false">
      <c r="A3917" s="1" t="n">
        <v>4</v>
      </c>
      <c r="B3917" s="10" t="n">
        <v>45623</v>
      </c>
      <c r="C3917" s="11" t="s">
        <v>3936</v>
      </c>
      <c r="D3917" s="1" t="s">
        <v>2901</v>
      </c>
      <c r="E3917" s="1" t="s">
        <v>18</v>
      </c>
      <c r="F3917" s="1" t="str">
        <f aca="false">TEXT(B3917,"mmm-yyyy")</f>
        <v>Nov-2024</v>
      </c>
    </row>
    <row r="3918" customFormat="false" ht="72" hidden="false" customHeight="true" outlineLevel="0" collapsed="false">
      <c r="A3918" s="1" t="n">
        <v>1</v>
      </c>
      <c r="B3918" s="10" t="n">
        <v>45594</v>
      </c>
      <c r="C3918" s="11" t="s">
        <v>3937</v>
      </c>
      <c r="D3918" s="1" t="s">
        <v>2901</v>
      </c>
      <c r="E3918" s="1" t="s">
        <v>20</v>
      </c>
      <c r="F3918" s="1" t="str">
        <f aca="false">TEXT(B3918,"mmm-yyyy")</f>
        <v>Oct-2024</v>
      </c>
    </row>
    <row r="3919" customFormat="false" ht="72" hidden="false" customHeight="true" outlineLevel="0" collapsed="false">
      <c r="A3919" s="1" t="n">
        <v>1</v>
      </c>
      <c r="B3919" s="10" t="n">
        <v>45595</v>
      </c>
      <c r="C3919" s="11" t="s">
        <v>3938</v>
      </c>
      <c r="D3919" s="1" t="s">
        <v>2901</v>
      </c>
      <c r="E3919" s="1" t="s">
        <v>20</v>
      </c>
      <c r="F3919" s="1" t="str">
        <f aca="false">TEXT(B3919,"mmm-yyyy")</f>
        <v>Oct-2024</v>
      </c>
    </row>
    <row r="3920" customFormat="false" ht="57.75" hidden="false" customHeight="true" outlineLevel="0" collapsed="false">
      <c r="A3920" s="1" t="n">
        <v>1</v>
      </c>
      <c r="B3920" s="10" t="n">
        <v>45607</v>
      </c>
      <c r="C3920" s="11" t="s">
        <v>3939</v>
      </c>
      <c r="D3920" s="1" t="s">
        <v>2901</v>
      </c>
      <c r="E3920" s="1" t="s">
        <v>20</v>
      </c>
      <c r="F3920" s="1" t="str">
        <f aca="false">TEXT(B3920,"mmm-yyyy")</f>
        <v>Nov-2024</v>
      </c>
    </row>
    <row r="3921" customFormat="false" ht="43.5" hidden="false" customHeight="true" outlineLevel="0" collapsed="false">
      <c r="A3921" s="1" t="n">
        <v>2</v>
      </c>
      <c r="B3921" s="10" t="n">
        <v>45610</v>
      </c>
      <c r="C3921" s="11" t="s">
        <v>3940</v>
      </c>
      <c r="D3921" s="1" t="s">
        <v>2901</v>
      </c>
      <c r="E3921" s="1" t="s">
        <v>18</v>
      </c>
      <c r="F3921" s="1" t="str">
        <f aca="false">TEXT(B3921,"mmm-yyyy")</f>
        <v>Nov-2024</v>
      </c>
    </row>
    <row r="3922" customFormat="false" ht="57.75" hidden="false" customHeight="true" outlineLevel="0" collapsed="false">
      <c r="A3922" s="1" t="n">
        <v>5</v>
      </c>
      <c r="B3922" s="10" t="n">
        <v>45613</v>
      </c>
      <c r="C3922" s="11" t="s">
        <v>3941</v>
      </c>
      <c r="D3922" s="1" t="s">
        <v>2901</v>
      </c>
      <c r="E3922" s="1" t="s">
        <v>18</v>
      </c>
      <c r="F3922" s="1" t="str">
        <f aca="false">TEXT(B3922,"mmm-yyyy")</f>
        <v>Nov-2024</v>
      </c>
    </row>
    <row r="3923" customFormat="false" ht="87" hidden="false" customHeight="true" outlineLevel="0" collapsed="false">
      <c r="A3923" s="1" t="n">
        <v>1</v>
      </c>
      <c r="B3923" s="10" t="n">
        <v>45588</v>
      </c>
      <c r="C3923" s="11" t="s">
        <v>3942</v>
      </c>
      <c r="D3923" s="1" t="s">
        <v>2901</v>
      </c>
      <c r="E3923" s="1" t="s">
        <v>20</v>
      </c>
      <c r="F3923" s="1" t="str">
        <f aca="false">TEXT(B3923,"mmm-yyyy")</f>
        <v>Oct-2024</v>
      </c>
    </row>
    <row r="3924" customFormat="false" ht="57.75" hidden="false" customHeight="true" outlineLevel="0" collapsed="false">
      <c r="A3924" s="1" t="n">
        <v>1</v>
      </c>
      <c r="B3924" s="10" t="n">
        <v>45611</v>
      </c>
      <c r="C3924" s="11" t="s">
        <v>3943</v>
      </c>
      <c r="D3924" s="1" t="s">
        <v>2901</v>
      </c>
      <c r="E3924" s="1" t="s">
        <v>20</v>
      </c>
      <c r="F3924" s="1" t="str">
        <f aca="false">TEXT(B3924,"mmm-yyyy")</f>
        <v>Nov-2024</v>
      </c>
    </row>
    <row r="3925" customFormat="false" ht="130.5" hidden="false" customHeight="true" outlineLevel="0" collapsed="false">
      <c r="A3925" s="1" t="n">
        <v>1</v>
      </c>
      <c r="B3925" s="10" t="n">
        <v>45577</v>
      </c>
      <c r="C3925" s="11" t="s">
        <v>3944</v>
      </c>
      <c r="D3925" s="1" t="s">
        <v>2901</v>
      </c>
      <c r="E3925" s="1" t="s">
        <v>20</v>
      </c>
      <c r="F3925" s="1" t="str">
        <f aca="false">TEXT(B3925,"mmm-yyyy")</f>
        <v>Oct-2024</v>
      </c>
    </row>
    <row r="3926" customFormat="false" ht="115.5" hidden="false" customHeight="true" outlineLevel="0" collapsed="false">
      <c r="A3926" s="1" t="n">
        <v>5</v>
      </c>
      <c r="B3926" s="10" t="n">
        <v>45594</v>
      </c>
      <c r="C3926" s="11" t="s">
        <v>3945</v>
      </c>
      <c r="D3926" s="1" t="s">
        <v>2901</v>
      </c>
      <c r="E3926" s="1" t="s">
        <v>18</v>
      </c>
      <c r="F3926" s="1" t="str">
        <f aca="false">TEXT(B3926,"mmm-yyyy")</f>
        <v>Oct-2024</v>
      </c>
    </row>
    <row r="3927" customFormat="false" ht="115.5" hidden="false" customHeight="true" outlineLevel="0" collapsed="false">
      <c r="A3927" s="1" t="n">
        <v>1</v>
      </c>
      <c r="B3927" s="10" t="n">
        <v>45592</v>
      </c>
      <c r="C3927" s="11" t="s">
        <v>3946</v>
      </c>
      <c r="D3927" s="1" t="s">
        <v>2901</v>
      </c>
      <c r="E3927" s="1" t="s">
        <v>18</v>
      </c>
      <c r="F3927" s="1" t="str">
        <f aca="false">TEXT(B3927,"mmm-yyyy")</f>
        <v>Oct-2024</v>
      </c>
    </row>
    <row r="3928" customFormat="false" ht="101.25" hidden="false" customHeight="true" outlineLevel="0" collapsed="false">
      <c r="A3928" s="1" t="n">
        <v>1</v>
      </c>
      <c r="B3928" s="10" t="n">
        <v>45584</v>
      </c>
      <c r="C3928" s="11" t="s">
        <v>3947</v>
      </c>
      <c r="D3928" s="1" t="s">
        <v>2901</v>
      </c>
      <c r="E3928" s="1" t="s">
        <v>20</v>
      </c>
      <c r="F3928" s="1" t="str">
        <f aca="false">TEXT(B3928,"mmm-yyyy")</f>
        <v>Oct-2024</v>
      </c>
    </row>
    <row r="3929" customFormat="false" ht="57.75" hidden="false" customHeight="true" outlineLevel="0" collapsed="false">
      <c r="A3929" s="1" t="n">
        <v>1</v>
      </c>
      <c r="B3929" s="10" t="n">
        <v>45629</v>
      </c>
      <c r="C3929" s="11" t="s">
        <v>3948</v>
      </c>
      <c r="D3929" s="1" t="s">
        <v>2901</v>
      </c>
      <c r="E3929" s="1" t="s">
        <v>20</v>
      </c>
      <c r="F3929" s="1" t="str">
        <f aca="false">TEXT(B3929,"mmm-yyyy")</f>
        <v>Dec-2024</v>
      </c>
    </row>
    <row r="3930" customFormat="false" ht="101.25" hidden="false" customHeight="true" outlineLevel="0" collapsed="false">
      <c r="A3930" s="1" t="n">
        <v>1</v>
      </c>
      <c r="B3930" s="10" t="n">
        <v>45613</v>
      </c>
      <c r="C3930" s="11" t="s">
        <v>3949</v>
      </c>
      <c r="D3930" s="1" t="s">
        <v>2901</v>
      </c>
      <c r="E3930" s="1" t="s">
        <v>18</v>
      </c>
      <c r="F3930" s="1" t="str">
        <f aca="false">TEXT(B3930,"mmm-yyyy")</f>
        <v>Nov-2024</v>
      </c>
    </row>
    <row r="3931" customFormat="false" ht="130.5" hidden="false" customHeight="true" outlineLevel="0" collapsed="false">
      <c r="A3931" s="1" t="n">
        <v>1</v>
      </c>
      <c r="B3931" s="10" t="n">
        <v>45602</v>
      </c>
      <c r="C3931" s="11" t="s">
        <v>3950</v>
      </c>
      <c r="D3931" s="1" t="s">
        <v>2901</v>
      </c>
      <c r="E3931" s="1" t="s">
        <v>20</v>
      </c>
      <c r="F3931" s="1" t="str">
        <f aca="false">TEXT(B3931,"mmm-yyyy")</f>
        <v>Nov-2024</v>
      </c>
    </row>
    <row r="3932" customFormat="false" ht="87" hidden="false" customHeight="true" outlineLevel="0" collapsed="false">
      <c r="A3932" s="1" t="n">
        <v>1</v>
      </c>
      <c r="B3932" s="10" t="n">
        <v>45595</v>
      </c>
      <c r="C3932" s="11" t="s">
        <v>3951</v>
      </c>
      <c r="D3932" s="1" t="s">
        <v>2901</v>
      </c>
      <c r="E3932" s="1" t="s">
        <v>20</v>
      </c>
      <c r="F3932" s="1" t="str">
        <f aca="false">TEXT(B3932,"mmm-yyyy")</f>
        <v>Oct-2024</v>
      </c>
    </row>
    <row r="3933" customFormat="false" ht="57.75" hidden="false" customHeight="true" outlineLevel="0" collapsed="false">
      <c r="A3933" s="1" t="n">
        <v>1</v>
      </c>
      <c r="B3933" s="10" t="n">
        <v>45609</v>
      </c>
      <c r="C3933" s="11" t="s">
        <v>3952</v>
      </c>
      <c r="D3933" s="1" t="s">
        <v>2901</v>
      </c>
      <c r="E3933" s="1" t="s">
        <v>32</v>
      </c>
      <c r="F3933" s="1" t="str">
        <f aca="false">TEXT(B3933,"mmm-yyyy")</f>
        <v>Nov-2024</v>
      </c>
    </row>
    <row r="3934" customFormat="false" ht="130.5" hidden="false" customHeight="true" outlineLevel="0" collapsed="false">
      <c r="A3934" s="1" t="n">
        <v>1</v>
      </c>
      <c r="B3934" s="10" t="n">
        <v>45594</v>
      </c>
      <c r="C3934" s="11" t="s">
        <v>3953</v>
      </c>
      <c r="D3934" s="1" t="s">
        <v>2901</v>
      </c>
      <c r="E3934" s="1" t="s">
        <v>20</v>
      </c>
      <c r="F3934" s="1" t="str">
        <f aca="false">TEXT(B3934,"mmm-yyyy")</f>
        <v>Oct-2024</v>
      </c>
    </row>
    <row r="3935" customFormat="false" ht="87" hidden="false" customHeight="true" outlineLevel="0" collapsed="false">
      <c r="A3935" s="1" t="n">
        <v>1</v>
      </c>
      <c r="B3935" s="10" t="n">
        <v>45612</v>
      </c>
      <c r="C3935" s="11" t="s">
        <v>3954</v>
      </c>
      <c r="D3935" s="1" t="s">
        <v>2901</v>
      </c>
      <c r="E3935" s="1" t="s">
        <v>18</v>
      </c>
      <c r="F3935" s="1" t="str">
        <f aca="false">TEXT(B3935,"mmm-yyyy")</f>
        <v>Nov-2024</v>
      </c>
    </row>
    <row r="3936" customFormat="false" ht="87" hidden="false" customHeight="true" outlineLevel="0" collapsed="false">
      <c r="A3936" s="1" t="n">
        <v>1</v>
      </c>
      <c r="B3936" s="10" t="n">
        <v>45596</v>
      </c>
      <c r="C3936" s="11" t="s">
        <v>3955</v>
      </c>
      <c r="D3936" s="1" t="s">
        <v>2901</v>
      </c>
      <c r="E3936" s="1" t="s">
        <v>18</v>
      </c>
      <c r="F3936" s="1" t="str">
        <f aca="false">TEXT(B3936,"mmm-yyyy")</f>
        <v>Oct-2024</v>
      </c>
    </row>
    <row r="3937" customFormat="false" ht="87" hidden="false" customHeight="true" outlineLevel="0" collapsed="false">
      <c r="A3937" s="1" t="n">
        <v>1</v>
      </c>
      <c r="B3937" s="10" t="n">
        <v>45594</v>
      </c>
      <c r="C3937" s="11" t="s">
        <v>3956</v>
      </c>
      <c r="D3937" s="1" t="s">
        <v>2901</v>
      </c>
      <c r="E3937" s="1" t="s">
        <v>20</v>
      </c>
      <c r="F3937" s="1" t="str">
        <f aca="false">TEXT(B3937,"mmm-yyyy")</f>
        <v>Oct-2024</v>
      </c>
    </row>
    <row r="3938" customFormat="false" ht="130.5" hidden="false" customHeight="true" outlineLevel="0" collapsed="false">
      <c r="A3938" s="1" t="n">
        <v>1</v>
      </c>
      <c r="B3938" s="10" t="n">
        <v>45610</v>
      </c>
      <c r="C3938" s="11" t="s">
        <v>3957</v>
      </c>
      <c r="D3938" s="1" t="s">
        <v>2901</v>
      </c>
      <c r="E3938" s="1" t="s">
        <v>18</v>
      </c>
      <c r="F3938" s="1" t="str">
        <f aca="false">TEXT(B3938,"mmm-yyyy")</f>
        <v>Nov-2024</v>
      </c>
    </row>
    <row r="3939" customFormat="false" ht="101.25" hidden="false" customHeight="true" outlineLevel="0" collapsed="false">
      <c r="A3939" s="1" t="n">
        <v>1</v>
      </c>
      <c r="B3939" s="10" t="n">
        <v>45633</v>
      </c>
      <c r="C3939" s="11" t="s">
        <v>3958</v>
      </c>
      <c r="D3939" s="1" t="s">
        <v>2901</v>
      </c>
      <c r="E3939" s="1" t="s">
        <v>18</v>
      </c>
      <c r="F3939" s="1" t="str">
        <f aca="false">TEXT(B3939,"mmm-yyyy")</f>
        <v>Dec-2024</v>
      </c>
    </row>
    <row r="3940" customFormat="false" ht="130.5" hidden="false" customHeight="true" outlineLevel="0" collapsed="false">
      <c r="A3940" s="1" t="n">
        <v>1</v>
      </c>
      <c r="B3940" s="10" t="n">
        <v>45602</v>
      </c>
      <c r="C3940" s="11" t="s">
        <v>3959</v>
      </c>
      <c r="D3940" s="1" t="s">
        <v>2901</v>
      </c>
      <c r="E3940" s="1" t="s">
        <v>18</v>
      </c>
      <c r="F3940" s="1" t="str">
        <f aca="false">TEXT(B3940,"mmm-yyyy")</f>
        <v>Nov-2024</v>
      </c>
    </row>
    <row r="3941" customFormat="false" ht="87" hidden="false" customHeight="true" outlineLevel="0" collapsed="false">
      <c r="A3941" s="1" t="n">
        <v>1</v>
      </c>
      <c r="B3941" s="10" t="n">
        <v>45606</v>
      </c>
      <c r="C3941" s="11" t="s">
        <v>3960</v>
      </c>
      <c r="D3941" s="1" t="s">
        <v>2901</v>
      </c>
      <c r="E3941" s="1" t="s">
        <v>20</v>
      </c>
      <c r="F3941" s="1" t="str">
        <f aca="false">TEXT(B3941,"mmm-yyyy")</f>
        <v>Nov-2024</v>
      </c>
    </row>
    <row r="3942" customFormat="false" ht="72" hidden="false" customHeight="true" outlineLevel="0" collapsed="false">
      <c r="A3942" s="1" t="n">
        <v>2</v>
      </c>
      <c r="B3942" s="10" t="n">
        <v>45600</v>
      </c>
      <c r="C3942" s="11" t="s">
        <v>3961</v>
      </c>
      <c r="D3942" s="1" t="s">
        <v>2901</v>
      </c>
      <c r="E3942" s="1" t="s">
        <v>20</v>
      </c>
      <c r="F3942" s="1" t="str">
        <f aca="false">TEXT(B3942,"mmm-yyyy")</f>
        <v>Nov-2024</v>
      </c>
    </row>
    <row r="3943" customFormat="false" ht="130.5" hidden="false" customHeight="true" outlineLevel="0" collapsed="false">
      <c r="A3943" s="1" t="n">
        <v>1</v>
      </c>
      <c r="B3943" s="10" t="n">
        <v>45606</v>
      </c>
      <c r="C3943" s="11" t="s">
        <v>3962</v>
      </c>
      <c r="D3943" s="1" t="s">
        <v>2901</v>
      </c>
      <c r="E3943" s="1" t="s">
        <v>20</v>
      </c>
      <c r="F3943" s="1" t="str">
        <f aca="false">TEXT(B3943,"mmm-yyyy")</f>
        <v>Nov-2024</v>
      </c>
    </row>
    <row r="3944" customFormat="false" ht="101.25" hidden="false" customHeight="true" outlineLevel="0" collapsed="false">
      <c r="A3944" s="1" t="n">
        <v>5</v>
      </c>
      <c r="B3944" s="10" t="n">
        <v>45581</v>
      </c>
      <c r="C3944" s="11" t="s">
        <v>3963</v>
      </c>
      <c r="D3944" s="1" t="s">
        <v>2901</v>
      </c>
      <c r="E3944" s="1" t="s">
        <v>18</v>
      </c>
      <c r="F3944" s="1" t="str">
        <f aca="false">TEXT(B3944,"mmm-yyyy")</f>
        <v>Oct-2024</v>
      </c>
    </row>
    <row r="3945" customFormat="false" ht="101.25" hidden="false" customHeight="true" outlineLevel="0" collapsed="false">
      <c r="A3945" s="1" t="n">
        <v>5</v>
      </c>
      <c r="B3945" s="10" t="n">
        <v>45618</v>
      </c>
      <c r="C3945" s="11" t="s">
        <v>3964</v>
      </c>
      <c r="D3945" s="1" t="s">
        <v>2901</v>
      </c>
      <c r="E3945" s="1" t="s">
        <v>18</v>
      </c>
      <c r="F3945" s="1" t="str">
        <f aca="false">TEXT(B3945,"mmm-yyyy")</f>
        <v>Nov-2024</v>
      </c>
    </row>
    <row r="3946" customFormat="false" ht="57.75" hidden="false" customHeight="true" outlineLevel="0" collapsed="false">
      <c r="A3946" s="1" t="n">
        <v>1</v>
      </c>
      <c r="B3946" s="10" t="n">
        <v>45630</v>
      </c>
      <c r="C3946" s="11" t="s">
        <v>3965</v>
      </c>
      <c r="D3946" s="1" t="s">
        <v>2901</v>
      </c>
      <c r="E3946" s="1" t="s">
        <v>20</v>
      </c>
      <c r="F3946" s="1" t="str">
        <f aca="false">TEXT(B3946,"mmm-yyyy")</f>
        <v>Dec-2024</v>
      </c>
    </row>
    <row r="3947" customFormat="false" ht="72" hidden="false" customHeight="true" outlineLevel="0" collapsed="false">
      <c r="A3947" s="1" t="n">
        <v>1</v>
      </c>
      <c r="B3947" s="10" t="n">
        <v>45595</v>
      </c>
      <c r="C3947" s="11" t="s">
        <v>3966</v>
      </c>
      <c r="D3947" s="1" t="s">
        <v>2901</v>
      </c>
      <c r="E3947" s="1" t="s">
        <v>20</v>
      </c>
      <c r="F3947" s="1" t="str">
        <f aca="false">TEXT(B3947,"mmm-yyyy")</f>
        <v>Oct-2024</v>
      </c>
    </row>
    <row r="3948" customFormat="false" ht="130.5" hidden="false" customHeight="true" outlineLevel="0" collapsed="false">
      <c r="A3948" s="1" t="n">
        <v>2</v>
      </c>
      <c r="B3948" s="10" t="n">
        <v>45596</v>
      </c>
      <c r="C3948" s="11" t="s">
        <v>3967</v>
      </c>
      <c r="D3948" s="1" t="s">
        <v>2901</v>
      </c>
      <c r="E3948" s="1" t="s">
        <v>18</v>
      </c>
      <c r="F3948" s="1" t="str">
        <f aca="false">TEXT(B3948,"mmm-yyyy")</f>
        <v>Oct-2024</v>
      </c>
    </row>
    <row r="3949" customFormat="false" ht="87" hidden="false" customHeight="true" outlineLevel="0" collapsed="false">
      <c r="A3949" s="1" t="n">
        <v>3</v>
      </c>
      <c r="B3949" s="10" t="n">
        <v>45598</v>
      </c>
      <c r="C3949" s="11" t="s">
        <v>3968</v>
      </c>
      <c r="D3949" s="1" t="s">
        <v>2901</v>
      </c>
      <c r="E3949" s="1" t="s">
        <v>18</v>
      </c>
      <c r="F3949" s="1" t="str">
        <f aca="false">TEXT(B3949,"mmm-yyyy")</f>
        <v>Nov-2024</v>
      </c>
    </row>
    <row r="3950" customFormat="false" ht="101.25" hidden="false" customHeight="true" outlineLevel="0" collapsed="false">
      <c r="A3950" s="1" t="n">
        <v>1</v>
      </c>
      <c r="B3950" s="10" t="n">
        <v>45618</v>
      </c>
      <c r="C3950" s="11" t="s">
        <v>3969</v>
      </c>
      <c r="D3950" s="1" t="s">
        <v>2901</v>
      </c>
      <c r="E3950" s="1" t="s">
        <v>20</v>
      </c>
      <c r="F3950" s="1" t="str">
        <f aca="false">TEXT(B3950,"mmm-yyyy")</f>
        <v>Nov-2024</v>
      </c>
    </row>
    <row r="3951" customFormat="false" ht="57.75" hidden="false" customHeight="true" outlineLevel="0" collapsed="false">
      <c r="A3951" s="1" t="n">
        <v>1</v>
      </c>
      <c r="B3951" s="10" t="n">
        <v>45624</v>
      </c>
      <c r="C3951" s="11" t="s">
        <v>3970</v>
      </c>
      <c r="D3951" s="1" t="s">
        <v>2901</v>
      </c>
      <c r="E3951" s="1" t="s">
        <v>18</v>
      </c>
      <c r="F3951" s="1" t="str">
        <f aca="false">TEXT(B3951,"mmm-yyyy")</f>
        <v>Nov-2024</v>
      </c>
    </row>
    <row r="3952" customFormat="false" ht="72" hidden="false" customHeight="true" outlineLevel="0" collapsed="false">
      <c r="A3952" s="1" t="n">
        <v>1</v>
      </c>
      <c r="B3952" s="10" t="n">
        <v>45614</v>
      </c>
      <c r="C3952" s="11" t="s">
        <v>3971</v>
      </c>
      <c r="D3952" s="1" t="s">
        <v>2901</v>
      </c>
      <c r="E3952" s="1" t="s">
        <v>20</v>
      </c>
      <c r="F3952" s="1" t="str">
        <f aca="false">TEXT(B3952,"mmm-yyyy")</f>
        <v>Nov-2024</v>
      </c>
    </row>
    <row r="3953" customFormat="false" ht="43.5" hidden="false" customHeight="true" outlineLevel="0" collapsed="false">
      <c r="A3953" s="1" t="n">
        <v>1</v>
      </c>
      <c r="B3953" s="10" t="n">
        <v>45621</v>
      </c>
      <c r="C3953" s="11" t="s">
        <v>3972</v>
      </c>
      <c r="D3953" s="1" t="s">
        <v>2901</v>
      </c>
      <c r="E3953" s="1" t="s">
        <v>20</v>
      </c>
      <c r="F3953" s="1" t="str">
        <f aca="false">TEXT(B3953,"mmm-yyyy")</f>
        <v>Nov-2024</v>
      </c>
    </row>
    <row r="3954" customFormat="false" ht="57.75" hidden="false" customHeight="true" outlineLevel="0" collapsed="false">
      <c r="A3954" s="1" t="n">
        <v>5</v>
      </c>
      <c r="B3954" s="10" t="n">
        <v>45601</v>
      </c>
      <c r="C3954" s="11" t="s">
        <v>3973</v>
      </c>
      <c r="D3954" s="1" t="s">
        <v>2901</v>
      </c>
      <c r="E3954" s="1" t="s">
        <v>32</v>
      </c>
      <c r="F3954" s="1" t="str">
        <f aca="false">TEXT(B3954,"mmm-yyyy")</f>
        <v>Nov-2024</v>
      </c>
    </row>
    <row r="3955" customFormat="false" ht="57.75" hidden="false" customHeight="true" outlineLevel="0" collapsed="false">
      <c r="A3955" s="1" t="n">
        <v>1</v>
      </c>
      <c r="B3955" s="10" t="n">
        <v>45613</v>
      </c>
      <c r="C3955" s="11" t="s">
        <v>3974</v>
      </c>
      <c r="D3955" s="1" t="s">
        <v>2901</v>
      </c>
      <c r="E3955" s="1" t="s">
        <v>20</v>
      </c>
      <c r="F3955" s="1" t="str">
        <f aca="false">TEXT(B3955,"mmm-yyyy")</f>
        <v>Nov-2024</v>
      </c>
    </row>
    <row r="3956" customFormat="false" ht="57.75" hidden="false" customHeight="true" outlineLevel="0" collapsed="false">
      <c r="A3956" s="1" t="n">
        <v>1</v>
      </c>
      <c r="B3956" s="10" t="n">
        <v>45579</v>
      </c>
      <c r="C3956" s="11" t="s">
        <v>3975</v>
      </c>
      <c r="D3956" s="1" t="s">
        <v>2901</v>
      </c>
      <c r="E3956" s="1" t="s">
        <v>20</v>
      </c>
      <c r="F3956" s="1" t="str">
        <f aca="false">TEXT(B3956,"mmm-yyyy")</f>
        <v>Oct-2024</v>
      </c>
    </row>
    <row r="3957" customFormat="false" ht="72" hidden="false" customHeight="true" outlineLevel="0" collapsed="false">
      <c r="A3957" s="1" t="n">
        <v>1</v>
      </c>
      <c r="B3957" s="10" t="n">
        <v>45633</v>
      </c>
      <c r="C3957" s="11" t="s">
        <v>3976</v>
      </c>
      <c r="D3957" s="1" t="s">
        <v>2901</v>
      </c>
      <c r="E3957" s="1" t="s">
        <v>20</v>
      </c>
      <c r="F3957" s="1" t="str">
        <f aca="false">TEXT(B3957,"mmm-yyyy")</f>
        <v>Dec-2024</v>
      </c>
    </row>
    <row r="3958" customFormat="false" ht="72" hidden="false" customHeight="true" outlineLevel="0" collapsed="false">
      <c r="A3958" s="1" t="n">
        <v>1</v>
      </c>
      <c r="B3958" s="10" t="n">
        <v>45586</v>
      </c>
      <c r="C3958" s="11" t="s">
        <v>3977</v>
      </c>
      <c r="D3958" s="1" t="s">
        <v>2901</v>
      </c>
      <c r="E3958" s="1" t="s">
        <v>20</v>
      </c>
      <c r="F3958" s="1" t="str">
        <f aca="false">TEXT(B3958,"mmm-yyyy")</f>
        <v>Oct-2024</v>
      </c>
    </row>
    <row r="3959" customFormat="false" ht="57.75" hidden="false" customHeight="true" outlineLevel="0" collapsed="false">
      <c r="A3959" s="1" t="n">
        <v>1</v>
      </c>
      <c r="B3959" s="10" t="n">
        <v>45591</v>
      </c>
      <c r="C3959" s="11" t="s">
        <v>3978</v>
      </c>
      <c r="D3959" s="1" t="s">
        <v>2901</v>
      </c>
      <c r="E3959" s="1" t="s">
        <v>20</v>
      </c>
      <c r="F3959" s="1" t="str">
        <f aca="false">TEXT(B3959,"mmm-yyyy")</f>
        <v>Oct-2024</v>
      </c>
    </row>
    <row r="3960" customFormat="false" ht="115.5" hidden="false" customHeight="true" outlineLevel="0" collapsed="false">
      <c r="A3960" s="1" t="n">
        <v>1</v>
      </c>
      <c r="B3960" s="10" t="n">
        <v>45593</v>
      </c>
      <c r="C3960" s="11" t="s">
        <v>3979</v>
      </c>
      <c r="D3960" s="1" t="s">
        <v>2901</v>
      </c>
      <c r="E3960" s="1" t="s">
        <v>18</v>
      </c>
      <c r="F3960" s="1" t="str">
        <f aca="false">TEXT(B3960,"mmm-yyyy")</f>
        <v>Oct-2024</v>
      </c>
    </row>
    <row r="3961" customFormat="false" ht="43.5" hidden="false" customHeight="true" outlineLevel="0" collapsed="false">
      <c r="A3961" s="1" t="n">
        <v>1</v>
      </c>
      <c r="B3961" s="10" t="n">
        <v>45577</v>
      </c>
      <c r="C3961" s="11" t="s">
        <v>3980</v>
      </c>
      <c r="D3961" s="1" t="s">
        <v>2901</v>
      </c>
      <c r="E3961" s="1" t="s">
        <v>32</v>
      </c>
      <c r="F3961" s="1" t="str">
        <f aca="false">TEXT(B3961,"mmm-yyyy")</f>
        <v>Oct-2024</v>
      </c>
    </row>
    <row r="3962" customFormat="false" ht="87" hidden="false" customHeight="true" outlineLevel="0" collapsed="false">
      <c r="A3962" s="1" t="n">
        <v>1</v>
      </c>
      <c r="B3962" s="10" t="n">
        <v>45617</v>
      </c>
      <c r="C3962" s="11" t="s">
        <v>3981</v>
      </c>
      <c r="D3962" s="1" t="s">
        <v>2901</v>
      </c>
      <c r="E3962" s="1" t="s">
        <v>18</v>
      </c>
      <c r="F3962" s="1" t="str">
        <f aca="false">TEXT(B3962,"mmm-yyyy")</f>
        <v>Nov-2024</v>
      </c>
    </row>
    <row r="3963" customFormat="false" ht="115.5" hidden="false" customHeight="true" outlineLevel="0" collapsed="false">
      <c r="A3963" s="1" t="n">
        <v>1</v>
      </c>
      <c r="B3963" s="10" t="n">
        <v>45592</v>
      </c>
      <c r="C3963" s="11" t="s">
        <v>3982</v>
      </c>
      <c r="D3963" s="1" t="s">
        <v>2901</v>
      </c>
      <c r="E3963" s="1" t="s">
        <v>20</v>
      </c>
      <c r="F3963" s="1" t="str">
        <f aca="false">TEXT(B3963,"mmm-yyyy")</f>
        <v>Oct-2024</v>
      </c>
    </row>
    <row r="3964" customFormat="false" ht="87" hidden="false" customHeight="true" outlineLevel="0" collapsed="false">
      <c r="A3964" s="1" t="n">
        <v>1</v>
      </c>
      <c r="B3964" s="10" t="n">
        <v>45615</v>
      </c>
      <c r="C3964" s="11" t="s">
        <v>3983</v>
      </c>
      <c r="D3964" s="1" t="s">
        <v>2901</v>
      </c>
      <c r="E3964" s="1" t="s">
        <v>20</v>
      </c>
      <c r="F3964" s="1" t="str">
        <f aca="false">TEXT(B3964,"mmm-yyyy")</f>
        <v>Nov-2024</v>
      </c>
    </row>
    <row r="3965" customFormat="false" ht="72" hidden="false" customHeight="true" outlineLevel="0" collapsed="false">
      <c r="A3965" s="1" t="n">
        <v>1</v>
      </c>
      <c r="B3965" s="10" t="n">
        <v>45614</v>
      </c>
      <c r="C3965" s="11" t="s">
        <v>3984</v>
      </c>
      <c r="D3965" s="1" t="s">
        <v>2901</v>
      </c>
      <c r="E3965" s="1" t="s">
        <v>20</v>
      </c>
      <c r="F3965" s="1" t="str">
        <f aca="false">TEXT(B3965,"mmm-yyyy")</f>
        <v>Nov-2024</v>
      </c>
    </row>
    <row r="3966" customFormat="false" ht="72" hidden="false" customHeight="true" outlineLevel="0" collapsed="false">
      <c r="A3966" s="1" t="n">
        <v>3</v>
      </c>
      <c r="B3966" s="10" t="n">
        <v>45632</v>
      </c>
      <c r="C3966" s="11" t="s">
        <v>3985</v>
      </c>
      <c r="D3966" s="1" t="s">
        <v>2901</v>
      </c>
      <c r="E3966" s="1" t="s">
        <v>20</v>
      </c>
      <c r="F3966" s="1" t="str">
        <f aca="false">TEXT(B3966,"mmm-yyyy")</f>
        <v>Dec-2024</v>
      </c>
    </row>
    <row r="3967" customFormat="false" ht="101.25" hidden="false" customHeight="true" outlineLevel="0" collapsed="false">
      <c r="A3967" s="1" t="n">
        <v>1</v>
      </c>
      <c r="B3967" s="10" t="n">
        <v>45584</v>
      </c>
      <c r="C3967" s="11" t="s">
        <v>3986</v>
      </c>
      <c r="D3967" s="1" t="s">
        <v>2901</v>
      </c>
      <c r="E3967" s="1" t="s">
        <v>20</v>
      </c>
      <c r="F3967" s="1" t="str">
        <f aca="false">TEXT(B3967,"mmm-yyyy")</f>
        <v>Oct-2024</v>
      </c>
    </row>
    <row r="3968" customFormat="false" ht="57.75" hidden="false" customHeight="true" outlineLevel="0" collapsed="false">
      <c r="A3968" s="1" t="n">
        <v>1</v>
      </c>
      <c r="B3968" s="10" t="n">
        <v>45605</v>
      </c>
      <c r="C3968" s="11" t="s">
        <v>3987</v>
      </c>
      <c r="D3968" s="1" t="s">
        <v>2901</v>
      </c>
      <c r="E3968" s="1" t="s">
        <v>20</v>
      </c>
      <c r="F3968" s="1" t="str">
        <f aca="false">TEXT(B3968,"mmm-yyyy")</f>
        <v>Nov-2024</v>
      </c>
    </row>
    <row r="3969" customFormat="false" ht="87" hidden="false" customHeight="true" outlineLevel="0" collapsed="false">
      <c r="A3969" s="1" t="n">
        <v>1</v>
      </c>
      <c r="B3969" s="10" t="n">
        <v>45631</v>
      </c>
      <c r="C3969" s="11" t="s">
        <v>3988</v>
      </c>
      <c r="D3969" s="1" t="s">
        <v>2901</v>
      </c>
      <c r="E3969" s="1" t="s">
        <v>20</v>
      </c>
      <c r="F3969" s="1" t="str">
        <f aca="false">TEXT(B3969,"mmm-yyyy")</f>
        <v>Dec-2024</v>
      </c>
    </row>
    <row r="3970" customFormat="false" ht="57.75" hidden="false" customHeight="true" outlineLevel="0" collapsed="false">
      <c r="A3970" s="1" t="n">
        <v>1</v>
      </c>
      <c r="B3970" s="10" t="n">
        <v>45581</v>
      </c>
      <c r="C3970" s="11" t="s">
        <v>3989</v>
      </c>
      <c r="D3970" s="1" t="s">
        <v>2901</v>
      </c>
      <c r="E3970" s="1" t="s">
        <v>20</v>
      </c>
      <c r="F3970" s="1" t="str">
        <f aca="false">TEXT(B3970,"mmm-yyyy")</f>
        <v>Oct-2024</v>
      </c>
    </row>
    <row r="3971" customFormat="false" ht="57.75" hidden="false" customHeight="true" outlineLevel="0" collapsed="false">
      <c r="A3971" s="1" t="n">
        <v>1</v>
      </c>
      <c r="B3971" s="10" t="n">
        <v>45599</v>
      </c>
      <c r="C3971" s="11" t="s">
        <v>3990</v>
      </c>
      <c r="D3971" s="1" t="s">
        <v>2901</v>
      </c>
      <c r="E3971" s="1" t="s">
        <v>18</v>
      </c>
      <c r="F3971" s="1" t="str">
        <f aca="false">TEXT(B3971,"mmm-yyyy")</f>
        <v>Nov-2024</v>
      </c>
    </row>
    <row r="3972" customFormat="false" ht="87" hidden="false" customHeight="true" outlineLevel="0" collapsed="false">
      <c r="A3972" s="1" t="n">
        <v>1</v>
      </c>
      <c r="B3972" s="10" t="n">
        <v>45626</v>
      </c>
      <c r="C3972" s="11" t="s">
        <v>3991</v>
      </c>
      <c r="D3972" s="1" t="s">
        <v>2901</v>
      </c>
      <c r="E3972" s="1" t="s">
        <v>20</v>
      </c>
      <c r="F3972" s="1" t="str">
        <f aca="false">TEXT(B3972,"mmm-yyyy")</f>
        <v>Nov-2024</v>
      </c>
    </row>
    <row r="3973" customFormat="false" ht="101.25" hidden="false" customHeight="true" outlineLevel="0" collapsed="false">
      <c r="A3973" s="1" t="n">
        <v>5</v>
      </c>
      <c r="B3973" s="10" t="n">
        <v>45597</v>
      </c>
      <c r="C3973" s="11" t="s">
        <v>3992</v>
      </c>
      <c r="D3973" s="1" t="s">
        <v>2901</v>
      </c>
      <c r="E3973" s="1" t="s">
        <v>18</v>
      </c>
      <c r="F3973" s="1" t="str">
        <f aca="false">TEXT(B3973,"mmm-yyyy")</f>
        <v>Nov-2024</v>
      </c>
    </row>
    <row r="3974" customFormat="false" ht="72" hidden="false" customHeight="true" outlineLevel="0" collapsed="false">
      <c r="A3974" s="1" t="n">
        <v>5</v>
      </c>
      <c r="B3974" s="10" t="n">
        <v>45602</v>
      </c>
      <c r="C3974" s="11" t="s">
        <v>3993</v>
      </c>
      <c r="D3974" s="1" t="s">
        <v>2901</v>
      </c>
      <c r="E3974" s="1" t="s">
        <v>18</v>
      </c>
      <c r="F3974" s="1" t="str">
        <f aca="false">TEXT(B3974,"mmm-yyyy")</f>
        <v>Nov-2024</v>
      </c>
    </row>
    <row r="3975" customFormat="false" ht="72" hidden="false" customHeight="true" outlineLevel="0" collapsed="false">
      <c r="A3975" s="1" t="n">
        <v>1</v>
      </c>
      <c r="B3975" s="10" t="n">
        <v>45632</v>
      </c>
      <c r="C3975" s="11" t="s">
        <v>3994</v>
      </c>
      <c r="D3975" s="1" t="s">
        <v>2901</v>
      </c>
      <c r="E3975" s="1" t="s">
        <v>20</v>
      </c>
      <c r="F3975" s="1" t="str">
        <f aca="false">TEXT(B3975,"mmm-yyyy")</f>
        <v>Dec-2024</v>
      </c>
    </row>
    <row r="3976" customFormat="false" ht="87" hidden="false" customHeight="true" outlineLevel="0" collapsed="false">
      <c r="A3976" s="1" t="n">
        <v>1</v>
      </c>
      <c r="B3976" s="10" t="n">
        <v>45593</v>
      </c>
      <c r="C3976" s="11" t="s">
        <v>3995</v>
      </c>
      <c r="D3976" s="1" t="s">
        <v>2901</v>
      </c>
      <c r="E3976" s="1" t="s">
        <v>20</v>
      </c>
      <c r="F3976" s="1" t="str">
        <f aca="false">TEXT(B3976,"mmm-yyyy")</f>
        <v>Oct-2024</v>
      </c>
    </row>
    <row r="3977" customFormat="false" ht="57.75" hidden="false" customHeight="true" outlineLevel="0" collapsed="false">
      <c r="A3977" s="1" t="n">
        <v>1</v>
      </c>
      <c r="B3977" s="10" t="n">
        <v>45583</v>
      </c>
      <c r="C3977" s="11" t="s">
        <v>3996</v>
      </c>
      <c r="D3977" s="1" t="s">
        <v>2901</v>
      </c>
      <c r="E3977" s="1" t="s">
        <v>18</v>
      </c>
      <c r="F3977" s="1" t="str">
        <f aca="false">TEXT(B3977,"mmm-yyyy")</f>
        <v>Oct-2024</v>
      </c>
    </row>
    <row r="3978" customFormat="false" ht="72" hidden="false" customHeight="true" outlineLevel="0" collapsed="false">
      <c r="A3978" s="1" t="n">
        <v>1</v>
      </c>
      <c r="B3978" s="10" t="n">
        <v>45645</v>
      </c>
      <c r="C3978" s="11" t="s">
        <v>3997</v>
      </c>
      <c r="D3978" s="1" t="s">
        <v>2901</v>
      </c>
      <c r="E3978" s="1" t="s">
        <v>18</v>
      </c>
      <c r="F3978" s="1" t="str">
        <f aca="false">TEXT(B3978,"mmm-yyyy")</f>
        <v>Dec-2024</v>
      </c>
    </row>
    <row r="3979" customFormat="false" ht="57.75" hidden="false" customHeight="true" outlineLevel="0" collapsed="false">
      <c r="A3979" s="1" t="n">
        <v>1</v>
      </c>
      <c r="B3979" s="10" t="n">
        <v>45620</v>
      </c>
      <c r="C3979" s="11" t="s">
        <v>3998</v>
      </c>
      <c r="D3979" s="1" t="s">
        <v>2901</v>
      </c>
      <c r="E3979" s="1" t="s">
        <v>18</v>
      </c>
      <c r="F3979" s="1" t="str">
        <f aca="false">TEXT(B3979,"mmm-yyyy")</f>
        <v>Nov-2024</v>
      </c>
    </row>
    <row r="3980" customFormat="false" ht="101.25" hidden="false" customHeight="true" outlineLevel="0" collapsed="false">
      <c r="A3980" s="1" t="n">
        <v>1</v>
      </c>
      <c r="B3980" s="10" t="n">
        <v>45575</v>
      </c>
      <c r="C3980" s="11" t="s">
        <v>3999</v>
      </c>
      <c r="D3980" s="1" t="s">
        <v>2901</v>
      </c>
      <c r="E3980" s="1" t="s">
        <v>18</v>
      </c>
      <c r="F3980" s="1" t="str">
        <f aca="false">TEXT(B3980,"mmm-yyyy")</f>
        <v>Oct-2024</v>
      </c>
    </row>
    <row r="3981" customFormat="false" ht="87" hidden="false" customHeight="true" outlineLevel="0" collapsed="false">
      <c r="A3981" s="1" t="n">
        <v>1</v>
      </c>
      <c r="B3981" s="10" t="n">
        <v>45604</v>
      </c>
      <c r="C3981" s="11" t="s">
        <v>4000</v>
      </c>
      <c r="D3981" s="1" t="s">
        <v>2901</v>
      </c>
      <c r="E3981" s="1" t="s">
        <v>18</v>
      </c>
      <c r="F3981" s="1" t="str">
        <f aca="false">TEXT(B3981,"mmm-yyyy")</f>
        <v>Nov-2024</v>
      </c>
    </row>
    <row r="3982" customFormat="false" ht="101.25" hidden="false" customHeight="true" outlineLevel="0" collapsed="false">
      <c r="A3982" s="1" t="n">
        <v>1</v>
      </c>
      <c r="B3982" s="10" t="n">
        <v>45602</v>
      </c>
      <c r="C3982" s="11" t="s">
        <v>4001</v>
      </c>
      <c r="D3982" s="1" t="s">
        <v>2901</v>
      </c>
      <c r="E3982" s="1" t="s">
        <v>20</v>
      </c>
      <c r="F3982" s="1" t="str">
        <f aca="false">TEXT(B3982,"mmm-yyyy")</f>
        <v>Nov-2024</v>
      </c>
    </row>
    <row r="3983" customFormat="false" ht="57.75" hidden="false" customHeight="true" outlineLevel="0" collapsed="false">
      <c r="A3983" s="1" t="n">
        <v>1</v>
      </c>
      <c r="B3983" s="10" t="n">
        <v>45624</v>
      </c>
      <c r="C3983" s="11" t="s">
        <v>4002</v>
      </c>
      <c r="D3983" s="1" t="s">
        <v>2901</v>
      </c>
      <c r="E3983" s="1" t="s">
        <v>20</v>
      </c>
      <c r="F3983" s="1" t="str">
        <f aca="false">TEXT(B3983,"mmm-yyyy")</f>
        <v>Nov-2024</v>
      </c>
    </row>
    <row r="3984" customFormat="false" ht="130.5" hidden="false" customHeight="true" outlineLevel="0" collapsed="false">
      <c r="A3984" s="1" t="n">
        <v>1</v>
      </c>
      <c r="B3984" s="10" t="n">
        <v>45595</v>
      </c>
      <c r="C3984" s="11" t="s">
        <v>4003</v>
      </c>
      <c r="D3984" s="1" t="s">
        <v>2901</v>
      </c>
      <c r="E3984" s="1" t="s">
        <v>20</v>
      </c>
      <c r="F3984" s="1" t="str">
        <f aca="false">TEXT(B3984,"mmm-yyyy")</f>
        <v>Oct-2024</v>
      </c>
    </row>
    <row r="3985" customFormat="false" ht="57.75" hidden="false" customHeight="true" outlineLevel="0" collapsed="false">
      <c r="A3985" s="1" t="n">
        <v>1</v>
      </c>
      <c r="B3985" s="10" t="n">
        <v>45591</v>
      </c>
      <c r="C3985" s="11" t="s">
        <v>4004</v>
      </c>
      <c r="D3985" s="1" t="s">
        <v>2901</v>
      </c>
      <c r="E3985" s="1" t="s">
        <v>20</v>
      </c>
      <c r="F3985" s="1" t="str">
        <f aca="false">TEXT(B3985,"mmm-yyyy")</f>
        <v>Oct-2024</v>
      </c>
    </row>
    <row r="3986" customFormat="false" ht="130.5" hidden="false" customHeight="true" outlineLevel="0" collapsed="false">
      <c r="A3986" s="1" t="n">
        <v>1</v>
      </c>
      <c r="B3986" s="10" t="n">
        <v>45583</v>
      </c>
      <c r="C3986" s="11" t="s">
        <v>4005</v>
      </c>
      <c r="D3986" s="1" t="s">
        <v>2901</v>
      </c>
      <c r="E3986" s="1" t="s">
        <v>20</v>
      </c>
      <c r="F3986" s="1" t="str">
        <f aca="false">TEXT(B3986,"mmm-yyyy")</f>
        <v>Oct-2024</v>
      </c>
    </row>
    <row r="3987" customFormat="false" ht="87" hidden="false" customHeight="true" outlineLevel="0" collapsed="false">
      <c r="A3987" s="1" t="n">
        <v>1</v>
      </c>
      <c r="B3987" s="10" t="n">
        <v>45573</v>
      </c>
      <c r="C3987" s="11" t="s">
        <v>4006</v>
      </c>
      <c r="D3987" s="1" t="s">
        <v>2901</v>
      </c>
      <c r="E3987" s="1" t="s">
        <v>20</v>
      </c>
      <c r="F3987" s="1" t="str">
        <f aca="false">TEXT(B3987,"mmm-yyyy")</f>
        <v>Oct-2024</v>
      </c>
    </row>
    <row r="3988" customFormat="false" ht="57.75" hidden="false" customHeight="true" outlineLevel="0" collapsed="false">
      <c r="A3988" s="1" t="n">
        <v>1</v>
      </c>
      <c r="B3988" s="10" t="n">
        <v>45627</v>
      </c>
      <c r="C3988" s="11" t="s">
        <v>4007</v>
      </c>
      <c r="D3988" s="1" t="s">
        <v>2901</v>
      </c>
      <c r="E3988" s="1" t="s">
        <v>20</v>
      </c>
      <c r="F3988" s="1" t="str">
        <f aca="false">TEXT(B3988,"mmm-yyyy")</f>
        <v>Dec-2024</v>
      </c>
    </row>
    <row r="3989" customFormat="false" ht="57.75" hidden="false" customHeight="true" outlineLevel="0" collapsed="false">
      <c r="A3989" s="1" t="n">
        <v>1</v>
      </c>
      <c r="B3989" s="10" t="n">
        <v>45594</v>
      </c>
      <c r="C3989" s="11" t="s">
        <v>4008</v>
      </c>
      <c r="D3989" s="1" t="s">
        <v>2901</v>
      </c>
      <c r="E3989" s="1" t="s">
        <v>20</v>
      </c>
      <c r="F3989" s="1" t="str">
        <f aca="false">TEXT(B3989,"mmm-yyyy")</f>
        <v>Oct-2024</v>
      </c>
    </row>
    <row r="3990" customFormat="false" ht="130.5" hidden="false" customHeight="true" outlineLevel="0" collapsed="false">
      <c r="A3990" s="1" t="n">
        <v>1</v>
      </c>
      <c r="B3990" s="10" t="n">
        <v>45593</v>
      </c>
      <c r="C3990" s="11" t="s">
        <v>4009</v>
      </c>
      <c r="D3990" s="1" t="s">
        <v>2901</v>
      </c>
      <c r="E3990" s="1" t="s">
        <v>18</v>
      </c>
      <c r="F3990" s="1" t="str">
        <f aca="false">TEXT(B3990,"mmm-yyyy")</f>
        <v>Oct-2024</v>
      </c>
    </row>
    <row r="3991" customFormat="false" ht="57.75" hidden="false" customHeight="true" outlineLevel="0" collapsed="false">
      <c r="A3991" s="1" t="n">
        <v>5</v>
      </c>
      <c r="B3991" s="10" t="n">
        <v>45592</v>
      </c>
      <c r="C3991" s="11" t="s">
        <v>4010</v>
      </c>
      <c r="D3991" s="1" t="s">
        <v>2901</v>
      </c>
      <c r="E3991" s="1" t="s">
        <v>18</v>
      </c>
      <c r="F3991" s="1" t="str">
        <f aca="false">TEXT(B3991,"mmm-yyyy")</f>
        <v>Oct-2024</v>
      </c>
    </row>
    <row r="3992" customFormat="false" ht="72" hidden="false" customHeight="true" outlineLevel="0" collapsed="false">
      <c r="A3992" s="1" t="n">
        <v>1</v>
      </c>
      <c r="B3992" s="10" t="n">
        <v>45611</v>
      </c>
      <c r="C3992" s="11" t="s">
        <v>4011</v>
      </c>
      <c r="D3992" s="1" t="s">
        <v>2901</v>
      </c>
      <c r="E3992" s="1" t="s">
        <v>18</v>
      </c>
      <c r="F3992" s="1" t="str">
        <f aca="false">TEXT(B3992,"mmm-yyyy")</f>
        <v>Nov-2024</v>
      </c>
    </row>
    <row r="3993" customFormat="false" ht="87" hidden="false" customHeight="true" outlineLevel="0" collapsed="false">
      <c r="A3993" s="1" t="n">
        <v>1</v>
      </c>
      <c r="B3993" s="10" t="n">
        <v>45585</v>
      </c>
      <c r="C3993" s="11" t="s">
        <v>4012</v>
      </c>
      <c r="D3993" s="1" t="s">
        <v>2901</v>
      </c>
      <c r="E3993" s="1" t="s">
        <v>20</v>
      </c>
      <c r="F3993" s="1" t="str">
        <f aca="false">TEXT(B3993,"mmm-yyyy")</f>
        <v>Oct-2024</v>
      </c>
    </row>
    <row r="3994" customFormat="false" ht="87" hidden="false" customHeight="true" outlineLevel="0" collapsed="false">
      <c r="A3994" s="1" t="n">
        <v>1</v>
      </c>
      <c r="B3994" s="10" t="n">
        <v>45607</v>
      </c>
      <c r="C3994" s="11" t="s">
        <v>4013</v>
      </c>
      <c r="D3994" s="1" t="s">
        <v>2901</v>
      </c>
      <c r="E3994" s="1" t="s">
        <v>20</v>
      </c>
      <c r="F3994" s="1" t="str">
        <f aca="false">TEXT(B3994,"mmm-yyyy")</f>
        <v>Nov-2024</v>
      </c>
    </row>
    <row r="3995" customFormat="false" ht="57.75" hidden="false" customHeight="true" outlineLevel="0" collapsed="false">
      <c r="A3995" s="1" t="n">
        <v>1</v>
      </c>
      <c r="B3995" s="10" t="n">
        <v>45601</v>
      </c>
      <c r="C3995" s="11" t="s">
        <v>4014</v>
      </c>
      <c r="D3995" s="1" t="s">
        <v>2901</v>
      </c>
      <c r="E3995" s="1" t="s">
        <v>20</v>
      </c>
      <c r="F3995" s="1" t="str">
        <f aca="false">TEXT(B3995,"mmm-yyyy")</f>
        <v>Nov-2024</v>
      </c>
    </row>
    <row r="3996" customFormat="false" ht="57.75" hidden="false" customHeight="true" outlineLevel="0" collapsed="false">
      <c r="A3996" s="1" t="n">
        <v>2</v>
      </c>
      <c r="B3996" s="10" t="n">
        <v>45616</v>
      </c>
      <c r="C3996" s="11" t="s">
        <v>4015</v>
      </c>
      <c r="D3996" s="1" t="s">
        <v>2901</v>
      </c>
      <c r="E3996" s="1" t="s">
        <v>18</v>
      </c>
      <c r="F3996" s="1" t="str">
        <f aca="false">TEXT(B3996,"mmm-yyyy")</f>
        <v>Nov-2024</v>
      </c>
    </row>
    <row r="3997" customFormat="false" ht="57.75" hidden="false" customHeight="true" outlineLevel="0" collapsed="false">
      <c r="A3997" s="1" t="n">
        <v>1</v>
      </c>
      <c r="B3997" s="10" t="n">
        <v>45590</v>
      </c>
      <c r="C3997" s="11" t="s">
        <v>4016</v>
      </c>
      <c r="D3997" s="1" t="s">
        <v>2901</v>
      </c>
      <c r="E3997" s="1" t="s">
        <v>20</v>
      </c>
      <c r="F3997" s="1" t="str">
        <f aca="false">TEXT(B3997,"mmm-yyyy")</f>
        <v>Oct-2024</v>
      </c>
    </row>
    <row r="3998" customFormat="false" ht="87" hidden="false" customHeight="true" outlineLevel="0" collapsed="false">
      <c r="A3998" s="1" t="n">
        <v>1</v>
      </c>
      <c r="B3998" s="10" t="n">
        <v>45628</v>
      </c>
      <c r="C3998" s="11" t="s">
        <v>4017</v>
      </c>
      <c r="D3998" s="1" t="s">
        <v>2901</v>
      </c>
      <c r="E3998" s="1" t="s">
        <v>18</v>
      </c>
      <c r="F3998" s="1" t="str">
        <f aca="false">TEXT(B3998,"mmm-yyyy")</f>
        <v>Dec-2024</v>
      </c>
    </row>
    <row r="3999" customFormat="false" ht="130.5" hidden="false" customHeight="true" outlineLevel="0" collapsed="false">
      <c r="A3999" s="1" t="n">
        <v>1</v>
      </c>
      <c r="B3999" s="10" t="n">
        <v>45597</v>
      </c>
      <c r="C3999" s="11" t="s">
        <v>4018</v>
      </c>
      <c r="D3999" s="1" t="s">
        <v>2901</v>
      </c>
      <c r="E3999" s="1" t="s">
        <v>20</v>
      </c>
      <c r="F3999" s="1" t="str">
        <f aca="false">TEXT(B3999,"mmm-yyyy")</f>
        <v>Nov-2024</v>
      </c>
    </row>
    <row r="4000" customFormat="false" ht="57.75" hidden="false" customHeight="true" outlineLevel="0" collapsed="false">
      <c r="A4000" s="1" t="n">
        <v>2</v>
      </c>
      <c r="B4000" s="10" t="n">
        <v>45635</v>
      </c>
      <c r="C4000" s="11" t="s">
        <v>4019</v>
      </c>
      <c r="D4000" s="1" t="s">
        <v>2901</v>
      </c>
      <c r="E4000" s="1" t="s">
        <v>32</v>
      </c>
      <c r="F4000" s="1" t="str">
        <f aca="false">TEXT(B4000,"mmm-yyyy")</f>
        <v>Dec-2024</v>
      </c>
    </row>
    <row r="4001" customFormat="false" ht="72" hidden="false" customHeight="true" outlineLevel="0" collapsed="false">
      <c r="A4001" s="1" t="n">
        <v>1</v>
      </c>
      <c r="B4001" s="10" t="n">
        <v>45640</v>
      </c>
      <c r="C4001" s="11" t="s">
        <v>4020</v>
      </c>
      <c r="D4001" s="1" t="s">
        <v>2901</v>
      </c>
      <c r="E4001" s="1" t="s">
        <v>20</v>
      </c>
      <c r="F4001" s="1" t="str">
        <f aca="false">TEXT(B4001,"mmm-yyyy")</f>
        <v>Dec-2024</v>
      </c>
    </row>
    <row r="4002" customFormat="false" ht="87" hidden="false" customHeight="true" outlineLevel="0" collapsed="false">
      <c r="A4002" s="1" t="n">
        <v>1</v>
      </c>
      <c r="B4002" s="10" t="n">
        <v>45606</v>
      </c>
      <c r="C4002" s="11" t="s">
        <v>4021</v>
      </c>
      <c r="D4002" s="1" t="s">
        <v>2901</v>
      </c>
      <c r="E4002" s="1" t="s">
        <v>18</v>
      </c>
      <c r="F4002" s="1" t="str">
        <f aca="false">TEXT(B4002,"mmm-yyyy")</f>
        <v>Nov-2024</v>
      </c>
    </row>
    <row r="4003" customFormat="false" ht="87" hidden="false" customHeight="true" outlineLevel="0" collapsed="false">
      <c r="A4003" s="1" t="n">
        <v>1</v>
      </c>
      <c r="B4003" s="10" t="n">
        <v>45638</v>
      </c>
      <c r="C4003" s="11" t="s">
        <v>4022</v>
      </c>
      <c r="D4003" s="1" t="s">
        <v>2901</v>
      </c>
      <c r="E4003" s="1" t="s">
        <v>18</v>
      </c>
      <c r="F4003" s="1" t="str">
        <f aca="false">TEXT(B4003,"mmm-yyyy")</f>
        <v>Dec-2024</v>
      </c>
    </row>
    <row r="4004" customFormat="false" ht="87" hidden="false" customHeight="true" outlineLevel="0" collapsed="false">
      <c r="A4004" s="1" t="n">
        <v>1</v>
      </c>
      <c r="B4004" s="10" t="n">
        <v>45624</v>
      </c>
      <c r="C4004" s="11" t="s">
        <v>4023</v>
      </c>
      <c r="D4004" s="1" t="s">
        <v>2901</v>
      </c>
      <c r="E4004" s="1" t="s">
        <v>18</v>
      </c>
      <c r="F4004" s="1" t="str">
        <f aca="false">TEXT(B4004,"mmm-yyyy")</f>
        <v>Nov-2024</v>
      </c>
    </row>
    <row r="4005" customFormat="false" ht="115.5" hidden="false" customHeight="true" outlineLevel="0" collapsed="false">
      <c r="A4005" s="1" t="n">
        <v>1</v>
      </c>
      <c r="B4005" s="10" t="n">
        <v>45611</v>
      </c>
      <c r="C4005" s="11" t="s">
        <v>4024</v>
      </c>
      <c r="D4005" s="1" t="s">
        <v>2901</v>
      </c>
      <c r="E4005" s="1" t="s">
        <v>18</v>
      </c>
      <c r="F4005" s="1" t="str">
        <f aca="false">TEXT(B4005,"mmm-yyyy")</f>
        <v>Nov-2024</v>
      </c>
    </row>
    <row r="4006" customFormat="false" ht="72" hidden="false" customHeight="true" outlineLevel="0" collapsed="false">
      <c r="A4006" s="1" t="n">
        <v>1</v>
      </c>
      <c r="B4006" s="10" t="n">
        <v>45587</v>
      </c>
      <c r="C4006" s="11" t="s">
        <v>4025</v>
      </c>
      <c r="D4006" s="1" t="s">
        <v>2901</v>
      </c>
      <c r="E4006" s="1" t="s">
        <v>20</v>
      </c>
      <c r="F4006" s="1" t="str">
        <f aca="false">TEXT(B4006,"mmm-yyyy")</f>
        <v>Oct-2024</v>
      </c>
    </row>
    <row r="4007" customFormat="false" ht="101.25" hidden="false" customHeight="true" outlineLevel="0" collapsed="false">
      <c r="A4007" s="1" t="n">
        <v>1</v>
      </c>
      <c r="B4007" s="10" t="n">
        <v>45588</v>
      </c>
      <c r="C4007" s="11" t="s">
        <v>4026</v>
      </c>
      <c r="D4007" s="1" t="s">
        <v>2901</v>
      </c>
      <c r="E4007" s="1" t="s">
        <v>32</v>
      </c>
      <c r="F4007" s="1" t="str">
        <f aca="false">TEXT(B4007,"mmm-yyyy")</f>
        <v>Oct-2024</v>
      </c>
    </row>
    <row r="4008" customFormat="false" ht="72" hidden="false" customHeight="true" outlineLevel="0" collapsed="false">
      <c r="A4008" s="1" t="n">
        <v>1</v>
      </c>
      <c r="B4008" s="10" t="n">
        <v>45633</v>
      </c>
      <c r="C4008" s="11" t="s">
        <v>4027</v>
      </c>
      <c r="D4008" s="1" t="s">
        <v>2901</v>
      </c>
      <c r="E4008" s="1" t="s">
        <v>18</v>
      </c>
      <c r="F4008" s="1" t="str">
        <f aca="false">TEXT(B4008,"mmm-yyyy")</f>
        <v>Dec-2024</v>
      </c>
    </row>
    <row r="4009" customFormat="false" ht="72" hidden="false" customHeight="true" outlineLevel="0" collapsed="false">
      <c r="A4009" s="1" t="n">
        <v>1</v>
      </c>
      <c r="B4009" s="10" t="n">
        <v>45633</v>
      </c>
      <c r="C4009" s="11" t="s">
        <v>4028</v>
      </c>
      <c r="D4009" s="1" t="s">
        <v>2901</v>
      </c>
      <c r="E4009" s="1" t="s">
        <v>20</v>
      </c>
      <c r="F4009" s="1" t="str">
        <f aca="false">TEXT(B4009,"mmm-yyyy")</f>
        <v>Dec-2024</v>
      </c>
    </row>
    <row r="4010" customFormat="false" ht="101.25" hidden="false" customHeight="true" outlineLevel="0" collapsed="false">
      <c r="A4010" s="1" t="n">
        <v>3</v>
      </c>
      <c r="B4010" s="10" t="n">
        <v>45596</v>
      </c>
      <c r="C4010" s="11" t="s">
        <v>4029</v>
      </c>
      <c r="D4010" s="1" t="s">
        <v>2901</v>
      </c>
      <c r="E4010" s="1" t="s">
        <v>18</v>
      </c>
      <c r="F4010" s="1" t="str">
        <f aca="false">TEXT(B4010,"mmm-yyyy")</f>
        <v>Oct-2024</v>
      </c>
    </row>
    <row r="4011" customFormat="false" ht="130.5" hidden="false" customHeight="true" outlineLevel="0" collapsed="false">
      <c r="A4011" s="1" t="n">
        <v>1</v>
      </c>
      <c r="B4011" s="10" t="n">
        <v>45623</v>
      </c>
      <c r="C4011" s="11" t="s">
        <v>4030</v>
      </c>
      <c r="D4011" s="1" t="s">
        <v>2901</v>
      </c>
      <c r="E4011" s="1" t="s">
        <v>20</v>
      </c>
      <c r="F4011" s="1" t="str">
        <f aca="false">TEXT(B4011,"mmm-yyyy")</f>
        <v>Nov-2024</v>
      </c>
    </row>
    <row r="4012" customFormat="false" ht="57.75" hidden="false" customHeight="true" outlineLevel="0" collapsed="false">
      <c r="A4012" s="1" t="n">
        <v>1</v>
      </c>
      <c r="B4012" s="10" t="n">
        <v>45573</v>
      </c>
      <c r="C4012" s="11" t="s">
        <v>4031</v>
      </c>
      <c r="D4012" s="1" t="s">
        <v>2901</v>
      </c>
      <c r="E4012" s="1" t="s">
        <v>32</v>
      </c>
      <c r="F4012" s="1" t="str">
        <f aca="false">TEXT(B4012,"mmm-yyyy")</f>
        <v>Oct-2024</v>
      </c>
    </row>
    <row r="4013" customFormat="false" ht="43.5" hidden="false" customHeight="true" outlineLevel="0" collapsed="false">
      <c r="A4013" s="1" t="n">
        <v>1</v>
      </c>
      <c r="B4013" s="10" t="n">
        <v>45597</v>
      </c>
      <c r="C4013" s="11" t="s">
        <v>4032</v>
      </c>
      <c r="D4013" s="1" t="s">
        <v>2901</v>
      </c>
      <c r="E4013" s="1" t="s">
        <v>20</v>
      </c>
      <c r="F4013" s="1" t="str">
        <f aca="false">TEXT(B4013,"mmm-yyyy")</f>
        <v>Nov-2024</v>
      </c>
    </row>
    <row r="4014" customFormat="false" ht="130.5" hidden="false" customHeight="true" outlineLevel="0" collapsed="false">
      <c r="A4014" s="1" t="n">
        <v>1</v>
      </c>
      <c r="B4014" s="10" t="n">
        <v>45584</v>
      </c>
      <c r="C4014" s="11" t="s">
        <v>4033</v>
      </c>
      <c r="D4014" s="1" t="s">
        <v>2901</v>
      </c>
      <c r="E4014" s="1" t="s">
        <v>20</v>
      </c>
      <c r="F4014" s="1" t="str">
        <f aca="false">TEXT(B4014,"mmm-yyyy")</f>
        <v>Oct-2024</v>
      </c>
    </row>
    <row r="4015" customFormat="false" ht="115.5" hidden="false" customHeight="true" outlineLevel="0" collapsed="false">
      <c r="A4015" s="1" t="n">
        <v>1</v>
      </c>
      <c r="B4015" s="10" t="n">
        <v>45633</v>
      </c>
      <c r="C4015" s="11" t="s">
        <v>4034</v>
      </c>
      <c r="D4015" s="1" t="s">
        <v>2901</v>
      </c>
      <c r="E4015" s="1" t="s">
        <v>18</v>
      </c>
      <c r="F4015" s="1" t="str">
        <f aca="false">TEXT(B4015,"mmm-yyyy")</f>
        <v>Dec-2024</v>
      </c>
    </row>
    <row r="4016" customFormat="false" ht="72" hidden="false" customHeight="true" outlineLevel="0" collapsed="false">
      <c r="A4016" s="1" t="n">
        <v>1</v>
      </c>
      <c r="B4016" s="10" t="n">
        <v>45579</v>
      </c>
      <c r="C4016" s="11" t="s">
        <v>4035</v>
      </c>
      <c r="D4016" s="1" t="s">
        <v>2901</v>
      </c>
      <c r="E4016" s="1" t="s">
        <v>20</v>
      </c>
      <c r="F4016" s="1" t="str">
        <f aca="false">TEXT(B4016,"mmm-yyyy")</f>
        <v>Oct-2024</v>
      </c>
    </row>
    <row r="4017" customFormat="false" ht="72" hidden="false" customHeight="true" outlineLevel="0" collapsed="false">
      <c r="A4017" s="1" t="n">
        <v>1</v>
      </c>
      <c r="B4017" s="10" t="n">
        <v>45617</v>
      </c>
      <c r="C4017" s="11" t="s">
        <v>4036</v>
      </c>
      <c r="D4017" s="1" t="s">
        <v>2901</v>
      </c>
      <c r="E4017" s="1" t="s">
        <v>18</v>
      </c>
      <c r="F4017" s="1" t="str">
        <f aca="false">TEXT(B4017,"mmm-yyyy")</f>
        <v>Nov-2024</v>
      </c>
    </row>
    <row r="4018" customFormat="false" ht="57.75" hidden="false" customHeight="true" outlineLevel="0" collapsed="false">
      <c r="A4018" s="1" t="n">
        <v>4</v>
      </c>
      <c r="B4018" s="10" t="n">
        <v>45651</v>
      </c>
      <c r="C4018" s="11" t="s">
        <v>4037</v>
      </c>
      <c r="D4018" s="1" t="s">
        <v>2901</v>
      </c>
      <c r="E4018" s="1" t="s">
        <v>18</v>
      </c>
      <c r="F4018" s="1" t="str">
        <f aca="false">TEXT(B4018,"mmm-yyyy")</f>
        <v>Dec-2024</v>
      </c>
    </row>
    <row r="4019" customFormat="false" ht="57.75" hidden="false" customHeight="true" outlineLevel="0" collapsed="false">
      <c r="A4019" s="1" t="n">
        <v>5</v>
      </c>
      <c r="B4019" s="10" t="n">
        <v>45606</v>
      </c>
      <c r="C4019" s="11" t="s">
        <v>4038</v>
      </c>
      <c r="D4019" s="1" t="s">
        <v>2901</v>
      </c>
      <c r="E4019" s="1" t="s">
        <v>18</v>
      </c>
      <c r="F4019" s="1" t="str">
        <f aca="false">TEXT(B4019,"mmm-yyyy")</f>
        <v>Nov-2024</v>
      </c>
    </row>
    <row r="4020" customFormat="false" ht="130.5" hidden="false" customHeight="true" outlineLevel="0" collapsed="false">
      <c r="A4020" s="1" t="n">
        <v>1</v>
      </c>
      <c r="B4020" s="10" t="n">
        <v>45630</v>
      </c>
      <c r="C4020" s="11" t="s">
        <v>4039</v>
      </c>
      <c r="D4020" s="1" t="s">
        <v>2901</v>
      </c>
      <c r="E4020" s="1" t="s">
        <v>18</v>
      </c>
      <c r="F4020" s="1" t="str">
        <f aca="false">TEXT(B4020,"mmm-yyyy")</f>
        <v>Dec-2024</v>
      </c>
    </row>
    <row r="4021" customFormat="false" ht="144.75" hidden="false" customHeight="true" outlineLevel="0" collapsed="false">
      <c r="A4021" s="1" t="n">
        <v>3</v>
      </c>
      <c r="B4021" s="10" t="n">
        <v>45623</v>
      </c>
      <c r="C4021" s="11" t="s">
        <v>4040</v>
      </c>
      <c r="D4021" s="1" t="s">
        <v>2901</v>
      </c>
      <c r="E4021" s="1" t="s">
        <v>18</v>
      </c>
      <c r="F4021" s="1" t="str">
        <f aca="false">TEXT(B4021,"mmm-yyyy")</f>
        <v>Nov-2024</v>
      </c>
    </row>
    <row r="4022" customFormat="false" ht="43.5" hidden="false" customHeight="true" outlineLevel="0" collapsed="false">
      <c r="A4022" s="1" t="n">
        <v>1</v>
      </c>
      <c r="B4022" s="10" t="n">
        <v>45635</v>
      </c>
      <c r="C4022" s="11" t="s">
        <v>4041</v>
      </c>
      <c r="D4022" s="1" t="s">
        <v>2901</v>
      </c>
      <c r="E4022" s="1" t="s">
        <v>18</v>
      </c>
      <c r="F4022" s="1" t="str">
        <f aca="false">TEXT(B4022,"mmm-yyyy")</f>
        <v>Dec-2024</v>
      </c>
    </row>
    <row r="4023" customFormat="false" ht="87" hidden="false" customHeight="true" outlineLevel="0" collapsed="false">
      <c r="A4023" s="1" t="n">
        <v>1</v>
      </c>
      <c r="B4023" s="10" t="n">
        <v>45633</v>
      </c>
      <c r="C4023" s="11" t="s">
        <v>4042</v>
      </c>
      <c r="D4023" s="1" t="s">
        <v>2901</v>
      </c>
      <c r="E4023" s="1" t="s">
        <v>20</v>
      </c>
      <c r="F4023" s="1" t="str">
        <f aca="false">TEXT(B4023,"mmm-yyyy")</f>
        <v>Dec-2024</v>
      </c>
    </row>
    <row r="4024" customFormat="false" ht="57.75" hidden="false" customHeight="true" outlineLevel="0" collapsed="false">
      <c r="A4024" s="1" t="n">
        <v>1</v>
      </c>
      <c r="B4024" s="10" t="n">
        <v>45656</v>
      </c>
      <c r="C4024" s="11" t="s">
        <v>4043</v>
      </c>
      <c r="D4024" s="1" t="s">
        <v>2901</v>
      </c>
      <c r="E4024" s="1" t="s">
        <v>20</v>
      </c>
      <c r="F4024" s="1" t="str">
        <f aca="false">TEXT(B4024,"mmm-yyyy")</f>
        <v>Dec-2024</v>
      </c>
    </row>
    <row r="4025" customFormat="false" ht="87" hidden="false" customHeight="true" outlineLevel="0" collapsed="false">
      <c r="A4025" s="1" t="n">
        <v>5</v>
      </c>
      <c r="B4025" s="10" t="n">
        <v>45602</v>
      </c>
      <c r="C4025" s="11" t="s">
        <v>4044</v>
      </c>
      <c r="D4025" s="1" t="s">
        <v>2901</v>
      </c>
      <c r="E4025" s="1" t="s">
        <v>18</v>
      </c>
      <c r="F4025" s="1" t="str">
        <f aca="false">TEXT(B4025,"mmm-yyyy")</f>
        <v>Nov-2024</v>
      </c>
    </row>
    <row r="4026" customFormat="false" ht="144.75" hidden="false" customHeight="true" outlineLevel="0" collapsed="false">
      <c r="A4026" s="1" t="n">
        <v>1</v>
      </c>
      <c r="B4026" s="10" t="n">
        <v>45657</v>
      </c>
      <c r="C4026" s="11" t="s">
        <v>4045</v>
      </c>
      <c r="D4026" s="1" t="s">
        <v>2901</v>
      </c>
      <c r="E4026" s="1" t="s">
        <v>20</v>
      </c>
      <c r="F4026" s="1" t="str">
        <f aca="false">TEXT(B4026,"mmm-yyyy")</f>
        <v>Dec-2024</v>
      </c>
    </row>
    <row r="4027" customFormat="false" ht="72" hidden="false" customHeight="true" outlineLevel="0" collapsed="false">
      <c r="A4027" s="1" t="n">
        <v>1</v>
      </c>
      <c r="B4027" s="10" t="n">
        <v>45619</v>
      </c>
      <c r="C4027" s="11" t="s">
        <v>4046</v>
      </c>
      <c r="D4027" s="1" t="s">
        <v>2901</v>
      </c>
      <c r="E4027" s="1" t="s">
        <v>20</v>
      </c>
      <c r="F4027" s="1" t="str">
        <f aca="false">TEXT(B4027,"mmm-yyyy")</f>
        <v>Nov-2024</v>
      </c>
    </row>
    <row r="4028" customFormat="false" ht="87" hidden="false" customHeight="true" outlineLevel="0" collapsed="false">
      <c r="A4028" s="1" t="n">
        <v>1</v>
      </c>
      <c r="B4028" s="10" t="n">
        <v>45585</v>
      </c>
      <c r="C4028" s="11" t="s">
        <v>4047</v>
      </c>
      <c r="D4028" s="1" t="s">
        <v>2901</v>
      </c>
      <c r="E4028" s="1" t="s">
        <v>20</v>
      </c>
      <c r="F4028" s="1" t="str">
        <f aca="false">TEXT(B4028,"mmm-yyyy")</f>
        <v>Oct-2024</v>
      </c>
    </row>
    <row r="4029" customFormat="false" ht="72" hidden="false" customHeight="true" outlineLevel="0" collapsed="false">
      <c r="A4029" s="1" t="n">
        <v>1</v>
      </c>
      <c r="B4029" s="10" t="n">
        <v>45618</v>
      </c>
      <c r="C4029" s="11" t="s">
        <v>4048</v>
      </c>
      <c r="D4029" s="1" t="s">
        <v>2901</v>
      </c>
      <c r="E4029" s="1" t="s">
        <v>18</v>
      </c>
      <c r="F4029" s="1" t="str">
        <f aca="false">TEXT(B4029,"mmm-yyyy")</f>
        <v>Nov-2024</v>
      </c>
    </row>
    <row r="4030" customFormat="false" ht="87" hidden="false" customHeight="true" outlineLevel="0" collapsed="false">
      <c r="A4030" s="1" t="n">
        <v>1</v>
      </c>
      <c r="B4030" s="10" t="n">
        <v>45630</v>
      </c>
      <c r="C4030" s="11" t="s">
        <v>4049</v>
      </c>
      <c r="D4030" s="1" t="s">
        <v>2901</v>
      </c>
      <c r="E4030" s="1" t="s">
        <v>20</v>
      </c>
      <c r="F4030" s="1" t="str">
        <f aca="false">TEXT(B4030,"mmm-yyyy")</f>
        <v>Dec-2024</v>
      </c>
    </row>
    <row r="4031" customFormat="false" ht="57.75" hidden="false" customHeight="true" outlineLevel="0" collapsed="false">
      <c r="A4031" s="1" t="n">
        <v>1</v>
      </c>
      <c r="B4031" s="10" t="n">
        <v>45630</v>
      </c>
      <c r="C4031" s="11" t="s">
        <v>4050</v>
      </c>
      <c r="D4031" s="1" t="s">
        <v>2901</v>
      </c>
      <c r="E4031" s="1" t="s">
        <v>20</v>
      </c>
      <c r="F4031" s="1" t="str">
        <f aca="false">TEXT(B4031,"mmm-yyyy")</f>
        <v>Dec-2024</v>
      </c>
    </row>
    <row r="4032" customFormat="false" ht="101.25" hidden="false" customHeight="true" outlineLevel="0" collapsed="false">
      <c r="A4032" s="1" t="n">
        <v>2</v>
      </c>
      <c r="B4032" s="10" t="n">
        <v>45599</v>
      </c>
      <c r="C4032" s="11" t="s">
        <v>4051</v>
      </c>
      <c r="D4032" s="1" t="s">
        <v>2901</v>
      </c>
      <c r="E4032" s="1" t="s">
        <v>20</v>
      </c>
      <c r="F4032" s="1" t="str">
        <f aca="false">TEXT(B4032,"mmm-yyyy")</f>
        <v>Nov-2024</v>
      </c>
    </row>
    <row r="4033" customFormat="false" ht="72" hidden="false" customHeight="true" outlineLevel="0" collapsed="false">
      <c r="A4033" s="1" t="n">
        <v>1</v>
      </c>
      <c r="B4033" s="10" t="n">
        <v>45587</v>
      </c>
      <c r="C4033" s="11" t="s">
        <v>4052</v>
      </c>
      <c r="D4033" s="1" t="s">
        <v>2901</v>
      </c>
      <c r="E4033" s="1" t="s">
        <v>20</v>
      </c>
      <c r="F4033" s="1" t="str">
        <f aca="false">TEXT(B4033,"mmm-yyyy")</f>
        <v>Oct-2024</v>
      </c>
    </row>
    <row r="4034" customFormat="false" ht="43.5" hidden="false" customHeight="true" outlineLevel="0" collapsed="false">
      <c r="A4034" s="1" t="n">
        <v>1</v>
      </c>
      <c r="B4034" s="10" t="n">
        <v>45619</v>
      </c>
      <c r="C4034" s="11" t="s">
        <v>4053</v>
      </c>
      <c r="D4034" s="1" t="s">
        <v>2901</v>
      </c>
      <c r="E4034" s="1" t="s">
        <v>20</v>
      </c>
      <c r="F4034" s="1" t="str">
        <f aca="false">TEXT(B4034,"mmm-yyyy")</f>
        <v>Nov-2024</v>
      </c>
    </row>
    <row r="4035" customFormat="false" ht="101.25" hidden="false" customHeight="true" outlineLevel="0" collapsed="false">
      <c r="A4035" s="1" t="n">
        <v>1</v>
      </c>
      <c r="B4035" s="10" t="n">
        <v>45617</v>
      </c>
      <c r="C4035" s="11" t="s">
        <v>4054</v>
      </c>
      <c r="D4035" s="1" t="s">
        <v>2901</v>
      </c>
      <c r="E4035" s="1" t="s">
        <v>20</v>
      </c>
      <c r="F4035" s="1" t="str">
        <f aca="false">TEXT(B4035,"mmm-yyyy")</f>
        <v>Nov-2024</v>
      </c>
    </row>
    <row r="4036" customFormat="false" ht="115.5" hidden="false" customHeight="true" outlineLevel="0" collapsed="false">
      <c r="A4036" s="1" t="n">
        <v>1</v>
      </c>
      <c r="B4036" s="10" t="n">
        <v>45600</v>
      </c>
      <c r="C4036" s="11" t="s">
        <v>4055</v>
      </c>
      <c r="D4036" s="1" t="s">
        <v>2901</v>
      </c>
      <c r="E4036" s="1" t="s">
        <v>20</v>
      </c>
      <c r="F4036" s="1" t="str">
        <f aca="false">TEXT(B4036,"mmm-yyyy")</f>
        <v>Nov-2024</v>
      </c>
    </row>
    <row r="4037" customFormat="false" ht="101.25" hidden="false" customHeight="true" outlineLevel="0" collapsed="false">
      <c r="A4037" s="1" t="n">
        <v>3</v>
      </c>
      <c r="B4037" s="10" t="n">
        <v>45591</v>
      </c>
      <c r="C4037" s="11" t="s">
        <v>4056</v>
      </c>
      <c r="D4037" s="1" t="s">
        <v>2901</v>
      </c>
      <c r="E4037" s="1" t="s">
        <v>18</v>
      </c>
      <c r="F4037" s="1" t="str">
        <f aca="false">TEXT(B4037,"mmm-yyyy")</f>
        <v>Oct-2024</v>
      </c>
    </row>
    <row r="4038" customFormat="false" ht="101.25" hidden="false" customHeight="true" outlineLevel="0" collapsed="false">
      <c r="A4038" s="1" t="n">
        <v>5</v>
      </c>
      <c r="B4038" s="10" t="n">
        <v>45602</v>
      </c>
      <c r="C4038" s="11" t="s">
        <v>4057</v>
      </c>
      <c r="D4038" s="1" t="s">
        <v>2901</v>
      </c>
      <c r="E4038" s="1" t="s">
        <v>18</v>
      </c>
      <c r="F4038" s="1" t="str">
        <f aca="false">TEXT(B4038,"mmm-yyyy")</f>
        <v>Nov-2024</v>
      </c>
    </row>
    <row r="4039" customFormat="false" ht="144.75" hidden="false" customHeight="true" outlineLevel="0" collapsed="false">
      <c r="A4039" s="1" t="n">
        <v>5</v>
      </c>
      <c r="B4039" s="10" t="n">
        <v>45597</v>
      </c>
      <c r="C4039" s="11" t="s">
        <v>4058</v>
      </c>
      <c r="D4039" s="1" t="s">
        <v>2901</v>
      </c>
      <c r="E4039" s="1" t="s">
        <v>18</v>
      </c>
      <c r="F4039" s="1" t="str">
        <f aca="false">TEXT(B4039,"mmm-yyyy")</f>
        <v>Nov-2024</v>
      </c>
    </row>
    <row r="4040" customFormat="false" ht="57.75" hidden="false" customHeight="true" outlineLevel="0" collapsed="false">
      <c r="A4040" s="1" t="n">
        <v>1</v>
      </c>
      <c r="B4040" s="10" t="n">
        <v>45631</v>
      </c>
      <c r="C4040" s="11" t="s">
        <v>4059</v>
      </c>
      <c r="D4040" s="1" t="s">
        <v>2901</v>
      </c>
      <c r="E4040" s="1" t="s">
        <v>20</v>
      </c>
      <c r="F4040" s="1" t="str">
        <f aca="false">TEXT(B4040,"mmm-yyyy")</f>
        <v>Dec-2024</v>
      </c>
    </row>
    <row r="4041" customFormat="false" ht="72" hidden="false" customHeight="true" outlineLevel="0" collapsed="false">
      <c r="A4041" s="1" t="n">
        <v>1</v>
      </c>
      <c r="B4041" s="10" t="n">
        <v>45635</v>
      </c>
      <c r="C4041" s="11" t="s">
        <v>4060</v>
      </c>
      <c r="D4041" s="1" t="s">
        <v>2901</v>
      </c>
      <c r="E4041" s="1" t="s">
        <v>20</v>
      </c>
      <c r="F4041" s="1" t="str">
        <f aca="false">TEXT(B4041,"mmm-yyyy")</f>
        <v>Dec-2024</v>
      </c>
    </row>
    <row r="4042" customFormat="false" ht="72" hidden="false" customHeight="true" outlineLevel="0" collapsed="false">
      <c r="A4042" s="1" t="n">
        <v>1</v>
      </c>
      <c r="B4042" s="10" t="n">
        <v>45603</v>
      </c>
      <c r="C4042" s="11" t="s">
        <v>4061</v>
      </c>
      <c r="D4042" s="1" t="s">
        <v>2901</v>
      </c>
      <c r="E4042" s="1" t="s">
        <v>20</v>
      </c>
      <c r="F4042" s="1" t="str">
        <f aca="false">TEXT(B4042,"mmm-yyyy")</f>
        <v>Nov-2024</v>
      </c>
    </row>
    <row r="4043" customFormat="false" ht="101.25" hidden="false" customHeight="true" outlineLevel="0" collapsed="false">
      <c r="A4043" s="1" t="n">
        <v>1</v>
      </c>
      <c r="B4043" s="10" t="n">
        <v>45620</v>
      </c>
      <c r="C4043" s="11" t="s">
        <v>4062</v>
      </c>
      <c r="D4043" s="1" t="s">
        <v>2901</v>
      </c>
      <c r="E4043" s="1" t="s">
        <v>20</v>
      </c>
      <c r="F4043" s="1" t="str">
        <f aca="false">TEXT(B4043,"mmm-yyyy")</f>
        <v>Nov-2024</v>
      </c>
    </row>
    <row r="4044" customFormat="false" ht="87" hidden="false" customHeight="true" outlineLevel="0" collapsed="false">
      <c r="A4044" s="1" t="n">
        <v>1</v>
      </c>
      <c r="B4044" s="10" t="n">
        <v>45582</v>
      </c>
      <c r="C4044" s="11" t="s">
        <v>4063</v>
      </c>
      <c r="D4044" s="1" t="s">
        <v>2901</v>
      </c>
      <c r="E4044" s="1" t="s">
        <v>20</v>
      </c>
      <c r="F4044" s="1" t="str">
        <f aca="false">TEXT(B4044,"mmm-yyyy")</f>
        <v>Oct-2024</v>
      </c>
    </row>
    <row r="4045" customFormat="false" ht="57.75" hidden="false" customHeight="true" outlineLevel="0" collapsed="false">
      <c r="A4045" s="1" t="n">
        <v>1</v>
      </c>
      <c r="B4045" s="10" t="n">
        <v>45626</v>
      </c>
      <c r="C4045" s="11" t="s">
        <v>4064</v>
      </c>
      <c r="D4045" s="1" t="s">
        <v>2901</v>
      </c>
      <c r="E4045" s="1" t="s">
        <v>20</v>
      </c>
      <c r="F4045" s="1" t="str">
        <f aca="false">TEXT(B4045,"mmm-yyyy")</f>
        <v>Nov-2024</v>
      </c>
    </row>
    <row r="4046" customFormat="false" ht="87" hidden="false" customHeight="true" outlineLevel="0" collapsed="false">
      <c r="A4046" s="1" t="n">
        <v>1</v>
      </c>
      <c r="B4046" s="10" t="n">
        <v>45645</v>
      </c>
      <c r="C4046" s="11" t="s">
        <v>4065</v>
      </c>
      <c r="D4046" s="1" t="s">
        <v>2901</v>
      </c>
      <c r="E4046" s="1" t="s">
        <v>18</v>
      </c>
      <c r="F4046" s="1" t="str">
        <f aca="false">TEXT(B4046,"mmm-yyyy")</f>
        <v>Dec-2024</v>
      </c>
    </row>
    <row r="4047" customFormat="false" ht="87" hidden="false" customHeight="true" outlineLevel="0" collapsed="false">
      <c r="A4047" s="1" t="n">
        <v>1</v>
      </c>
      <c r="B4047" s="10" t="n">
        <v>45596</v>
      </c>
      <c r="C4047" s="11" t="s">
        <v>4066</v>
      </c>
      <c r="D4047" s="1" t="s">
        <v>2901</v>
      </c>
      <c r="E4047" s="1" t="s">
        <v>18</v>
      </c>
      <c r="F4047" s="1" t="str">
        <f aca="false">TEXT(B4047,"mmm-yyyy")</f>
        <v>Oct-2024</v>
      </c>
    </row>
    <row r="4048" customFormat="false" ht="87" hidden="false" customHeight="true" outlineLevel="0" collapsed="false">
      <c r="A4048" s="1" t="n">
        <v>5</v>
      </c>
      <c r="B4048" s="10" t="n">
        <v>45636</v>
      </c>
      <c r="C4048" s="11" t="s">
        <v>4067</v>
      </c>
      <c r="D4048" s="1" t="s">
        <v>2901</v>
      </c>
      <c r="E4048" s="1" t="s">
        <v>18</v>
      </c>
      <c r="F4048" s="1" t="str">
        <f aca="false">TEXT(B4048,"mmm-yyyy")</f>
        <v>Dec-2024</v>
      </c>
    </row>
    <row r="4049" customFormat="false" ht="72" hidden="false" customHeight="true" outlineLevel="0" collapsed="false">
      <c r="A4049" s="1" t="n">
        <v>1</v>
      </c>
      <c r="B4049" s="10" t="n">
        <v>45632</v>
      </c>
      <c r="C4049" s="11" t="s">
        <v>4068</v>
      </c>
      <c r="D4049" s="1" t="s">
        <v>2901</v>
      </c>
      <c r="E4049" s="1" t="s">
        <v>20</v>
      </c>
      <c r="F4049" s="1" t="str">
        <f aca="false">TEXT(B4049,"mmm-yyyy")</f>
        <v>Dec-2024</v>
      </c>
    </row>
    <row r="4050" customFormat="false" ht="57.75" hidden="false" customHeight="true" outlineLevel="0" collapsed="false">
      <c r="A4050" s="1" t="n">
        <v>1</v>
      </c>
      <c r="B4050" s="10" t="n">
        <v>45613</v>
      </c>
      <c r="C4050" s="11" t="s">
        <v>4069</v>
      </c>
      <c r="D4050" s="1" t="s">
        <v>2901</v>
      </c>
      <c r="E4050" s="1" t="s">
        <v>20</v>
      </c>
      <c r="F4050" s="1" t="str">
        <f aca="false">TEXT(B4050,"mmm-yyyy")</f>
        <v>Nov-2024</v>
      </c>
    </row>
    <row r="4051" customFormat="false" ht="101.25" hidden="false" customHeight="true" outlineLevel="0" collapsed="false">
      <c r="A4051" s="1" t="n">
        <v>1</v>
      </c>
      <c r="B4051" s="10" t="n">
        <v>45593</v>
      </c>
      <c r="C4051" s="11" t="s">
        <v>4056</v>
      </c>
      <c r="D4051" s="1" t="s">
        <v>2901</v>
      </c>
      <c r="E4051" s="1" t="s">
        <v>18</v>
      </c>
      <c r="F4051" s="1" t="str">
        <f aca="false">TEXT(B4051,"mmm-yyyy")</f>
        <v>Oct-2024</v>
      </c>
    </row>
    <row r="4052" customFormat="false" ht="115.5" hidden="false" customHeight="true" outlineLevel="0" collapsed="false">
      <c r="A4052" s="1" t="n">
        <v>1</v>
      </c>
      <c r="B4052" s="10" t="n">
        <v>45623</v>
      </c>
      <c r="C4052" s="11" t="s">
        <v>4070</v>
      </c>
      <c r="D4052" s="1" t="s">
        <v>2901</v>
      </c>
      <c r="E4052" s="1" t="s">
        <v>20</v>
      </c>
      <c r="F4052" s="1" t="str">
        <f aca="false">TEXT(B4052,"mmm-yyyy")</f>
        <v>Nov-2024</v>
      </c>
    </row>
    <row r="4053" customFormat="false" ht="57.75" hidden="false" customHeight="true" outlineLevel="0" collapsed="false">
      <c r="A4053" s="1" t="n">
        <v>1</v>
      </c>
      <c r="B4053" s="10" t="n">
        <v>45624</v>
      </c>
      <c r="C4053" s="11" t="s">
        <v>4071</v>
      </c>
      <c r="D4053" s="1" t="s">
        <v>2901</v>
      </c>
      <c r="E4053" s="1" t="s">
        <v>32</v>
      </c>
      <c r="F4053" s="1" t="str">
        <f aca="false">TEXT(B4053,"mmm-yyyy")</f>
        <v>Nov-2024</v>
      </c>
    </row>
    <row r="4054" customFormat="false" ht="72" hidden="false" customHeight="true" outlineLevel="0" collapsed="false">
      <c r="A4054" s="1" t="n">
        <v>1</v>
      </c>
      <c r="B4054" s="10" t="n">
        <v>45586</v>
      </c>
      <c r="C4054" s="11" t="s">
        <v>4072</v>
      </c>
      <c r="D4054" s="1" t="s">
        <v>2901</v>
      </c>
      <c r="E4054" s="1" t="s">
        <v>20</v>
      </c>
      <c r="F4054" s="1" t="str">
        <f aca="false">TEXT(B4054,"mmm-yyyy")</f>
        <v>Oct-2024</v>
      </c>
    </row>
    <row r="4055" customFormat="false" ht="130.5" hidden="false" customHeight="true" outlineLevel="0" collapsed="false">
      <c r="A4055" s="1" t="n">
        <v>5</v>
      </c>
      <c r="B4055" s="10" t="n">
        <v>45595</v>
      </c>
      <c r="C4055" s="11" t="s">
        <v>4073</v>
      </c>
      <c r="D4055" s="1" t="s">
        <v>2901</v>
      </c>
      <c r="E4055" s="1" t="s">
        <v>18</v>
      </c>
      <c r="F4055" s="1" t="str">
        <f aca="false">TEXT(B4055,"mmm-yyyy")</f>
        <v>Oct-2024</v>
      </c>
    </row>
    <row r="4056" customFormat="false" ht="115.5" hidden="false" customHeight="true" outlineLevel="0" collapsed="false">
      <c r="A4056" s="1" t="n">
        <v>1</v>
      </c>
      <c r="B4056" s="10" t="n">
        <v>45612</v>
      </c>
      <c r="C4056" s="11" t="s">
        <v>4074</v>
      </c>
      <c r="D4056" s="1" t="s">
        <v>2901</v>
      </c>
      <c r="E4056" s="1" t="s">
        <v>18</v>
      </c>
      <c r="F4056" s="1" t="str">
        <f aca="false">TEXT(B4056,"mmm-yyyy")</f>
        <v>Nov-2024</v>
      </c>
    </row>
    <row r="4057" customFormat="false" ht="57.75" hidden="false" customHeight="true" outlineLevel="0" collapsed="false">
      <c r="A4057" s="1" t="n">
        <v>1</v>
      </c>
      <c r="B4057" s="10" t="n">
        <v>45578</v>
      </c>
      <c r="C4057" s="11" t="s">
        <v>4075</v>
      </c>
      <c r="D4057" s="1" t="s">
        <v>2901</v>
      </c>
      <c r="E4057" s="1" t="s">
        <v>20</v>
      </c>
      <c r="F4057" s="1" t="str">
        <f aca="false">TEXT(B4057,"mmm-yyyy")</f>
        <v>Oct-2024</v>
      </c>
    </row>
    <row r="4058" customFormat="false" ht="57.75" hidden="false" customHeight="true" outlineLevel="0" collapsed="false">
      <c r="A4058" s="1" t="n">
        <v>1</v>
      </c>
      <c r="B4058" s="10" t="n">
        <v>45592</v>
      </c>
      <c r="C4058" s="11" t="s">
        <v>4076</v>
      </c>
      <c r="D4058" s="1" t="s">
        <v>2901</v>
      </c>
      <c r="E4058" s="1" t="s">
        <v>18</v>
      </c>
      <c r="F4058" s="1" t="str">
        <f aca="false">TEXT(B4058,"mmm-yyyy")</f>
        <v>Oct-2024</v>
      </c>
    </row>
    <row r="4059" customFormat="false" ht="130.5" hidden="false" customHeight="true" outlineLevel="0" collapsed="false">
      <c r="A4059" s="1" t="n">
        <v>1</v>
      </c>
      <c r="B4059" s="10" t="n">
        <v>45617</v>
      </c>
      <c r="C4059" s="11" t="s">
        <v>4077</v>
      </c>
      <c r="D4059" s="1" t="s">
        <v>2901</v>
      </c>
      <c r="E4059" s="1" t="s">
        <v>20</v>
      </c>
      <c r="F4059" s="1" t="str">
        <f aca="false">TEXT(B4059,"mmm-yyyy")</f>
        <v>Nov-2024</v>
      </c>
    </row>
    <row r="4060" customFormat="false" ht="101.25" hidden="false" customHeight="true" outlineLevel="0" collapsed="false">
      <c r="A4060" s="1" t="n">
        <v>1</v>
      </c>
      <c r="B4060" s="10" t="n">
        <v>45582</v>
      </c>
      <c r="C4060" s="11" t="s">
        <v>4078</v>
      </c>
      <c r="D4060" s="1" t="s">
        <v>2901</v>
      </c>
      <c r="E4060" s="1" t="s">
        <v>20</v>
      </c>
      <c r="F4060" s="1" t="str">
        <f aca="false">TEXT(B4060,"mmm-yyyy")</f>
        <v>Oct-2024</v>
      </c>
    </row>
    <row r="4061" customFormat="false" ht="115.5" hidden="false" customHeight="true" outlineLevel="0" collapsed="false">
      <c r="A4061" s="1" t="n">
        <v>1</v>
      </c>
      <c r="B4061" s="10" t="n">
        <v>45632</v>
      </c>
      <c r="C4061" s="11" t="s">
        <v>4079</v>
      </c>
      <c r="D4061" s="1" t="s">
        <v>2901</v>
      </c>
      <c r="E4061" s="1" t="s">
        <v>18</v>
      </c>
      <c r="F4061" s="1" t="str">
        <f aca="false">TEXT(B4061,"mmm-yyyy")</f>
        <v>Dec-2024</v>
      </c>
    </row>
    <row r="4062" customFormat="false" ht="57.75" hidden="false" customHeight="true" outlineLevel="0" collapsed="false">
      <c r="A4062" s="1" t="n">
        <v>1</v>
      </c>
      <c r="B4062" s="10" t="n">
        <v>45619</v>
      </c>
      <c r="C4062" s="11" t="s">
        <v>4080</v>
      </c>
      <c r="D4062" s="1" t="s">
        <v>2901</v>
      </c>
      <c r="E4062" s="1" t="s">
        <v>18</v>
      </c>
      <c r="F4062" s="1" t="str">
        <f aca="false">TEXT(B4062,"mmm-yyyy")</f>
        <v>Nov-2024</v>
      </c>
    </row>
    <row r="4063" customFormat="false" ht="72" hidden="false" customHeight="true" outlineLevel="0" collapsed="false">
      <c r="A4063" s="1" t="n">
        <v>1</v>
      </c>
      <c r="B4063" s="10" t="n">
        <v>45595</v>
      </c>
      <c r="C4063" s="11" t="s">
        <v>4081</v>
      </c>
      <c r="D4063" s="1" t="s">
        <v>2901</v>
      </c>
      <c r="E4063" s="1" t="s">
        <v>20</v>
      </c>
      <c r="F4063" s="1" t="str">
        <f aca="false">TEXT(B4063,"mmm-yyyy")</f>
        <v>Oct-2024</v>
      </c>
    </row>
    <row r="4064" customFormat="false" ht="115.5" hidden="false" customHeight="true" outlineLevel="0" collapsed="false">
      <c r="A4064" s="1" t="n">
        <v>1</v>
      </c>
      <c r="B4064" s="10" t="n">
        <v>45611</v>
      </c>
      <c r="C4064" s="11" t="s">
        <v>4082</v>
      </c>
      <c r="D4064" s="1" t="s">
        <v>2901</v>
      </c>
      <c r="E4064" s="1" t="s">
        <v>18</v>
      </c>
      <c r="F4064" s="1" t="str">
        <f aca="false">TEXT(B4064,"mmm-yyyy")</f>
        <v>Nov-2024</v>
      </c>
    </row>
    <row r="4065" customFormat="false" ht="43.5" hidden="false" customHeight="true" outlineLevel="0" collapsed="false">
      <c r="A4065" s="1" t="n">
        <v>1</v>
      </c>
      <c r="B4065" s="10" t="n">
        <v>45573</v>
      </c>
      <c r="C4065" s="11" t="s">
        <v>4083</v>
      </c>
      <c r="D4065" s="1" t="s">
        <v>2901</v>
      </c>
      <c r="E4065" s="1" t="s">
        <v>20</v>
      </c>
      <c r="F4065" s="1" t="str">
        <f aca="false">TEXT(B4065,"mmm-yyyy")</f>
        <v>Oct-2024</v>
      </c>
    </row>
    <row r="4066" customFormat="false" ht="101.25" hidden="false" customHeight="true" outlineLevel="0" collapsed="false">
      <c r="A4066" s="1" t="n">
        <v>1</v>
      </c>
      <c r="B4066" s="10" t="n">
        <v>45631</v>
      </c>
      <c r="C4066" s="11" t="s">
        <v>4084</v>
      </c>
      <c r="D4066" s="1" t="s">
        <v>2901</v>
      </c>
      <c r="E4066" s="1" t="s">
        <v>20</v>
      </c>
      <c r="F4066" s="1" t="str">
        <f aca="false">TEXT(B4066,"mmm-yyyy")</f>
        <v>Dec-2024</v>
      </c>
    </row>
    <row r="4067" customFormat="false" ht="87" hidden="false" customHeight="true" outlineLevel="0" collapsed="false">
      <c r="A4067" s="1" t="n">
        <v>3</v>
      </c>
      <c r="B4067" s="10" t="n">
        <v>45595</v>
      </c>
      <c r="C4067" s="11" t="s">
        <v>4085</v>
      </c>
      <c r="D4067" s="1" t="s">
        <v>2901</v>
      </c>
      <c r="E4067" s="1" t="s">
        <v>20</v>
      </c>
      <c r="F4067" s="1" t="str">
        <f aca="false">TEXT(B4067,"mmm-yyyy")</f>
        <v>Oct-2024</v>
      </c>
    </row>
    <row r="4068" customFormat="false" ht="87" hidden="false" customHeight="true" outlineLevel="0" collapsed="false">
      <c r="A4068" s="1" t="n">
        <v>1</v>
      </c>
      <c r="B4068" s="10" t="n">
        <v>45619</v>
      </c>
      <c r="C4068" s="11" t="s">
        <v>4086</v>
      </c>
      <c r="D4068" s="1" t="s">
        <v>2901</v>
      </c>
      <c r="E4068" s="1" t="s">
        <v>20</v>
      </c>
      <c r="F4068" s="1" t="str">
        <f aca="false">TEXT(B4068,"mmm-yyyy")</f>
        <v>Nov-2024</v>
      </c>
    </row>
    <row r="4069" customFormat="false" ht="101.25" hidden="false" customHeight="true" outlineLevel="0" collapsed="false">
      <c r="A4069" s="1" t="n">
        <v>4</v>
      </c>
      <c r="B4069" s="10" t="n">
        <v>45583</v>
      </c>
      <c r="C4069" s="11" t="s">
        <v>4087</v>
      </c>
      <c r="D4069" s="1" t="s">
        <v>2901</v>
      </c>
      <c r="E4069" s="1" t="s">
        <v>18</v>
      </c>
      <c r="F4069" s="1" t="str">
        <f aca="false">TEXT(B4069,"mmm-yyyy")</f>
        <v>Oct-2024</v>
      </c>
    </row>
    <row r="4070" customFormat="false" ht="43.5" hidden="false" customHeight="true" outlineLevel="0" collapsed="false">
      <c r="A4070" s="1" t="n">
        <v>1</v>
      </c>
      <c r="B4070" s="10" t="n">
        <v>45606</v>
      </c>
      <c r="C4070" s="11" t="s">
        <v>4088</v>
      </c>
      <c r="D4070" s="1" t="s">
        <v>2901</v>
      </c>
      <c r="E4070" s="1" t="s">
        <v>20</v>
      </c>
      <c r="F4070" s="1" t="str">
        <f aca="false">TEXT(B4070,"mmm-yyyy")</f>
        <v>Nov-2024</v>
      </c>
    </row>
    <row r="4071" customFormat="false" ht="43.5" hidden="false" customHeight="true" outlineLevel="0" collapsed="false">
      <c r="A4071" s="1" t="n">
        <v>5</v>
      </c>
      <c r="B4071" s="10" t="n">
        <v>45639</v>
      </c>
      <c r="C4071" s="11" t="s">
        <v>4089</v>
      </c>
      <c r="D4071" s="1" t="s">
        <v>2901</v>
      </c>
      <c r="E4071" s="1" t="s">
        <v>18</v>
      </c>
      <c r="F4071" s="1" t="str">
        <f aca="false">TEXT(B4071,"mmm-yyyy")</f>
        <v>Dec-2024</v>
      </c>
    </row>
    <row r="4072" customFormat="false" ht="87" hidden="false" customHeight="true" outlineLevel="0" collapsed="false">
      <c r="A4072" s="1" t="n">
        <v>3</v>
      </c>
      <c r="B4072" s="10" t="n">
        <v>45608</v>
      </c>
      <c r="C4072" s="11" t="s">
        <v>4090</v>
      </c>
      <c r="D4072" s="1" t="s">
        <v>2901</v>
      </c>
      <c r="E4072" s="1" t="s">
        <v>20</v>
      </c>
      <c r="F4072" s="1" t="str">
        <f aca="false">TEXT(B4072,"mmm-yyyy")</f>
        <v>Nov-2024</v>
      </c>
    </row>
    <row r="4073" customFormat="false" ht="57.75" hidden="false" customHeight="true" outlineLevel="0" collapsed="false">
      <c r="A4073" s="1" t="n">
        <v>1</v>
      </c>
      <c r="B4073" s="10" t="n">
        <v>45624</v>
      </c>
      <c r="C4073" s="11" t="s">
        <v>4091</v>
      </c>
      <c r="D4073" s="1" t="s">
        <v>2901</v>
      </c>
      <c r="E4073" s="1" t="s">
        <v>18</v>
      </c>
      <c r="F4073" s="1" t="str">
        <f aca="false">TEXT(B4073,"mmm-yyyy")</f>
        <v>Nov-2024</v>
      </c>
    </row>
    <row r="4074" customFormat="false" ht="115.5" hidden="false" customHeight="true" outlineLevel="0" collapsed="false">
      <c r="A4074" s="1" t="n">
        <v>1</v>
      </c>
      <c r="B4074" s="10" t="n">
        <v>45584</v>
      </c>
      <c r="C4074" s="11" t="s">
        <v>4092</v>
      </c>
      <c r="D4074" s="1" t="s">
        <v>2901</v>
      </c>
      <c r="E4074" s="1" t="s">
        <v>18</v>
      </c>
      <c r="F4074" s="1" t="str">
        <f aca="false">TEXT(B4074,"mmm-yyyy")</f>
        <v>Oct-2024</v>
      </c>
    </row>
    <row r="4075" customFormat="false" ht="130.5" hidden="false" customHeight="true" outlineLevel="0" collapsed="false">
      <c r="A4075" s="1" t="n">
        <v>1</v>
      </c>
      <c r="B4075" s="10" t="n">
        <v>45629</v>
      </c>
      <c r="C4075" s="11" t="s">
        <v>4093</v>
      </c>
      <c r="D4075" s="1" t="s">
        <v>2901</v>
      </c>
      <c r="E4075" s="1" t="s">
        <v>20</v>
      </c>
      <c r="F4075" s="1" t="str">
        <f aca="false">TEXT(B4075,"mmm-yyyy")</f>
        <v>Dec-2024</v>
      </c>
    </row>
    <row r="4076" customFormat="false" ht="144.75" hidden="false" customHeight="true" outlineLevel="0" collapsed="false">
      <c r="A4076" s="1" t="n">
        <v>1</v>
      </c>
      <c r="B4076" s="10" t="n">
        <v>45618</v>
      </c>
      <c r="C4076" s="11" t="s">
        <v>4094</v>
      </c>
      <c r="D4076" s="1" t="s">
        <v>2901</v>
      </c>
      <c r="E4076" s="1" t="s">
        <v>20</v>
      </c>
      <c r="F4076" s="1" t="str">
        <f aca="false">TEXT(B4076,"mmm-yyyy")</f>
        <v>Nov-2024</v>
      </c>
    </row>
    <row r="4077" customFormat="false" ht="87" hidden="false" customHeight="true" outlineLevel="0" collapsed="false">
      <c r="A4077" s="1" t="n">
        <v>1</v>
      </c>
      <c r="B4077" s="10" t="n">
        <v>45626</v>
      </c>
      <c r="C4077" s="11" t="s">
        <v>4095</v>
      </c>
      <c r="D4077" s="1" t="s">
        <v>2901</v>
      </c>
      <c r="E4077" s="1" t="s">
        <v>20</v>
      </c>
      <c r="F4077" s="1" t="str">
        <f aca="false">TEXT(B4077,"mmm-yyyy")</f>
        <v>Nov-2024</v>
      </c>
    </row>
    <row r="4078" customFormat="false" ht="87" hidden="false" customHeight="true" outlineLevel="0" collapsed="false">
      <c r="A4078" s="1" t="n">
        <v>1</v>
      </c>
      <c r="B4078" s="10" t="n">
        <v>45610</v>
      </c>
      <c r="C4078" s="11" t="s">
        <v>4096</v>
      </c>
      <c r="D4078" s="1" t="s">
        <v>2901</v>
      </c>
      <c r="E4078" s="1" t="s">
        <v>20</v>
      </c>
      <c r="F4078" s="1" t="str">
        <f aca="false">TEXT(B4078,"mmm-yyyy")</f>
        <v>Nov-2024</v>
      </c>
    </row>
    <row r="4079" customFormat="false" ht="87" hidden="false" customHeight="true" outlineLevel="0" collapsed="false">
      <c r="A4079" s="1" t="n">
        <v>1</v>
      </c>
      <c r="B4079" s="10" t="n">
        <v>45589</v>
      </c>
      <c r="C4079" s="11" t="s">
        <v>4097</v>
      </c>
      <c r="D4079" s="1" t="s">
        <v>2901</v>
      </c>
      <c r="E4079" s="1" t="s">
        <v>18</v>
      </c>
      <c r="F4079" s="1" t="str">
        <f aca="false">TEXT(B4079,"mmm-yyyy")</f>
        <v>Oct-2024</v>
      </c>
    </row>
    <row r="4080" customFormat="false" ht="57.75" hidden="false" customHeight="true" outlineLevel="0" collapsed="false">
      <c r="A4080" s="1" t="n">
        <v>1</v>
      </c>
      <c r="B4080" s="10" t="n">
        <v>45604</v>
      </c>
      <c r="C4080" s="11" t="s">
        <v>4098</v>
      </c>
      <c r="D4080" s="1" t="s">
        <v>2901</v>
      </c>
      <c r="E4080" s="1" t="s">
        <v>20</v>
      </c>
      <c r="F4080" s="1" t="str">
        <f aca="false">TEXT(B4080,"mmm-yyyy")</f>
        <v>Nov-2024</v>
      </c>
    </row>
    <row r="4081" customFormat="false" ht="101.25" hidden="false" customHeight="true" outlineLevel="0" collapsed="false">
      <c r="A4081" s="1" t="n">
        <v>1</v>
      </c>
      <c r="B4081" s="10" t="n">
        <v>45593</v>
      </c>
      <c r="C4081" s="11" t="s">
        <v>4099</v>
      </c>
      <c r="D4081" s="1" t="s">
        <v>2901</v>
      </c>
      <c r="E4081" s="1" t="s">
        <v>20</v>
      </c>
      <c r="F4081" s="1" t="str">
        <f aca="false">TEXT(B4081,"mmm-yyyy")</f>
        <v>Oct-2024</v>
      </c>
    </row>
    <row r="4082" customFormat="false" ht="130.5" hidden="false" customHeight="true" outlineLevel="0" collapsed="false">
      <c r="A4082" s="1" t="n">
        <v>1</v>
      </c>
      <c r="B4082" s="10" t="n">
        <v>45620</v>
      </c>
      <c r="C4082" s="11" t="s">
        <v>4100</v>
      </c>
      <c r="D4082" s="1" t="s">
        <v>2901</v>
      </c>
      <c r="E4082" s="1" t="s">
        <v>18</v>
      </c>
      <c r="F4082" s="1" t="str">
        <f aca="false">TEXT(B4082,"mmm-yyyy")</f>
        <v>Nov-2024</v>
      </c>
    </row>
    <row r="4083" customFormat="false" ht="115.5" hidden="false" customHeight="true" outlineLevel="0" collapsed="false">
      <c r="A4083" s="1" t="n">
        <v>1</v>
      </c>
      <c r="B4083" s="10" t="n">
        <v>45587</v>
      </c>
      <c r="C4083" s="11" t="s">
        <v>4101</v>
      </c>
      <c r="D4083" s="1" t="s">
        <v>2901</v>
      </c>
      <c r="E4083" s="1" t="s">
        <v>18</v>
      </c>
      <c r="F4083" s="1" t="str">
        <f aca="false">TEXT(B4083,"mmm-yyyy")</f>
        <v>Oct-2024</v>
      </c>
    </row>
    <row r="4084" customFormat="false" ht="87" hidden="false" customHeight="true" outlineLevel="0" collapsed="false">
      <c r="A4084" s="1" t="n">
        <v>1</v>
      </c>
      <c r="B4084" s="10" t="n">
        <v>45595</v>
      </c>
      <c r="C4084" s="11" t="s">
        <v>4102</v>
      </c>
      <c r="D4084" s="1" t="s">
        <v>2901</v>
      </c>
      <c r="E4084" s="1" t="s">
        <v>20</v>
      </c>
      <c r="F4084" s="1" t="str">
        <f aca="false">TEXT(B4084,"mmm-yyyy")</f>
        <v>Oct-2024</v>
      </c>
    </row>
    <row r="4085" customFormat="false" ht="130.5" hidden="false" customHeight="true" outlineLevel="0" collapsed="false">
      <c r="A4085" s="1" t="n">
        <v>1</v>
      </c>
      <c r="B4085" s="10" t="n">
        <v>45609</v>
      </c>
      <c r="C4085" s="11" t="s">
        <v>4103</v>
      </c>
      <c r="D4085" s="1" t="s">
        <v>2901</v>
      </c>
      <c r="E4085" s="1" t="s">
        <v>20</v>
      </c>
      <c r="F4085" s="1" t="str">
        <f aca="false">TEXT(B4085,"mmm-yyyy")</f>
        <v>Nov-2024</v>
      </c>
    </row>
    <row r="4086" customFormat="false" ht="130.5" hidden="false" customHeight="true" outlineLevel="0" collapsed="false">
      <c r="A4086" s="1" t="n">
        <v>1</v>
      </c>
      <c r="B4086" s="10" t="n">
        <v>45605</v>
      </c>
      <c r="C4086" s="11" t="s">
        <v>4104</v>
      </c>
      <c r="D4086" s="1" t="s">
        <v>2901</v>
      </c>
      <c r="E4086" s="1" t="s">
        <v>20</v>
      </c>
      <c r="F4086" s="1" t="str">
        <f aca="false">TEXT(B4086,"mmm-yyyy")</f>
        <v>Nov-2024</v>
      </c>
    </row>
    <row r="4087" customFormat="false" ht="101.25" hidden="false" customHeight="true" outlineLevel="0" collapsed="false">
      <c r="A4087" s="1" t="n">
        <v>1</v>
      </c>
      <c r="B4087" s="10" t="n">
        <v>45641</v>
      </c>
      <c r="C4087" s="11" t="s">
        <v>4105</v>
      </c>
      <c r="D4087" s="1" t="s">
        <v>2901</v>
      </c>
      <c r="E4087" s="1" t="s">
        <v>20</v>
      </c>
      <c r="F4087" s="1" t="str">
        <f aca="false">TEXT(B4087,"mmm-yyyy")</f>
        <v>Dec-2024</v>
      </c>
    </row>
    <row r="4088" customFormat="false" ht="87" hidden="false" customHeight="true" outlineLevel="0" collapsed="false">
      <c r="A4088" s="1" t="n">
        <v>4</v>
      </c>
      <c r="B4088" s="10" t="n">
        <v>45584</v>
      </c>
      <c r="C4088" s="11" t="s">
        <v>4106</v>
      </c>
      <c r="D4088" s="1" t="s">
        <v>2901</v>
      </c>
      <c r="E4088" s="1" t="s">
        <v>20</v>
      </c>
      <c r="F4088" s="1" t="str">
        <f aca="false">TEXT(B4088,"mmm-yyyy")</f>
        <v>Oct-2024</v>
      </c>
    </row>
    <row r="4089" customFormat="false" ht="115.5" hidden="false" customHeight="true" outlineLevel="0" collapsed="false">
      <c r="A4089" s="1" t="n">
        <v>1</v>
      </c>
      <c r="B4089" s="10" t="n">
        <v>45592</v>
      </c>
      <c r="C4089" s="11" t="s">
        <v>4107</v>
      </c>
      <c r="D4089" s="1" t="s">
        <v>2901</v>
      </c>
      <c r="E4089" s="1" t="s">
        <v>18</v>
      </c>
      <c r="F4089" s="1" t="str">
        <f aca="false">TEXT(B4089,"mmm-yyyy")</f>
        <v>Oct-2024</v>
      </c>
    </row>
    <row r="4090" customFormat="false" ht="57.75" hidden="false" customHeight="true" outlineLevel="0" collapsed="false">
      <c r="A4090" s="1" t="n">
        <v>5</v>
      </c>
      <c r="B4090" s="10" t="n">
        <v>45646</v>
      </c>
      <c r="C4090" s="11" t="s">
        <v>4108</v>
      </c>
      <c r="D4090" s="1" t="s">
        <v>2901</v>
      </c>
      <c r="E4090" s="1" t="s">
        <v>18</v>
      </c>
      <c r="F4090" s="1" t="str">
        <f aca="false">TEXT(B4090,"mmm-yyyy")</f>
        <v>Dec-2024</v>
      </c>
    </row>
    <row r="4091" customFormat="false" ht="87" hidden="false" customHeight="true" outlineLevel="0" collapsed="false">
      <c r="A4091" s="1" t="n">
        <v>1</v>
      </c>
      <c r="B4091" s="10" t="n">
        <v>45586</v>
      </c>
      <c r="C4091" s="11" t="s">
        <v>4109</v>
      </c>
      <c r="D4091" s="1" t="s">
        <v>2901</v>
      </c>
      <c r="E4091" s="1" t="s">
        <v>20</v>
      </c>
      <c r="F4091" s="1" t="str">
        <f aca="false">TEXT(B4091,"mmm-yyyy")</f>
        <v>Oct-2024</v>
      </c>
    </row>
    <row r="4092" customFormat="false" ht="43.5" hidden="false" customHeight="true" outlineLevel="0" collapsed="false">
      <c r="A4092" s="1" t="n">
        <v>2</v>
      </c>
      <c r="B4092" s="10" t="n">
        <v>45589</v>
      </c>
      <c r="C4092" s="11" t="s">
        <v>4110</v>
      </c>
      <c r="D4092" s="1" t="s">
        <v>2901</v>
      </c>
      <c r="E4092" s="1" t="s">
        <v>20</v>
      </c>
      <c r="F4092" s="1" t="str">
        <f aca="false">TEXT(B4092,"mmm-yyyy")</f>
        <v>Oct-2024</v>
      </c>
    </row>
    <row r="4093" customFormat="false" ht="57.75" hidden="false" customHeight="true" outlineLevel="0" collapsed="false">
      <c r="A4093" s="1" t="n">
        <v>1</v>
      </c>
      <c r="B4093" s="10" t="n">
        <v>45635</v>
      </c>
      <c r="C4093" s="11" t="s">
        <v>4111</v>
      </c>
      <c r="D4093" s="1" t="s">
        <v>2901</v>
      </c>
      <c r="E4093" s="1" t="s">
        <v>32</v>
      </c>
      <c r="F4093" s="1" t="str">
        <f aca="false">TEXT(B4093,"mmm-yyyy")</f>
        <v>Dec-2024</v>
      </c>
    </row>
    <row r="4094" customFormat="false" ht="43.5" hidden="false" customHeight="true" outlineLevel="0" collapsed="false">
      <c r="A4094" s="1" t="n">
        <v>1</v>
      </c>
      <c r="B4094" s="10" t="n">
        <v>45640</v>
      </c>
      <c r="C4094" s="11" t="s">
        <v>4112</v>
      </c>
      <c r="D4094" s="1" t="s">
        <v>2901</v>
      </c>
      <c r="E4094" s="1" t="s">
        <v>20</v>
      </c>
      <c r="F4094" s="1" t="str">
        <f aca="false">TEXT(B4094,"mmm-yyyy")</f>
        <v>Dec-2024</v>
      </c>
    </row>
    <row r="4095" customFormat="false" ht="130.5" hidden="false" customHeight="true" outlineLevel="0" collapsed="false">
      <c r="A4095" s="1" t="n">
        <v>1</v>
      </c>
      <c r="B4095" s="10" t="n">
        <v>45593</v>
      </c>
      <c r="C4095" s="11" t="s">
        <v>4113</v>
      </c>
      <c r="D4095" s="1" t="s">
        <v>2901</v>
      </c>
      <c r="E4095" s="1" t="s">
        <v>20</v>
      </c>
      <c r="F4095" s="1" t="str">
        <f aca="false">TEXT(B4095,"mmm-yyyy")</f>
        <v>Oct-2024</v>
      </c>
    </row>
    <row r="4096" customFormat="false" ht="72" hidden="false" customHeight="true" outlineLevel="0" collapsed="false">
      <c r="A4096" s="1" t="n">
        <v>1</v>
      </c>
      <c r="B4096" s="10" t="n">
        <v>45590</v>
      </c>
      <c r="C4096" s="11" t="s">
        <v>4114</v>
      </c>
      <c r="D4096" s="1" t="s">
        <v>2901</v>
      </c>
      <c r="E4096" s="1" t="s">
        <v>18</v>
      </c>
      <c r="F4096" s="1" t="str">
        <f aca="false">TEXT(B4096,"mmm-yyyy")</f>
        <v>Oct-2024</v>
      </c>
    </row>
    <row r="4097" customFormat="false" ht="130.5" hidden="false" customHeight="true" outlineLevel="0" collapsed="false">
      <c r="A4097" s="1" t="n">
        <v>1</v>
      </c>
      <c r="B4097" s="10" t="n">
        <v>45606</v>
      </c>
      <c r="C4097" s="11" t="s">
        <v>4115</v>
      </c>
      <c r="D4097" s="1" t="s">
        <v>2901</v>
      </c>
      <c r="E4097" s="1" t="s">
        <v>18</v>
      </c>
      <c r="F4097" s="1" t="str">
        <f aca="false">TEXT(B4097,"mmm-yyyy")</f>
        <v>Nov-2024</v>
      </c>
    </row>
    <row r="4098" customFormat="false" ht="115.5" hidden="false" customHeight="true" outlineLevel="0" collapsed="false">
      <c r="A4098" s="1" t="n">
        <v>1</v>
      </c>
      <c r="B4098" s="10" t="n">
        <v>45635</v>
      </c>
      <c r="C4098" s="11" t="s">
        <v>4116</v>
      </c>
      <c r="D4098" s="1" t="s">
        <v>2901</v>
      </c>
      <c r="E4098" s="1" t="s">
        <v>18</v>
      </c>
      <c r="F4098" s="1" t="str">
        <f aca="false">TEXT(B4098,"mmm-yyyy")</f>
        <v>Dec-2024</v>
      </c>
    </row>
    <row r="4099" customFormat="false" ht="72" hidden="false" customHeight="true" outlineLevel="0" collapsed="false">
      <c r="A4099" s="1" t="n">
        <v>1</v>
      </c>
      <c r="B4099" s="10" t="n">
        <v>45614</v>
      </c>
      <c r="C4099" s="11" t="s">
        <v>4117</v>
      </c>
      <c r="D4099" s="1" t="s">
        <v>2901</v>
      </c>
      <c r="E4099" s="1" t="s">
        <v>18</v>
      </c>
      <c r="F4099" s="1" t="str">
        <f aca="false">TEXT(B4099,"mmm-yyyy")</f>
        <v>Nov-2024</v>
      </c>
    </row>
    <row r="4100" customFormat="false" ht="115.5" hidden="false" customHeight="true" outlineLevel="0" collapsed="false">
      <c r="A4100" s="1" t="n">
        <v>1</v>
      </c>
      <c r="B4100" s="10" t="n">
        <v>45590</v>
      </c>
      <c r="C4100" s="11" t="s">
        <v>4118</v>
      </c>
      <c r="D4100" s="1" t="s">
        <v>2901</v>
      </c>
      <c r="E4100" s="1" t="s">
        <v>20</v>
      </c>
      <c r="F4100" s="1" t="str">
        <f aca="false">TEXT(B4100,"mmm-yyyy")</f>
        <v>Oct-2024</v>
      </c>
    </row>
    <row r="4101" customFormat="false" ht="57.75" hidden="false" customHeight="true" outlineLevel="0" collapsed="false">
      <c r="A4101" s="1" t="n">
        <v>2</v>
      </c>
      <c r="B4101" s="10" t="n">
        <v>45627</v>
      </c>
      <c r="C4101" s="11" t="s">
        <v>4119</v>
      </c>
      <c r="D4101" s="1" t="s">
        <v>2901</v>
      </c>
      <c r="E4101" s="1" t="s">
        <v>20</v>
      </c>
      <c r="F4101" s="1" t="str">
        <f aca="false">TEXT(B4101,"mmm-yyyy")</f>
        <v>Dec-2024</v>
      </c>
    </row>
    <row r="4102" customFormat="false" ht="57.75" hidden="false" customHeight="true" outlineLevel="0" collapsed="false">
      <c r="A4102" s="1" t="n">
        <v>1</v>
      </c>
      <c r="B4102" s="10" t="n">
        <v>45606</v>
      </c>
      <c r="C4102" s="11" t="s">
        <v>4120</v>
      </c>
      <c r="D4102" s="1" t="s">
        <v>2901</v>
      </c>
      <c r="E4102" s="1" t="s">
        <v>20</v>
      </c>
      <c r="F4102" s="1" t="str">
        <f aca="false">TEXT(B4102,"mmm-yyyy")</f>
        <v>Nov-2024</v>
      </c>
    </row>
    <row r="4103" customFormat="false" ht="72" hidden="false" customHeight="true" outlineLevel="0" collapsed="false">
      <c r="A4103" s="1" t="n">
        <v>1</v>
      </c>
      <c r="B4103" s="10" t="n">
        <v>45635</v>
      </c>
      <c r="C4103" s="11" t="s">
        <v>4121</v>
      </c>
      <c r="D4103" s="1" t="s">
        <v>2901</v>
      </c>
      <c r="E4103" s="1" t="s">
        <v>20</v>
      </c>
      <c r="F4103" s="1" t="str">
        <f aca="false">TEXT(B4103,"mmm-yyyy")</f>
        <v>Dec-2024</v>
      </c>
    </row>
    <row r="4104" customFormat="false" ht="72" hidden="false" customHeight="true" outlineLevel="0" collapsed="false">
      <c r="A4104" s="1" t="n">
        <v>1</v>
      </c>
      <c r="B4104" s="10" t="n">
        <v>45598</v>
      </c>
      <c r="C4104" s="11" t="s">
        <v>4122</v>
      </c>
      <c r="D4104" s="1" t="s">
        <v>2901</v>
      </c>
      <c r="E4104" s="1" t="s">
        <v>20</v>
      </c>
      <c r="F4104" s="1" t="str">
        <f aca="false">TEXT(B4104,"mmm-yyyy")</f>
        <v>Nov-2024</v>
      </c>
    </row>
    <row r="4105" customFormat="false" ht="87" hidden="false" customHeight="true" outlineLevel="0" collapsed="false">
      <c r="A4105" s="1" t="n">
        <v>1</v>
      </c>
      <c r="B4105" s="10" t="n">
        <v>45586</v>
      </c>
      <c r="C4105" s="11" t="s">
        <v>4123</v>
      </c>
      <c r="D4105" s="1" t="s">
        <v>2901</v>
      </c>
      <c r="E4105" s="1" t="s">
        <v>18</v>
      </c>
      <c r="F4105" s="1" t="str">
        <f aca="false">TEXT(B4105,"mmm-yyyy")</f>
        <v>Oct-2024</v>
      </c>
    </row>
    <row r="4106" customFormat="false" ht="57.75" hidden="false" customHeight="true" outlineLevel="0" collapsed="false">
      <c r="A4106" s="1" t="n">
        <v>1</v>
      </c>
      <c r="B4106" s="10" t="n">
        <v>45632</v>
      </c>
      <c r="C4106" s="11" t="s">
        <v>4124</v>
      </c>
      <c r="D4106" s="1" t="s">
        <v>2901</v>
      </c>
      <c r="E4106" s="1" t="s">
        <v>20</v>
      </c>
      <c r="F4106" s="1" t="str">
        <f aca="false">TEXT(B4106,"mmm-yyyy")</f>
        <v>Dec-2024</v>
      </c>
    </row>
    <row r="4107" customFormat="false" ht="101.25" hidden="false" customHeight="true" outlineLevel="0" collapsed="false">
      <c r="A4107" s="1" t="n">
        <v>1</v>
      </c>
      <c r="B4107" s="10" t="n">
        <v>45640</v>
      </c>
      <c r="C4107" s="11" t="s">
        <v>4125</v>
      </c>
      <c r="D4107" s="1" t="s">
        <v>2901</v>
      </c>
      <c r="E4107" s="1" t="s">
        <v>20</v>
      </c>
      <c r="F4107" s="1" t="str">
        <f aca="false">TEXT(B4107,"mmm-yyyy")</f>
        <v>Dec-2024</v>
      </c>
    </row>
    <row r="4108" customFormat="false" ht="87" hidden="false" customHeight="true" outlineLevel="0" collapsed="false">
      <c r="A4108" s="1" t="n">
        <v>2</v>
      </c>
      <c r="B4108" s="10" t="n">
        <v>45574</v>
      </c>
      <c r="C4108" s="11" t="s">
        <v>4126</v>
      </c>
      <c r="D4108" s="1" t="s">
        <v>2901</v>
      </c>
      <c r="E4108" s="1" t="s">
        <v>20</v>
      </c>
      <c r="F4108" s="1" t="str">
        <f aca="false">TEXT(B4108,"mmm-yyyy")</f>
        <v>Oct-2024</v>
      </c>
    </row>
    <row r="4109" customFormat="false" ht="115.5" hidden="false" customHeight="true" outlineLevel="0" collapsed="false">
      <c r="A4109" s="1" t="n">
        <v>4</v>
      </c>
      <c r="B4109" s="10" t="n">
        <v>45629</v>
      </c>
      <c r="C4109" s="11" t="s">
        <v>4127</v>
      </c>
      <c r="D4109" s="1" t="s">
        <v>2901</v>
      </c>
      <c r="E4109" s="1" t="s">
        <v>18</v>
      </c>
      <c r="F4109" s="1" t="str">
        <f aca="false">TEXT(B4109,"mmm-yyyy")</f>
        <v>Dec-2024</v>
      </c>
    </row>
    <row r="4110" customFormat="false" ht="57.75" hidden="false" customHeight="true" outlineLevel="0" collapsed="false">
      <c r="A4110" s="1" t="n">
        <v>1</v>
      </c>
      <c r="B4110" s="10" t="n">
        <v>45644</v>
      </c>
      <c r="C4110" s="11" t="s">
        <v>4128</v>
      </c>
      <c r="D4110" s="1" t="s">
        <v>2901</v>
      </c>
      <c r="E4110" s="1" t="s">
        <v>20</v>
      </c>
      <c r="F4110" s="1" t="str">
        <f aca="false">TEXT(B4110,"mmm-yyyy")</f>
        <v>Dec-2024</v>
      </c>
    </row>
    <row r="4111" customFormat="false" ht="72" hidden="false" customHeight="true" outlineLevel="0" collapsed="false">
      <c r="A4111" s="1" t="n">
        <v>1</v>
      </c>
      <c r="B4111" s="10" t="n">
        <v>45646</v>
      </c>
      <c r="C4111" s="11" t="s">
        <v>4129</v>
      </c>
      <c r="D4111" s="1" t="s">
        <v>2901</v>
      </c>
      <c r="E4111" s="1" t="s">
        <v>20</v>
      </c>
      <c r="F4111" s="1" t="str">
        <f aca="false">TEXT(B4111,"mmm-yyyy")</f>
        <v>Dec-2024</v>
      </c>
    </row>
    <row r="4112" customFormat="false" ht="130.5" hidden="false" customHeight="true" outlineLevel="0" collapsed="false">
      <c r="A4112" s="1" t="n">
        <v>1</v>
      </c>
      <c r="B4112" s="10" t="n">
        <v>45653</v>
      </c>
      <c r="C4112" s="11" t="s">
        <v>4130</v>
      </c>
      <c r="D4112" s="1" t="s">
        <v>2901</v>
      </c>
      <c r="E4112" s="1" t="s">
        <v>20</v>
      </c>
      <c r="F4112" s="1" t="str">
        <f aca="false">TEXT(B4112,"mmm-yyyy")</f>
        <v>Dec-2024</v>
      </c>
    </row>
    <row r="4113" customFormat="false" ht="57.75" hidden="false" customHeight="true" outlineLevel="0" collapsed="false">
      <c r="A4113" s="1" t="n">
        <v>1</v>
      </c>
      <c r="B4113" s="10" t="n">
        <v>45653</v>
      </c>
      <c r="C4113" s="11" t="s">
        <v>4131</v>
      </c>
      <c r="D4113" s="1" t="s">
        <v>2901</v>
      </c>
      <c r="E4113" s="1" t="s">
        <v>32</v>
      </c>
      <c r="F4113" s="1" t="str">
        <f aca="false">TEXT(B4113,"mmm-yyyy")</f>
        <v>Dec-2024</v>
      </c>
    </row>
    <row r="4114" customFormat="false" ht="57.75" hidden="false" customHeight="true" outlineLevel="0" collapsed="false">
      <c r="A4114" s="1" t="n">
        <v>2</v>
      </c>
      <c r="B4114" s="10" t="n">
        <v>45651</v>
      </c>
      <c r="C4114" s="11" t="s">
        <v>4132</v>
      </c>
      <c r="D4114" s="1" t="s">
        <v>2901</v>
      </c>
      <c r="E4114" s="1" t="s">
        <v>20</v>
      </c>
      <c r="F4114" s="1" t="str">
        <f aca="false">TEXT(B4114,"mmm-yyyy")</f>
        <v>Dec-2024</v>
      </c>
    </row>
    <row r="4115" customFormat="false" ht="72" hidden="false" customHeight="true" outlineLevel="0" collapsed="false">
      <c r="A4115" s="1" t="n">
        <v>1</v>
      </c>
      <c r="B4115" s="10" t="n">
        <v>45652</v>
      </c>
      <c r="C4115" s="11" t="s">
        <v>4133</v>
      </c>
      <c r="D4115" s="1" t="s">
        <v>2901</v>
      </c>
      <c r="E4115" s="1" t="s">
        <v>20</v>
      </c>
      <c r="F4115" s="1" t="str">
        <f aca="false">TEXT(B4115,"mmm-yyyy")</f>
        <v>Dec-2024</v>
      </c>
    </row>
    <row r="4116" customFormat="false" ht="43.5" hidden="false" customHeight="true" outlineLevel="0" collapsed="false">
      <c r="A4116" s="1" t="n">
        <v>1</v>
      </c>
      <c r="B4116" s="10" t="n">
        <v>45645</v>
      </c>
      <c r="C4116" s="11" t="s">
        <v>4134</v>
      </c>
      <c r="D4116" s="1" t="s">
        <v>2901</v>
      </c>
      <c r="E4116" s="1" t="s">
        <v>20</v>
      </c>
      <c r="F4116" s="1" t="str">
        <f aca="false">TEXT(B4116,"mmm-yyyy")</f>
        <v>Dec-2024</v>
      </c>
    </row>
    <row r="4117" customFormat="false" ht="72" hidden="false" customHeight="true" outlineLevel="0" collapsed="false">
      <c r="A4117" s="1" t="n">
        <v>1</v>
      </c>
      <c r="B4117" s="10" t="n">
        <v>45648</v>
      </c>
      <c r="C4117" s="11" t="s">
        <v>4135</v>
      </c>
      <c r="D4117" s="1" t="s">
        <v>2901</v>
      </c>
      <c r="E4117" s="1" t="s">
        <v>18</v>
      </c>
      <c r="F4117" s="1" t="str">
        <f aca="false">TEXT(B4117,"mmm-yyyy")</f>
        <v>Dec-2024</v>
      </c>
    </row>
    <row r="4118" customFormat="false" ht="43.5" hidden="false" customHeight="true" outlineLevel="0" collapsed="false">
      <c r="A4118" s="1" t="n">
        <v>5</v>
      </c>
      <c r="B4118" s="10" t="n">
        <v>45654</v>
      </c>
      <c r="C4118" s="11" t="s">
        <v>4136</v>
      </c>
      <c r="D4118" s="1" t="s">
        <v>2901</v>
      </c>
      <c r="E4118" s="1" t="s">
        <v>18</v>
      </c>
      <c r="F4118" s="1" t="str">
        <f aca="false">TEXT(B4118,"mmm-yyyy")</f>
        <v>Dec-2024</v>
      </c>
    </row>
    <row r="4119" customFormat="false" ht="101.25" hidden="false" customHeight="true" outlineLevel="0" collapsed="false">
      <c r="A4119" s="1" t="n">
        <v>1</v>
      </c>
      <c r="B4119" s="10" t="n">
        <v>45646</v>
      </c>
      <c r="C4119" s="11" t="s">
        <v>4137</v>
      </c>
      <c r="D4119" s="1" t="s">
        <v>2901</v>
      </c>
      <c r="E4119" s="1" t="s">
        <v>20</v>
      </c>
      <c r="F4119" s="1" t="str">
        <f aca="false">TEXT(B4119,"mmm-yyyy")</f>
        <v>Dec-2024</v>
      </c>
    </row>
    <row r="4120" customFormat="false" ht="72" hidden="false" customHeight="true" outlineLevel="0" collapsed="false">
      <c r="A4120" s="1" t="n">
        <v>1</v>
      </c>
      <c r="B4120" s="10" t="n">
        <v>45655</v>
      </c>
      <c r="C4120" s="11" t="s">
        <v>4138</v>
      </c>
      <c r="D4120" s="1" t="s">
        <v>2901</v>
      </c>
      <c r="E4120" s="1" t="s">
        <v>20</v>
      </c>
      <c r="F4120" s="1" t="str">
        <f aca="false">TEXT(B4120,"mmm-yyyy")</f>
        <v>Dec-2024</v>
      </c>
    </row>
    <row r="4121" customFormat="false" ht="57.75" hidden="false" customHeight="true" outlineLevel="0" collapsed="false">
      <c r="A4121" s="1" t="n">
        <v>5</v>
      </c>
      <c r="B4121" s="10" t="n">
        <v>45649</v>
      </c>
      <c r="C4121" s="11" t="s">
        <v>4139</v>
      </c>
      <c r="D4121" s="1" t="s">
        <v>2901</v>
      </c>
      <c r="E4121" s="1" t="s">
        <v>18</v>
      </c>
      <c r="F4121" s="1" t="str">
        <f aca="false">TEXT(B4121,"mmm-yyyy")</f>
        <v>Dec-2024</v>
      </c>
    </row>
    <row r="4122" customFormat="false" ht="72" hidden="false" customHeight="true" outlineLevel="0" collapsed="false">
      <c r="A4122" s="1" t="n">
        <v>1</v>
      </c>
      <c r="B4122" s="10" t="n">
        <v>45652</v>
      </c>
      <c r="C4122" s="11" t="s">
        <v>4140</v>
      </c>
      <c r="D4122" s="1" t="s">
        <v>2901</v>
      </c>
      <c r="E4122" s="1" t="s">
        <v>20</v>
      </c>
      <c r="F4122" s="1" t="str">
        <f aca="false">TEXT(B4122,"mmm-yyyy")</f>
        <v>Dec-2024</v>
      </c>
    </row>
    <row r="4123" customFormat="false" ht="72" hidden="false" customHeight="true" outlineLevel="0" collapsed="false">
      <c r="A4123" s="1" t="n">
        <v>2</v>
      </c>
      <c r="B4123" s="10" t="n">
        <v>45643</v>
      </c>
      <c r="C4123" s="11" t="s">
        <v>4141</v>
      </c>
      <c r="D4123" s="1" t="s">
        <v>2901</v>
      </c>
      <c r="E4123" s="1" t="s">
        <v>20</v>
      </c>
      <c r="F4123" s="1" t="str">
        <f aca="false">TEXT(B4123,"mmm-yyyy")</f>
        <v>Dec-2024</v>
      </c>
    </row>
    <row r="4124" customFormat="false" ht="115.5" hidden="false" customHeight="true" outlineLevel="0" collapsed="false">
      <c r="A4124" s="1" t="n">
        <v>1</v>
      </c>
      <c r="B4124" s="10" t="n">
        <v>45641</v>
      </c>
      <c r="C4124" s="11" t="s">
        <v>4142</v>
      </c>
      <c r="D4124" s="1" t="s">
        <v>2901</v>
      </c>
      <c r="E4124" s="1" t="s">
        <v>20</v>
      </c>
      <c r="F4124" s="1" t="str">
        <f aca="false">TEXT(B4124,"mmm-yyyy")</f>
        <v>Dec-2024</v>
      </c>
    </row>
    <row r="4125" customFormat="false" ht="57.75" hidden="false" customHeight="true" outlineLevel="0" collapsed="false">
      <c r="A4125" s="1" t="n">
        <v>1</v>
      </c>
      <c r="B4125" s="10" t="n">
        <v>45639</v>
      </c>
      <c r="C4125" s="11" t="s">
        <v>4143</v>
      </c>
      <c r="D4125" s="1" t="s">
        <v>2901</v>
      </c>
      <c r="E4125" s="1" t="s">
        <v>20</v>
      </c>
      <c r="F4125" s="1" t="str">
        <f aca="false">TEXT(B4125,"mmm-yyyy")</f>
        <v>Dec-2024</v>
      </c>
    </row>
    <row r="4126" customFormat="false" ht="43.5" hidden="false" customHeight="true" outlineLevel="0" collapsed="false">
      <c r="A4126" s="1" t="n">
        <v>1</v>
      </c>
      <c r="B4126" s="10" t="n">
        <v>45636</v>
      </c>
      <c r="C4126" s="11" t="s">
        <v>4144</v>
      </c>
      <c r="D4126" s="1" t="s">
        <v>2901</v>
      </c>
      <c r="E4126" s="1" t="s">
        <v>18</v>
      </c>
      <c r="F4126" s="1" t="str">
        <f aca="false">TEXT(B4126,"mmm-yyyy")</f>
        <v>Dec-2024</v>
      </c>
    </row>
    <row r="4127" customFormat="false" ht="57.75" hidden="false" customHeight="true" outlineLevel="0" collapsed="false">
      <c r="A4127" s="1" t="n">
        <v>1</v>
      </c>
      <c r="B4127" s="10" t="n">
        <v>45645</v>
      </c>
      <c r="C4127" s="11" t="s">
        <v>4145</v>
      </c>
      <c r="D4127" s="1" t="s">
        <v>2901</v>
      </c>
      <c r="E4127" s="1" t="s">
        <v>18</v>
      </c>
      <c r="F4127" s="1" t="str">
        <f aca="false">TEXT(B4127,"mmm-yyyy")</f>
        <v>Dec-2024</v>
      </c>
    </row>
    <row r="4128" customFormat="false" ht="57.75" hidden="false" customHeight="true" outlineLevel="0" collapsed="false">
      <c r="A4128" s="1" t="n">
        <v>1</v>
      </c>
      <c r="B4128" s="10" t="n">
        <v>45646</v>
      </c>
      <c r="C4128" s="11" t="s">
        <v>4146</v>
      </c>
      <c r="D4128" s="1" t="s">
        <v>2901</v>
      </c>
      <c r="E4128" s="1" t="s">
        <v>18</v>
      </c>
      <c r="F4128" s="1" t="str">
        <f aca="false">TEXT(B4128,"mmm-yyyy")</f>
        <v>Dec-2024</v>
      </c>
    </row>
    <row r="4129" customFormat="false" ht="43.5" hidden="false" customHeight="true" outlineLevel="0" collapsed="false">
      <c r="A4129" s="1" t="n">
        <v>5</v>
      </c>
      <c r="B4129" s="10" t="n">
        <v>45647</v>
      </c>
      <c r="C4129" s="11" t="s">
        <v>4147</v>
      </c>
      <c r="D4129" s="1" t="s">
        <v>2901</v>
      </c>
      <c r="E4129" s="1" t="s">
        <v>18</v>
      </c>
      <c r="F4129" s="1" t="str">
        <f aca="false">TEXT(B4129,"mmm-yyyy")</f>
        <v>Dec-2024</v>
      </c>
    </row>
    <row r="4130" customFormat="false" ht="72" hidden="false" customHeight="true" outlineLevel="0" collapsed="false">
      <c r="A4130" s="1" t="n">
        <v>1</v>
      </c>
      <c r="B4130" s="10" t="n">
        <v>45655</v>
      </c>
      <c r="C4130" s="11" t="s">
        <v>4148</v>
      </c>
      <c r="D4130" s="1" t="s">
        <v>2901</v>
      </c>
      <c r="E4130" s="1" t="s">
        <v>18</v>
      </c>
      <c r="F4130" s="1" t="str">
        <f aca="false">TEXT(B4130,"mmm-yyyy")</f>
        <v>Dec-2024</v>
      </c>
    </row>
    <row r="4131" customFormat="false" ht="72" hidden="false" customHeight="true" outlineLevel="0" collapsed="false">
      <c r="A4131" s="1" t="n">
        <v>1</v>
      </c>
      <c r="B4131" s="10" t="n">
        <v>45649</v>
      </c>
      <c r="C4131" s="11" t="s">
        <v>4149</v>
      </c>
      <c r="D4131" s="1" t="s">
        <v>2901</v>
      </c>
      <c r="E4131" s="1" t="s">
        <v>20</v>
      </c>
      <c r="F4131" s="1" t="str">
        <f aca="false">TEXT(B4131,"mmm-yyyy")</f>
        <v>Dec-2024</v>
      </c>
    </row>
    <row r="4132" customFormat="false" ht="72" hidden="false" customHeight="true" outlineLevel="0" collapsed="false">
      <c r="A4132" s="1" t="n">
        <v>1</v>
      </c>
      <c r="B4132" s="10" t="n">
        <v>45644</v>
      </c>
      <c r="C4132" s="11" t="s">
        <v>4150</v>
      </c>
      <c r="D4132" s="1" t="s">
        <v>2901</v>
      </c>
      <c r="E4132" s="1" t="s">
        <v>18</v>
      </c>
      <c r="F4132" s="1" t="str">
        <f aca="false">TEXT(B4132,"mmm-yyyy")</f>
        <v>Dec-2024</v>
      </c>
    </row>
    <row r="4133" customFormat="false" ht="43.5" hidden="false" customHeight="true" outlineLevel="0" collapsed="false">
      <c r="A4133" s="1" t="n">
        <v>1</v>
      </c>
      <c r="B4133" s="10" t="n">
        <v>45656</v>
      </c>
      <c r="C4133" s="11" t="s">
        <v>4151</v>
      </c>
      <c r="D4133" s="1" t="s">
        <v>2901</v>
      </c>
      <c r="E4133" s="1" t="s">
        <v>18</v>
      </c>
      <c r="F4133" s="1" t="str">
        <f aca="false">TEXT(B4133,"mmm-yyyy")</f>
        <v>Dec-2024</v>
      </c>
    </row>
    <row r="4134" customFormat="false" ht="72" hidden="false" customHeight="true" outlineLevel="0" collapsed="false">
      <c r="A4134" s="1" t="n">
        <v>1</v>
      </c>
      <c r="B4134" s="10" t="n">
        <v>45653</v>
      </c>
      <c r="C4134" s="11" t="s">
        <v>4152</v>
      </c>
      <c r="D4134" s="1" t="s">
        <v>2901</v>
      </c>
      <c r="E4134" s="1" t="s">
        <v>20</v>
      </c>
      <c r="F4134" s="1" t="str">
        <f aca="false">TEXT(B4134,"mmm-yyyy")</f>
        <v>Dec-2024</v>
      </c>
    </row>
    <row r="4135" customFormat="false" ht="57.75" hidden="false" customHeight="true" outlineLevel="0" collapsed="false">
      <c r="A4135" s="1" t="n">
        <v>3</v>
      </c>
      <c r="B4135" s="10" t="n">
        <v>45651</v>
      </c>
      <c r="C4135" s="11" t="s">
        <v>4153</v>
      </c>
      <c r="D4135" s="1" t="s">
        <v>2901</v>
      </c>
      <c r="E4135" s="1" t="s">
        <v>32</v>
      </c>
      <c r="F4135" s="1" t="str">
        <f aca="false">TEXT(B4135,"mmm-yyyy")</f>
        <v>Dec-2024</v>
      </c>
    </row>
    <row r="4136" customFormat="false" ht="130.5" hidden="false" customHeight="true" outlineLevel="0" collapsed="false">
      <c r="A4136" s="1" t="n">
        <v>1</v>
      </c>
      <c r="B4136" s="10" t="n">
        <v>45650</v>
      </c>
      <c r="C4136" s="11" t="s">
        <v>4154</v>
      </c>
      <c r="D4136" s="1" t="s">
        <v>2901</v>
      </c>
      <c r="E4136" s="1" t="s">
        <v>20</v>
      </c>
      <c r="F4136" s="1" t="str">
        <f aca="false">TEXT(B4136,"mmm-yyyy")</f>
        <v>Dec-2024</v>
      </c>
    </row>
    <row r="4137" customFormat="false" ht="101.25" hidden="false" customHeight="true" outlineLevel="0" collapsed="false">
      <c r="A4137" s="1" t="n">
        <v>1</v>
      </c>
      <c r="B4137" s="10" t="n">
        <v>45652</v>
      </c>
      <c r="C4137" s="11" t="s">
        <v>4155</v>
      </c>
      <c r="D4137" s="1" t="s">
        <v>2901</v>
      </c>
      <c r="E4137" s="1" t="s">
        <v>18</v>
      </c>
      <c r="F4137" s="1" t="str">
        <f aca="false">TEXT(B4137,"mmm-yyyy")</f>
        <v>Dec-2024</v>
      </c>
    </row>
    <row r="4138" customFormat="false" ht="57.75" hidden="false" customHeight="true" outlineLevel="0" collapsed="false">
      <c r="A4138" s="1" t="n">
        <v>5</v>
      </c>
      <c r="B4138" s="10" t="n">
        <v>45648</v>
      </c>
      <c r="C4138" s="11" t="s">
        <v>4156</v>
      </c>
      <c r="D4138" s="1" t="s">
        <v>2901</v>
      </c>
      <c r="E4138" s="1" t="s">
        <v>18</v>
      </c>
      <c r="F4138" s="1" t="str">
        <f aca="false">TEXT(B4138,"mmm-yyyy")</f>
        <v>Dec-2024</v>
      </c>
    </row>
    <row r="4139" customFormat="false" ht="43.5" hidden="false" customHeight="true" outlineLevel="0" collapsed="false">
      <c r="A4139" s="1" t="n">
        <v>1</v>
      </c>
      <c r="B4139" s="10" t="n">
        <v>45654</v>
      </c>
      <c r="C4139" s="11" t="s">
        <v>4157</v>
      </c>
      <c r="D4139" s="1" t="s">
        <v>2901</v>
      </c>
      <c r="E4139" s="1" t="s">
        <v>20</v>
      </c>
      <c r="F4139" s="1" t="str">
        <f aca="false">TEXT(B4139,"mmm-yyyy")</f>
        <v>Dec-2024</v>
      </c>
    </row>
    <row r="4140" customFormat="false" ht="87" hidden="false" customHeight="true" outlineLevel="0" collapsed="false">
      <c r="A4140" s="1" t="n">
        <v>4</v>
      </c>
      <c r="B4140" s="10" t="n">
        <v>45654</v>
      </c>
      <c r="C4140" s="11" t="s">
        <v>4158</v>
      </c>
      <c r="D4140" s="1" t="s">
        <v>2901</v>
      </c>
      <c r="E4140" s="1" t="s">
        <v>18</v>
      </c>
      <c r="F4140" s="1" t="str">
        <f aca="false">TEXT(B4140,"mmm-yyyy")</f>
        <v>Dec-2024</v>
      </c>
    </row>
    <row r="4141" customFormat="false" ht="57.75" hidden="false" customHeight="true" outlineLevel="0" collapsed="false">
      <c r="A4141" s="1" t="n">
        <v>1</v>
      </c>
      <c r="B4141" s="10" t="n">
        <v>45651</v>
      </c>
      <c r="C4141" s="11" t="s">
        <v>4159</v>
      </c>
      <c r="D4141" s="1" t="s">
        <v>2901</v>
      </c>
      <c r="E4141" s="1" t="s">
        <v>20</v>
      </c>
      <c r="F4141" s="1" t="str">
        <f aca="false">TEXT(B4141,"mmm-yyyy")</f>
        <v>Dec-2024</v>
      </c>
    </row>
    <row r="4142" customFormat="false" ht="57.75" hidden="false" customHeight="true" outlineLevel="0" collapsed="false">
      <c r="A4142" s="1" t="n">
        <v>1</v>
      </c>
      <c r="B4142" s="10" t="n">
        <v>45648</v>
      </c>
      <c r="C4142" s="11" t="s">
        <v>4160</v>
      </c>
      <c r="D4142" s="1" t="s">
        <v>2901</v>
      </c>
      <c r="E4142" s="1" t="s">
        <v>18</v>
      </c>
      <c r="F4142" s="1" t="str">
        <f aca="false">TEXT(B4142,"mmm-yyyy")</f>
        <v>Dec-2024</v>
      </c>
    </row>
    <row r="4143" customFormat="false" ht="72" hidden="false" customHeight="true" outlineLevel="0" collapsed="false">
      <c r="A4143" s="1" t="n">
        <v>2</v>
      </c>
      <c r="B4143" s="10" t="n">
        <v>45656</v>
      </c>
      <c r="C4143" s="11" t="s">
        <v>4161</v>
      </c>
      <c r="D4143" s="1" t="s">
        <v>2901</v>
      </c>
      <c r="E4143" s="1" t="s">
        <v>18</v>
      </c>
      <c r="F4143" s="1" t="str">
        <f aca="false">TEXT(B4143,"mmm-yyyy")</f>
        <v>Dec-2024</v>
      </c>
    </row>
    <row r="4144" customFormat="false" ht="57.75" hidden="false" customHeight="true" outlineLevel="0" collapsed="false">
      <c r="A4144" s="1" t="n">
        <v>1</v>
      </c>
      <c r="B4144" s="10" t="n">
        <v>45652</v>
      </c>
      <c r="C4144" s="11" t="s">
        <v>4162</v>
      </c>
      <c r="D4144" s="1" t="s">
        <v>2901</v>
      </c>
      <c r="E4144" s="1" t="s">
        <v>20</v>
      </c>
      <c r="F4144" s="1" t="str">
        <f aca="false">TEXT(B4144,"mmm-yyyy")</f>
        <v>Dec-2024</v>
      </c>
    </row>
    <row r="4145" customFormat="false" ht="130.5" hidden="false" customHeight="true" outlineLevel="0" collapsed="false">
      <c r="A4145" s="1" t="n">
        <v>1</v>
      </c>
      <c r="B4145" s="10" t="n">
        <v>45647</v>
      </c>
      <c r="C4145" s="11" t="s">
        <v>4163</v>
      </c>
      <c r="D4145" s="1" t="s">
        <v>2901</v>
      </c>
      <c r="E4145" s="1" t="s">
        <v>20</v>
      </c>
      <c r="F4145" s="1" t="str">
        <f aca="false">TEXT(B4145,"mmm-yyyy")</f>
        <v>Dec-2024</v>
      </c>
    </row>
    <row r="4146" customFormat="false" ht="87" hidden="false" customHeight="true" outlineLevel="0" collapsed="false">
      <c r="A4146" s="1" t="n">
        <v>1</v>
      </c>
      <c r="B4146" s="10" t="n">
        <v>45653</v>
      </c>
      <c r="C4146" s="11" t="s">
        <v>4164</v>
      </c>
      <c r="D4146" s="1" t="s">
        <v>2901</v>
      </c>
      <c r="E4146" s="1" t="s">
        <v>20</v>
      </c>
      <c r="F4146" s="1" t="str">
        <f aca="false">TEXT(B4146,"mmm-yyyy")</f>
        <v>Dec-2024</v>
      </c>
    </row>
    <row r="4147" customFormat="false" ht="72" hidden="false" customHeight="true" outlineLevel="0" collapsed="false">
      <c r="A4147" s="1" t="n">
        <v>1</v>
      </c>
      <c r="B4147" s="10" t="n">
        <v>45647</v>
      </c>
      <c r="C4147" s="11" t="s">
        <v>4165</v>
      </c>
      <c r="D4147" s="1" t="s">
        <v>2901</v>
      </c>
      <c r="E4147" s="1" t="s">
        <v>20</v>
      </c>
      <c r="F4147" s="1" t="str">
        <f aca="false">TEXT(B4147,"mmm-yyyy")</f>
        <v>Dec-2024</v>
      </c>
    </row>
    <row r="4148" customFormat="false" ht="57.75" hidden="false" customHeight="true" outlineLevel="0" collapsed="false">
      <c r="A4148" s="1" t="n">
        <v>1</v>
      </c>
      <c r="B4148" s="10" t="n">
        <v>45644</v>
      </c>
      <c r="C4148" s="11" t="s">
        <v>4166</v>
      </c>
      <c r="D4148" s="1" t="s">
        <v>2901</v>
      </c>
      <c r="E4148" s="1" t="s">
        <v>20</v>
      </c>
      <c r="F4148" s="1" t="str">
        <f aca="false">TEXT(B4148,"mmm-yyyy")</f>
        <v>Dec-2024</v>
      </c>
    </row>
    <row r="4149" customFormat="false" ht="57.75" hidden="false" customHeight="true" outlineLevel="0" collapsed="false">
      <c r="A4149" s="1" t="n">
        <v>1</v>
      </c>
      <c r="B4149" s="10" t="n">
        <v>45637</v>
      </c>
      <c r="C4149" s="11" t="s">
        <v>4167</v>
      </c>
      <c r="D4149" s="1" t="s">
        <v>2901</v>
      </c>
      <c r="E4149" s="1" t="s">
        <v>18</v>
      </c>
      <c r="F4149" s="1" t="str">
        <f aca="false">TEXT(B4149,"mmm-yyyy")</f>
        <v>Dec-2024</v>
      </c>
    </row>
    <row r="4150" customFormat="false" ht="43.5" hidden="false" customHeight="true" outlineLevel="0" collapsed="false">
      <c r="A4150" s="1" t="n">
        <v>5</v>
      </c>
      <c r="B4150" s="10" t="n">
        <v>45642</v>
      </c>
      <c r="C4150" s="11" t="s">
        <v>4168</v>
      </c>
      <c r="D4150" s="1" t="s">
        <v>2901</v>
      </c>
      <c r="E4150" s="1" t="s">
        <v>18</v>
      </c>
      <c r="F4150" s="1" t="str">
        <f aca="false">TEXT(B4150,"mmm-yyyy")</f>
        <v>Dec-2024</v>
      </c>
    </row>
    <row r="4151" customFormat="false" ht="87" hidden="false" customHeight="true" outlineLevel="0" collapsed="false">
      <c r="A4151" s="1" t="n">
        <v>1</v>
      </c>
      <c r="B4151" s="10" t="n">
        <v>45652</v>
      </c>
      <c r="C4151" s="11" t="s">
        <v>4169</v>
      </c>
      <c r="D4151" s="1" t="s">
        <v>2901</v>
      </c>
      <c r="E4151" s="1" t="s">
        <v>20</v>
      </c>
      <c r="F4151" s="1" t="str">
        <f aca="false">TEXT(B4151,"mmm-yyyy")</f>
        <v>Dec-2024</v>
      </c>
    </row>
    <row r="4152" customFormat="false" ht="43.5" hidden="false" customHeight="true" outlineLevel="0" collapsed="false">
      <c r="A4152" s="1" t="n">
        <v>1</v>
      </c>
      <c r="B4152" s="10" t="n">
        <v>45655</v>
      </c>
      <c r="C4152" s="11" t="s">
        <v>4170</v>
      </c>
      <c r="D4152" s="1" t="s">
        <v>2901</v>
      </c>
      <c r="E4152" s="1" t="s">
        <v>20</v>
      </c>
      <c r="F4152" s="1" t="str">
        <f aca="false">TEXT(B4152,"mmm-yyyy")</f>
        <v>Dec-2024</v>
      </c>
    </row>
    <row r="4153" customFormat="false" ht="87" hidden="false" customHeight="true" outlineLevel="0" collapsed="false">
      <c r="A4153" s="1" t="n">
        <v>1</v>
      </c>
      <c r="B4153" s="10" t="n">
        <v>45640</v>
      </c>
      <c r="C4153" s="11" t="s">
        <v>4171</v>
      </c>
      <c r="D4153" s="1" t="s">
        <v>2901</v>
      </c>
      <c r="E4153" s="1" t="s">
        <v>20</v>
      </c>
      <c r="F4153" s="1" t="str">
        <f aca="false">TEXT(B4153,"mmm-yyyy")</f>
        <v>Dec-2024</v>
      </c>
    </row>
    <row r="4154" customFormat="false" ht="72" hidden="false" customHeight="true" outlineLevel="0" collapsed="false">
      <c r="A4154" s="1" t="n">
        <v>1</v>
      </c>
      <c r="B4154" s="10" t="n">
        <v>45641</v>
      </c>
      <c r="C4154" s="11" t="s">
        <v>4172</v>
      </c>
      <c r="D4154" s="1" t="s">
        <v>2901</v>
      </c>
      <c r="E4154" s="1" t="s">
        <v>20</v>
      </c>
      <c r="F4154" s="1" t="str">
        <f aca="false">TEXT(B4154,"mmm-yyyy")</f>
        <v>Dec-2024</v>
      </c>
    </row>
    <row r="4155" customFormat="false" ht="115.5" hidden="false" customHeight="true" outlineLevel="0" collapsed="false">
      <c r="A4155" s="1" t="n">
        <v>1</v>
      </c>
      <c r="B4155" s="10" t="n">
        <v>45645</v>
      </c>
      <c r="C4155" s="11" t="s">
        <v>4173</v>
      </c>
      <c r="D4155" s="1" t="s">
        <v>2901</v>
      </c>
      <c r="E4155" s="1" t="s">
        <v>20</v>
      </c>
      <c r="F4155" s="1" t="str">
        <f aca="false">TEXT(B4155,"mmm-yyyy")</f>
        <v>Dec-2024</v>
      </c>
    </row>
    <row r="4156" customFormat="false" ht="57.75" hidden="false" customHeight="true" outlineLevel="0" collapsed="false">
      <c r="A4156" s="1" t="n">
        <v>3</v>
      </c>
      <c r="B4156" s="10" t="n">
        <v>45643</v>
      </c>
      <c r="C4156" s="11" t="s">
        <v>4174</v>
      </c>
      <c r="D4156" s="1" t="s">
        <v>2901</v>
      </c>
      <c r="E4156" s="1" t="s">
        <v>32</v>
      </c>
      <c r="F4156" s="1" t="str">
        <f aca="false">TEXT(B4156,"mmm-yyyy")</f>
        <v>Dec-2024</v>
      </c>
    </row>
    <row r="4157" customFormat="false" ht="57.75" hidden="false" customHeight="true" outlineLevel="0" collapsed="false">
      <c r="A4157" s="1" t="n">
        <v>5</v>
      </c>
      <c r="B4157" s="10" t="n">
        <v>45645</v>
      </c>
      <c r="C4157" s="11" t="s">
        <v>4175</v>
      </c>
      <c r="D4157" s="1" t="s">
        <v>2901</v>
      </c>
      <c r="E4157" s="1" t="s">
        <v>18</v>
      </c>
      <c r="F4157" s="1" t="str">
        <f aca="false">TEXT(B4157,"mmm-yyyy")</f>
        <v>Dec-2024</v>
      </c>
    </row>
    <row r="4158" customFormat="false" ht="72" hidden="false" customHeight="true" outlineLevel="0" collapsed="false">
      <c r="A4158" s="1" t="n">
        <v>1</v>
      </c>
      <c r="B4158" s="10" t="n">
        <v>45650</v>
      </c>
      <c r="C4158" s="11" t="s">
        <v>4176</v>
      </c>
      <c r="D4158" s="1" t="s">
        <v>2901</v>
      </c>
      <c r="E4158" s="1" t="s">
        <v>32</v>
      </c>
      <c r="F4158" s="1" t="str">
        <f aca="false">TEXT(B4158,"mmm-yyyy")</f>
        <v>Dec-2024</v>
      </c>
    </row>
    <row r="4159" customFormat="false" ht="57.75" hidden="false" customHeight="true" outlineLevel="0" collapsed="false">
      <c r="A4159" s="1" t="n">
        <v>1</v>
      </c>
      <c r="B4159" s="10" t="n">
        <v>45649</v>
      </c>
      <c r="C4159" s="11" t="s">
        <v>4177</v>
      </c>
      <c r="D4159" s="1" t="s">
        <v>2901</v>
      </c>
      <c r="E4159" s="1" t="s">
        <v>20</v>
      </c>
      <c r="F4159" s="1" t="str">
        <f aca="false">TEXT(B4159,"mmm-yyyy")</f>
        <v>Dec-2024</v>
      </c>
    </row>
    <row r="4160" customFormat="false" ht="43.5" hidden="false" customHeight="true" outlineLevel="0" collapsed="false">
      <c r="A4160" s="1" t="n">
        <v>1</v>
      </c>
      <c r="B4160" s="10" t="n">
        <v>45645</v>
      </c>
      <c r="C4160" s="11" t="s">
        <v>4178</v>
      </c>
      <c r="D4160" s="1" t="s">
        <v>2901</v>
      </c>
      <c r="E4160" s="1" t="s">
        <v>20</v>
      </c>
      <c r="F4160" s="1" t="str">
        <f aca="false">TEXT(B4160,"mmm-yyyy")</f>
        <v>Dec-2024</v>
      </c>
    </row>
    <row r="4161" customFormat="false" ht="72" hidden="false" customHeight="true" outlineLevel="0" collapsed="false">
      <c r="A4161" s="1" t="n">
        <v>1</v>
      </c>
      <c r="B4161" s="10" t="n">
        <v>45641</v>
      </c>
      <c r="C4161" s="11" t="s">
        <v>4179</v>
      </c>
      <c r="D4161" s="1" t="s">
        <v>2901</v>
      </c>
      <c r="E4161" s="1" t="s">
        <v>20</v>
      </c>
      <c r="F4161" s="1" t="str">
        <f aca="false">TEXT(B4161,"mmm-yyyy")</f>
        <v>Dec-2024</v>
      </c>
    </row>
    <row r="4162" customFormat="false" ht="57.75" hidden="false" customHeight="true" outlineLevel="0" collapsed="false">
      <c r="A4162" s="1" t="n">
        <v>1</v>
      </c>
      <c r="B4162" s="10" t="n">
        <v>45653</v>
      </c>
      <c r="C4162" s="11" t="s">
        <v>4180</v>
      </c>
      <c r="D4162" s="1" t="s">
        <v>2901</v>
      </c>
      <c r="E4162" s="1" t="s">
        <v>20</v>
      </c>
      <c r="F4162" s="1" t="str">
        <f aca="false">TEXT(B4162,"mmm-yyyy")</f>
        <v>Dec-2024</v>
      </c>
    </row>
    <row r="4163" customFormat="false" ht="43.5" hidden="false" customHeight="true" outlineLevel="0" collapsed="false">
      <c r="A4163" s="1" t="n">
        <v>1</v>
      </c>
      <c r="B4163" s="10" t="n">
        <v>45650</v>
      </c>
      <c r="C4163" s="11" t="s">
        <v>4181</v>
      </c>
      <c r="D4163" s="1" t="s">
        <v>2901</v>
      </c>
      <c r="E4163" s="1" t="s">
        <v>20</v>
      </c>
      <c r="F4163" s="1" t="str">
        <f aca="false">TEXT(B4163,"mmm-yyyy")</f>
        <v>Dec-2024</v>
      </c>
    </row>
    <row r="4164" customFormat="false" ht="57.75" hidden="false" customHeight="true" outlineLevel="0" collapsed="false">
      <c r="A4164" s="1" t="n">
        <v>1</v>
      </c>
      <c r="B4164" s="10" t="n">
        <v>45638</v>
      </c>
      <c r="C4164" s="11" t="s">
        <v>4182</v>
      </c>
      <c r="D4164" s="1" t="s">
        <v>2901</v>
      </c>
      <c r="E4164" s="1" t="s">
        <v>20</v>
      </c>
      <c r="F4164" s="1" t="str">
        <f aca="false">TEXT(B4164,"mmm-yyyy")</f>
        <v>Dec-2024</v>
      </c>
    </row>
    <row r="4165" customFormat="false" ht="72" hidden="false" customHeight="true" outlineLevel="0" collapsed="false">
      <c r="A4165" s="1" t="n">
        <v>1</v>
      </c>
      <c r="B4165" s="10" t="n">
        <v>45644</v>
      </c>
      <c r="C4165" s="11" t="s">
        <v>4183</v>
      </c>
      <c r="D4165" s="1" t="s">
        <v>2901</v>
      </c>
      <c r="E4165" s="1" t="s">
        <v>20</v>
      </c>
      <c r="F4165" s="1" t="str">
        <f aca="false">TEXT(B4165,"mmm-yyyy")</f>
        <v>Dec-2024</v>
      </c>
    </row>
    <row r="4166" customFormat="false" ht="57.75" hidden="false" customHeight="true" outlineLevel="0" collapsed="false">
      <c r="A4166" s="1" t="n">
        <v>1</v>
      </c>
      <c r="B4166" s="10" t="n">
        <v>45643</v>
      </c>
      <c r="C4166" s="11" t="s">
        <v>4184</v>
      </c>
      <c r="D4166" s="1" t="s">
        <v>2901</v>
      </c>
      <c r="E4166" s="1" t="s">
        <v>18</v>
      </c>
      <c r="F4166" s="1" t="str">
        <f aca="false">TEXT(B4166,"mmm-yyyy")</f>
        <v>Dec-2024</v>
      </c>
    </row>
    <row r="4167" customFormat="false" ht="57.75" hidden="false" customHeight="true" outlineLevel="0" collapsed="false">
      <c r="A4167" s="1" t="n">
        <v>1</v>
      </c>
      <c r="B4167" s="10" t="n">
        <v>45651</v>
      </c>
      <c r="C4167" s="11" t="s">
        <v>4185</v>
      </c>
      <c r="D4167" s="1" t="s">
        <v>2901</v>
      </c>
      <c r="E4167" s="1" t="s">
        <v>20</v>
      </c>
      <c r="F4167" s="1" t="str">
        <f aca="false">TEXT(B4167,"mmm-yyyy")</f>
        <v>Dec-2024</v>
      </c>
    </row>
    <row r="4168" customFormat="false" ht="115.5" hidden="false" customHeight="true" outlineLevel="0" collapsed="false">
      <c r="A4168" s="1" t="n">
        <v>1</v>
      </c>
      <c r="B4168" s="10" t="n">
        <v>45647</v>
      </c>
      <c r="C4168" s="11" t="s">
        <v>4186</v>
      </c>
      <c r="D4168" s="1" t="s">
        <v>2901</v>
      </c>
      <c r="E4168" s="1" t="s">
        <v>20</v>
      </c>
      <c r="F4168" s="1" t="str">
        <f aca="false">TEXT(B4168,"mmm-yyyy")</f>
        <v>Dec-2024</v>
      </c>
    </row>
    <row r="4169" customFormat="false" ht="72" hidden="false" customHeight="true" outlineLevel="0" collapsed="false">
      <c r="A4169" s="1" t="n">
        <v>1</v>
      </c>
      <c r="B4169" s="10" t="n">
        <v>45647</v>
      </c>
      <c r="C4169" s="11" t="s">
        <v>4187</v>
      </c>
      <c r="D4169" s="1" t="s">
        <v>2901</v>
      </c>
      <c r="E4169" s="1" t="s">
        <v>18</v>
      </c>
      <c r="F4169" s="1" t="str">
        <f aca="false">TEXT(B4169,"mmm-yyyy")</f>
        <v>Dec-2024</v>
      </c>
    </row>
    <row r="4170" customFormat="false" ht="57.75" hidden="false" customHeight="true" outlineLevel="0" collapsed="false">
      <c r="A4170" s="1" t="n">
        <v>5</v>
      </c>
      <c r="B4170" s="10" t="n">
        <v>45651</v>
      </c>
      <c r="C4170" s="11" t="s">
        <v>4188</v>
      </c>
      <c r="D4170" s="1" t="s">
        <v>2901</v>
      </c>
      <c r="E4170" s="1" t="s">
        <v>18</v>
      </c>
      <c r="F4170" s="1" t="str">
        <f aca="false">TEXT(B4170,"mmm-yyyy")</f>
        <v>Dec-2024</v>
      </c>
    </row>
    <row r="4171" customFormat="false" ht="87" hidden="false" customHeight="true" outlineLevel="0" collapsed="false">
      <c r="A4171" s="1" t="n">
        <v>5</v>
      </c>
      <c r="B4171" s="10" t="n">
        <v>45653</v>
      </c>
      <c r="C4171" s="11" t="s">
        <v>4189</v>
      </c>
      <c r="D4171" s="1" t="s">
        <v>2901</v>
      </c>
      <c r="E4171" s="1" t="s">
        <v>18</v>
      </c>
      <c r="F4171" s="1" t="str">
        <f aca="false">TEXT(B4171,"mmm-yyyy")</f>
        <v>Dec-2024</v>
      </c>
    </row>
    <row r="4172" customFormat="false" ht="72" hidden="false" customHeight="true" outlineLevel="0" collapsed="false">
      <c r="A4172" s="1" t="n">
        <v>1</v>
      </c>
      <c r="B4172" s="10" t="n">
        <v>45650</v>
      </c>
      <c r="C4172" s="11" t="s">
        <v>4190</v>
      </c>
      <c r="D4172" s="1" t="s">
        <v>2901</v>
      </c>
      <c r="E4172" s="1" t="s">
        <v>20</v>
      </c>
      <c r="F4172" s="1" t="str">
        <f aca="false">TEXT(B4172,"mmm-yyyy")</f>
        <v>Dec-2024</v>
      </c>
    </row>
    <row r="4173" customFormat="false" ht="72" hidden="false" customHeight="true" outlineLevel="0" collapsed="false">
      <c r="A4173" s="1" t="n">
        <v>1</v>
      </c>
      <c r="B4173" s="10" t="n">
        <v>45654</v>
      </c>
      <c r="C4173" s="11" t="s">
        <v>4191</v>
      </c>
      <c r="D4173" s="1" t="s">
        <v>2901</v>
      </c>
      <c r="E4173" s="1" t="s">
        <v>18</v>
      </c>
      <c r="F4173" s="1" t="str">
        <f aca="false">TEXT(B4173,"mmm-yyyy")</f>
        <v>Dec-2024</v>
      </c>
    </row>
    <row r="4174" customFormat="false" ht="43.5" hidden="false" customHeight="true" outlineLevel="0" collapsed="false">
      <c r="A4174" s="1" t="n">
        <v>1</v>
      </c>
      <c r="B4174" s="10" t="n">
        <v>45637</v>
      </c>
      <c r="C4174" s="11" t="s">
        <v>4192</v>
      </c>
      <c r="D4174" s="1" t="s">
        <v>2901</v>
      </c>
      <c r="E4174" s="1" t="s">
        <v>20</v>
      </c>
      <c r="F4174" s="1" t="str">
        <f aca="false">TEXT(B4174,"mmm-yyyy")</f>
        <v>Dec-2024</v>
      </c>
    </row>
    <row r="4175" customFormat="false" ht="159" hidden="false" customHeight="true" outlineLevel="0" collapsed="false">
      <c r="A4175" s="1" t="n">
        <v>1</v>
      </c>
      <c r="B4175" s="10" t="n">
        <v>45655</v>
      </c>
      <c r="C4175" s="11" t="s">
        <v>4193</v>
      </c>
      <c r="D4175" s="1" t="s">
        <v>2901</v>
      </c>
      <c r="E4175" s="1" t="s">
        <v>18</v>
      </c>
      <c r="F4175" s="1" t="str">
        <f aca="false">TEXT(B4175,"mmm-yyyy")</f>
        <v>Dec-2024</v>
      </c>
    </row>
    <row r="4176" customFormat="false" ht="57.75" hidden="false" customHeight="true" outlineLevel="0" collapsed="false">
      <c r="A4176" s="1" t="n">
        <v>5</v>
      </c>
      <c r="B4176" s="10" t="n">
        <v>45646</v>
      </c>
      <c r="C4176" s="11" t="s">
        <v>4194</v>
      </c>
      <c r="D4176" s="1" t="s">
        <v>2901</v>
      </c>
      <c r="E4176" s="1" t="s">
        <v>18</v>
      </c>
      <c r="F4176" s="1" t="str">
        <f aca="false">TEXT(B4176,"mmm-yyyy")</f>
        <v>Dec-2024</v>
      </c>
    </row>
    <row r="4177" customFormat="false" ht="72" hidden="false" customHeight="true" outlineLevel="0" collapsed="false">
      <c r="A4177" s="1" t="n">
        <v>1</v>
      </c>
      <c r="B4177" s="10" t="n">
        <v>45653</v>
      </c>
      <c r="C4177" s="11" t="s">
        <v>4195</v>
      </c>
      <c r="D4177" s="1" t="s">
        <v>2901</v>
      </c>
      <c r="E4177" s="1" t="s">
        <v>18</v>
      </c>
      <c r="F4177" s="1" t="str">
        <f aca="false">TEXT(B4177,"mmm-yyyy")</f>
        <v>Dec-2024</v>
      </c>
    </row>
    <row r="4178" customFormat="false" ht="87" hidden="false" customHeight="true" outlineLevel="0" collapsed="false">
      <c r="A4178" s="1" t="n">
        <v>1</v>
      </c>
      <c r="B4178" s="10" t="n">
        <v>45642</v>
      </c>
      <c r="C4178" s="11" t="s">
        <v>4196</v>
      </c>
      <c r="D4178" s="1" t="s">
        <v>2901</v>
      </c>
      <c r="E4178" s="1" t="s">
        <v>20</v>
      </c>
      <c r="F4178" s="1" t="str">
        <f aca="false">TEXT(B4178,"mmm-yyyy")</f>
        <v>Dec-2024</v>
      </c>
    </row>
    <row r="4179" customFormat="false" ht="101.25" hidden="false" customHeight="true" outlineLevel="0" collapsed="false">
      <c r="A4179" s="1" t="n">
        <v>1</v>
      </c>
      <c r="B4179" s="10" t="n">
        <v>45650</v>
      </c>
      <c r="C4179" s="11" t="s">
        <v>4197</v>
      </c>
      <c r="D4179" s="1" t="s">
        <v>2901</v>
      </c>
      <c r="E4179" s="1" t="s">
        <v>20</v>
      </c>
      <c r="F4179" s="1" t="str">
        <f aca="false">TEXT(B4179,"mmm-yyyy")</f>
        <v>Dec-2024</v>
      </c>
    </row>
    <row r="4180" customFormat="false" ht="72" hidden="false" customHeight="true" outlineLevel="0" collapsed="false">
      <c r="A4180" s="1" t="n">
        <v>1</v>
      </c>
      <c r="B4180" s="10" t="n">
        <v>45644</v>
      </c>
      <c r="C4180" s="11" t="s">
        <v>4198</v>
      </c>
      <c r="D4180" s="1" t="s">
        <v>2901</v>
      </c>
      <c r="E4180" s="1" t="s">
        <v>20</v>
      </c>
      <c r="F4180" s="1" t="str">
        <f aca="false">TEXT(B4180,"mmm-yyyy")</f>
        <v>Dec-2024</v>
      </c>
    </row>
    <row r="4181" customFormat="false" ht="57.75" hidden="false" customHeight="true" outlineLevel="0" collapsed="false">
      <c r="A4181" s="1" t="n">
        <v>1</v>
      </c>
      <c r="B4181" s="10" t="n">
        <v>45634</v>
      </c>
      <c r="C4181" s="11" t="s">
        <v>4199</v>
      </c>
      <c r="D4181" s="1" t="s">
        <v>2901</v>
      </c>
      <c r="E4181" s="1" t="s">
        <v>18</v>
      </c>
      <c r="F4181" s="1" t="str">
        <f aca="false">TEXT(B4181,"mmm-yyyy")</f>
        <v>Dec-2024</v>
      </c>
    </row>
    <row r="4182" customFormat="false" ht="43.5" hidden="false" customHeight="true" outlineLevel="0" collapsed="false">
      <c r="A4182" s="1" t="n">
        <v>2</v>
      </c>
      <c r="B4182" s="10" t="n">
        <v>45648</v>
      </c>
      <c r="C4182" s="11" t="s">
        <v>4200</v>
      </c>
      <c r="D4182" s="1" t="s">
        <v>2901</v>
      </c>
      <c r="E4182" s="1" t="s">
        <v>18</v>
      </c>
      <c r="F4182" s="1" t="str">
        <f aca="false">TEXT(B4182,"mmm-yyyy")</f>
        <v>Dec-2024</v>
      </c>
    </row>
    <row r="4183" customFormat="false" ht="57.75" hidden="false" customHeight="true" outlineLevel="0" collapsed="false">
      <c r="A4183" s="1" t="n">
        <v>2</v>
      </c>
      <c r="B4183" s="10" t="n">
        <v>45643</v>
      </c>
      <c r="C4183" s="11" t="s">
        <v>4201</v>
      </c>
      <c r="D4183" s="1" t="s">
        <v>2901</v>
      </c>
      <c r="E4183" s="1" t="s">
        <v>18</v>
      </c>
      <c r="F4183" s="1" t="str">
        <f aca="false">TEXT(B4183,"mmm-yyyy")</f>
        <v>Dec-2024</v>
      </c>
    </row>
    <row r="4184" customFormat="false" ht="57.75" hidden="false" customHeight="true" outlineLevel="0" collapsed="false">
      <c r="A4184" s="1" t="n">
        <v>1</v>
      </c>
      <c r="B4184" s="10" t="n">
        <v>45645</v>
      </c>
      <c r="C4184" s="11" t="s">
        <v>4202</v>
      </c>
      <c r="D4184" s="1" t="s">
        <v>2901</v>
      </c>
      <c r="E4184" s="1" t="s">
        <v>20</v>
      </c>
      <c r="F4184" s="1" t="str">
        <f aca="false">TEXT(B4184,"mmm-yyyy")</f>
        <v>Dec-2024</v>
      </c>
    </row>
    <row r="4185" customFormat="false" ht="57.75" hidden="false" customHeight="true" outlineLevel="0" collapsed="false">
      <c r="A4185" s="1" t="n">
        <v>1</v>
      </c>
      <c r="B4185" s="10" t="n">
        <v>45645</v>
      </c>
      <c r="C4185" s="11" t="s">
        <v>4203</v>
      </c>
      <c r="D4185" s="1" t="s">
        <v>2901</v>
      </c>
      <c r="E4185" s="1" t="s">
        <v>20</v>
      </c>
      <c r="F4185" s="1" t="str">
        <f aca="false">TEXT(B4185,"mmm-yyyy")</f>
        <v>Dec-2024</v>
      </c>
    </row>
    <row r="4186" customFormat="false" ht="57.75" hidden="false" customHeight="true" outlineLevel="0" collapsed="false">
      <c r="A4186" s="1" t="n">
        <v>1</v>
      </c>
      <c r="B4186" s="10" t="n">
        <v>45654</v>
      </c>
      <c r="C4186" s="11" t="s">
        <v>4204</v>
      </c>
      <c r="D4186" s="1" t="s">
        <v>2901</v>
      </c>
      <c r="E4186" s="1" t="s">
        <v>20</v>
      </c>
      <c r="F4186" s="1" t="str">
        <f aca="false">TEXT(B4186,"mmm-yyyy")</f>
        <v>Dec-2024</v>
      </c>
    </row>
    <row r="4187" customFormat="false" ht="87" hidden="false" customHeight="true" outlineLevel="0" collapsed="false">
      <c r="A4187" s="1" t="n">
        <v>1</v>
      </c>
      <c r="B4187" s="10" t="n">
        <v>45651</v>
      </c>
      <c r="C4187" s="11" t="s">
        <v>4205</v>
      </c>
      <c r="D4187" s="1" t="s">
        <v>2901</v>
      </c>
      <c r="E4187" s="1" t="s">
        <v>20</v>
      </c>
      <c r="F4187" s="1" t="str">
        <f aca="false">TEXT(B4187,"mmm-yyyy")</f>
        <v>Dec-2024</v>
      </c>
    </row>
    <row r="4188" customFormat="false" ht="43.5" hidden="false" customHeight="true" outlineLevel="0" collapsed="false">
      <c r="A4188" s="1" t="n">
        <v>1</v>
      </c>
      <c r="B4188" s="10" t="n">
        <v>45649</v>
      </c>
      <c r="C4188" s="11" t="s">
        <v>4206</v>
      </c>
      <c r="D4188" s="1" t="s">
        <v>2901</v>
      </c>
      <c r="E4188" s="1" t="s">
        <v>18</v>
      </c>
      <c r="F4188" s="1" t="str">
        <f aca="false">TEXT(B4188,"mmm-yyyy")</f>
        <v>Dec-2024</v>
      </c>
    </row>
    <row r="4189" customFormat="false" ht="101.25" hidden="false" customHeight="true" outlineLevel="0" collapsed="false">
      <c r="A4189" s="1" t="n">
        <v>1</v>
      </c>
      <c r="B4189" s="10" t="n">
        <v>45644</v>
      </c>
      <c r="C4189" s="11" t="s">
        <v>4207</v>
      </c>
      <c r="D4189" s="1" t="s">
        <v>2901</v>
      </c>
      <c r="E4189" s="1" t="s">
        <v>18</v>
      </c>
      <c r="F4189" s="1" t="str">
        <f aca="false">TEXT(B4189,"mmm-yyyy")</f>
        <v>Dec-2024</v>
      </c>
    </row>
    <row r="4190" customFormat="false" ht="87" hidden="false" customHeight="true" outlineLevel="0" collapsed="false">
      <c r="A4190" s="1" t="n">
        <v>1</v>
      </c>
      <c r="B4190" s="10" t="n">
        <v>45649</v>
      </c>
      <c r="C4190" s="11" t="s">
        <v>4208</v>
      </c>
      <c r="D4190" s="1" t="s">
        <v>2901</v>
      </c>
      <c r="E4190" s="1" t="s">
        <v>32</v>
      </c>
      <c r="F4190" s="1" t="str">
        <f aca="false">TEXT(B4190,"mmm-yyyy")</f>
        <v>Dec-2024</v>
      </c>
    </row>
    <row r="4191" customFormat="false" ht="57.75" hidden="false" customHeight="true" outlineLevel="0" collapsed="false">
      <c r="A4191" s="1" t="n">
        <v>1</v>
      </c>
      <c r="B4191" s="10" t="n">
        <v>45638</v>
      </c>
      <c r="C4191" s="11" t="s">
        <v>4209</v>
      </c>
      <c r="D4191" s="1" t="s">
        <v>2901</v>
      </c>
      <c r="E4191" s="1" t="s">
        <v>20</v>
      </c>
      <c r="F4191" s="1" t="str">
        <f aca="false">TEXT(B4191,"mmm-yyyy")</f>
        <v>Dec-2024</v>
      </c>
    </row>
    <row r="4192" customFormat="false" ht="57.75" hidden="false" customHeight="true" outlineLevel="0" collapsed="false">
      <c r="A4192" s="1" t="n">
        <v>5</v>
      </c>
      <c r="B4192" s="10" t="n">
        <v>45655</v>
      </c>
      <c r="C4192" s="11" t="s">
        <v>4210</v>
      </c>
      <c r="D4192" s="1" t="s">
        <v>2901</v>
      </c>
      <c r="E4192" s="1" t="s">
        <v>18</v>
      </c>
      <c r="F4192" s="1" t="str">
        <f aca="false">TEXT(B4192,"mmm-yyyy")</f>
        <v>Dec-2024</v>
      </c>
    </row>
    <row r="4193" customFormat="false" ht="72" hidden="false" customHeight="true" outlineLevel="0" collapsed="false">
      <c r="A4193" s="1" t="n">
        <v>1</v>
      </c>
      <c r="B4193" s="10" t="n">
        <v>45641</v>
      </c>
      <c r="C4193" s="11" t="s">
        <v>4211</v>
      </c>
      <c r="D4193" s="1" t="s">
        <v>2901</v>
      </c>
      <c r="E4193" s="1" t="s">
        <v>20</v>
      </c>
      <c r="F4193" s="1" t="str">
        <f aca="false">TEXT(B4193,"mmm-yyyy")</f>
        <v>Dec-2024</v>
      </c>
    </row>
    <row r="4194" customFormat="false" ht="72" hidden="false" customHeight="true" outlineLevel="0" collapsed="false">
      <c r="A4194" s="1" t="n">
        <v>1</v>
      </c>
      <c r="B4194" s="10" t="n">
        <v>45653</v>
      </c>
      <c r="C4194" s="11" t="s">
        <v>4212</v>
      </c>
      <c r="D4194" s="1" t="s">
        <v>2901</v>
      </c>
      <c r="E4194" s="1" t="s">
        <v>20</v>
      </c>
      <c r="F4194" s="1" t="str">
        <f aca="false">TEXT(B4194,"mmm-yyyy")</f>
        <v>Dec-2024</v>
      </c>
    </row>
    <row r="4195" customFormat="false" ht="72" hidden="false" customHeight="true" outlineLevel="0" collapsed="false">
      <c r="A4195" s="1" t="n">
        <v>5</v>
      </c>
      <c r="B4195" s="10" t="n">
        <v>45640</v>
      </c>
      <c r="C4195" s="11" t="s">
        <v>4213</v>
      </c>
      <c r="D4195" s="1" t="s">
        <v>2901</v>
      </c>
      <c r="E4195" s="1" t="s">
        <v>18</v>
      </c>
      <c r="F4195" s="1" t="str">
        <f aca="false">TEXT(B4195,"mmm-yyyy")</f>
        <v>Dec-2024</v>
      </c>
    </row>
    <row r="4196" customFormat="false" ht="87" hidden="false" customHeight="true" outlineLevel="0" collapsed="false">
      <c r="A4196" s="1" t="n">
        <v>1</v>
      </c>
      <c r="B4196" s="10" t="n">
        <v>45653</v>
      </c>
      <c r="C4196" s="11" t="s">
        <v>4214</v>
      </c>
      <c r="D4196" s="1" t="s">
        <v>2901</v>
      </c>
      <c r="E4196" s="1" t="s">
        <v>20</v>
      </c>
      <c r="F4196" s="1" t="str">
        <f aca="false">TEXT(B4196,"mmm-yyyy")</f>
        <v>Dec-2024</v>
      </c>
    </row>
    <row r="4197" customFormat="false" ht="43.5" hidden="false" customHeight="true" outlineLevel="0" collapsed="false">
      <c r="A4197" s="1" t="n">
        <v>1</v>
      </c>
      <c r="B4197" s="10" t="n">
        <v>45636</v>
      </c>
      <c r="C4197" s="11" t="s">
        <v>4215</v>
      </c>
      <c r="D4197" s="1" t="s">
        <v>2901</v>
      </c>
      <c r="E4197" s="1" t="s">
        <v>20</v>
      </c>
      <c r="F4197" s="1" t="str">
        <f aca="false">TEXT(B4197,"mmm-yyyy")</f>
        <v>Dec-2024</v>
      </c>
    </row>
    <row r="4198" customFormat="false" ht="57.75" hidden="false" customHeight="true" outlineLevel="0" collapsed="false">
      <c r="A4198" s="1" t="n">
        <v>1</v>
      </c>
      <c r="B4198" s="10" t="n">
        <v>45639</v>
      </c>
      <c r="C4198" s="11" t="s">
        <v>4216</v>
      </c>
      <c r="D4198" s="1" t="s">
        <v>2901</v>
      </c>
      <c r="E4198" s="1" t="s">
        <v>20</v>
      </c>
      <c r="F4198" s="1" t="str">
        <f aca="false">TEXT(B4198,"mmm-yyyy")</f>
        <v>Dec-2024</v>
      </c>
    </row>
    <row r="4199" customFormat="false" ht="43.5" hidden="false" customHeight="true" outlineLevel="0" collapsed="false">
      <c r="A4199" s="1" t="n">
        <v>1</v>
      </c>
      <c r="B4199" s="10" t="n">
        <v>45646</v>
      </c>
      <c r="C4199" s="11" t="s">
        <v>4217</v>
      </c>
      <c r="D4199" s="1" t="s">
        <v>2901</v>
      </c>
      <c r="E4199" s="1" t="s">
        <v>20</v>
      </c>
      <c r="F4199" s="1" t="str">
        <f aca="false">TEXT(B4199,"mmm-yyyy")</f>
        <v>Dec-2024</v>
      </c>
    </row>
    <row r="4200" customFormat="false" ht="101.25" hidden="false" customHeight="true" outlineLevel="0" collapsed="false">
      <c r="A4200" s="1" t="n">
        <v>1</v>
      </c>
      <c r="B4200" s="10" t="n">
        <v>45653</v>
      </c>
      <c r="C4200" s="11" t="s">
        <v>4218</v>
      </c>
      <c r="D4200" s="1" t="s">
        <v>2901</v>
      </c>
      <c r="E4200" s="1" t="s">
        <v>20</v>
      </c>
      <c r="F4200" s="1" t="str">
        <f aca="false">TEXT(B4200,"mmm-yyyy")</f>
        <v>Dec-2024</v>
      </c>
    </row>
    <row r="4201" customFormat="false" ht="87" hidden="false" customHeight="true" outlineLevel="0" collapsed="false">
      <c r="A4201" s="1" t="n">
        <v>5</v>
      </c>
      <c r="B4201" s="10" t="n">
        <v>45642</v>
      </c>
      <c r="C4201" s="11" t="s">
        <v>4219</v>
      </c>
      <c r="D4201" s="1" t="s">
        <v>2901</v>
      </c>
      <c r="E4201" s="1" t="s">
        <v>18</v>
      </c>
      <c r="F4201" s="1" t="str">
        <f aca="false">TEXT(B4201,"mmm-yyyy")</f>
        <v>Dec-2024</v>
      </c>
    </row>
    <row r="4202" customFormat="false" ht="43.5" hidden="false" customHeight="true" outlineLevel="0" collapsed="false">
      <c r="A4202" s="1" t="n">
        <v>3</v>
      </c>
      <c r="B4202" s="10" t="n">
        <v>45657</v>
      </c>
      <c r="C4202" s="11" t="s">
        <v>4220</v>
      </c>
      <c r="D4202" s="1" t="s">
        <v>2901</v>
      </c>
      <c r="E4202" s="1" t="s">
        <v>20</v>
      </c>
      <c r="F4202" s="1" t="str">
        <f aca="false">TEXT(B4202,"mmm-yyyy")</f>
        <v>Dec-2024</v>
      </c>
    </row>
    <row r="4203" customFormat="false" ht="87" hidden="false" customHeight="true" outlineLevel="0" collapsed="false">
      <c r="A4203" s="1" t="n">
        <v>1</v>
      </c>
      <c r="B4203" s="10" t="n">
        <v>45646</v>
      </c>
      <c r="C4203" s="11" t="s">
        <v>4221</v>
      </c>
      <c r="D4203" s="1" t="s">
        <v>2901</v>
      </c>
      <c r="E4203" s="1" t="s">
        <v>20</v>
      </c>
      <c r="F4203" s="1" t="str">
        <f aca="false">TEXT(B4203,"mmm-yyyy")</f>
        <v>Dec-2024</v>
      </c>
    </row>
    <row r="4204" customFormat="false" ht="57.75" hidden="false" customHeight="true" outlineLevel="0" collapsed="false">
      <c r="A4204" s="1" t="n">
        <v>1</v>
      </c>
      <c r="B4204" s="10" t="n">
        <v>45648</v>
      </c>
      <c r="C4204" s="11" t="s">
        <v>4222</v>
      </c>
      <c r="D4204" s="1" t="s">
        <v>2901</v>
      </c>
      <c r="E4204" s="1" t="s">
        <v>18</v>
      </c>
      <c r="F4204" s="1" t="str">
        <f aca="false">TEXT(B4204,"mmm-yyyy")</f>
        <v>Dec-2024</v>
      </c>
    </row>
    <row r="4205" customFormat="false" ht="87" hidden="false" customHeight="true" outlineLevel="0" collapsed="false">
      <c r="A4205" s="1" t="n">
        <v>1</v>
      </c>
      <c r="B4205" s="10" t="n">
        <v>45643</v>
      </c>
      <c r="C4205" s="11" t="s">
        <v>4223</v>
      </c>
      <c r="D4205" s="1" t="s">
        <v>2901</v>
      </c>
      <c r="E4205" s="1" t="s">
        <v>20</v>
      </c>
      <c r="F4205" s="1" t="str">
        <f aca="false">TEXT(B4205,"mmm-yyyy")</f>
        <v>Dec-2024</v>
      </c>
    </row>
    <row r="4206" customFormat="false" ht="57.75" hidden="false" customHeight="true" outlineLevel="0" collapsed="false">
      <c r="A4206" s="1" t="n">
        <v>5</v>
      </c>
      <c r="B4206" s="10" t="n">
        <v>45654</v>
      </c>
      <c r="C4206" s="11" t="s">
        <v>4224</v>
      </c>
      <c r="D4206" s="1" t="s">
        <v>2901</v>
      </c>
      <c r="E4206" s="1" t="s">
        <v>18</v>
      </c>
      <c r="F4206" s="1" t="str">
        <f aca="false">TEXT(B4206,"mmm-yyyy")</f>
        <v>Dec-2024</v>
      </c>
    </row>
    <row r="4207" customFormat="false" ht="87" hidden="false" customHeight="true" outlineLevel="0" collapsed="false">
      <c r="A4207" s="1" t="n">
        <v>1</v>
      </c>
      <c r="B4207" s="10" t="n">
        <v>45650</v>
      </c>
      <c r="C4207" s="11" t="s">
        <v>4225</v>
      </c>
      <c r="D4207" s="1" t="s">
        <v>2901</v>
      </c>
      <c r="E4207" s="1" t="s">
        <v>18</v>
      </c>
      <c r="F4207" s="1" t="str">
        <f aca="false">TEXT(B4207,"mmm-yyyy")</f>
        <v>Dec-2024</v>
      </c>
    </row>
    <row r="4208" customFormat="false" ht="57.75" hidden="false" customHeight="true" outlineLevel="0" collapsed="false">
      <c r="A4208" s="1" t="n">
        <v>1</v>
      </c>
      <c r="B4208" s="10" t="n">
        <v>45650</v>
      </c>
      <c r="C4208" s="11" t="s">
        <v>4226</v>
      </c>
      <c r="D4208" s="1" t="s">
        <v>2901</v>
      </c>
      <c r="E4208" s="1" t="s">
        <v>20</v>
      </c>
      <c r="F4208" s="1" t="str">
        <f aca="false">TEXT(B4208,"mmm-yyyy")</f>
        <v>Dec-2024</v>
      </c>
    </row>
    <row r="4209" customFormat="false" ht="57.75" hidden="false" customHeight="true" outlineLevel="0" collapsed="false">
      <c r="A4209" s="1" t="n">
        <v>1</v>
      </c>
      <c r="B4209" s="10" t="n">
        <v>45650</v>
      </c>
      <c r="C4209" s="11" t="s">
        <v>4227</v>
      </c>
      <c r="D4209" s="1" t="s">
        <v>2901</v>
      </c>
      <c r="E4209" s="1" t="s">
        <v>20</v>
      </c>
      <c r="F4209" s="1" t="str">
        <f aca="false">TEXT(B4209,"mmm-yyyy")</f>
        <v>Dec-2024</v>
      </c>
    </row>
    <row r="4210" customFormat="false" ht="57.75" hidden="false" customHeight="true" outlineLevel="0" collapsed="false">
      <c r="A4210" s="1" t="n">
        <v>1</v>
      </c>
      <c r="B4210" s="10" t="n">
        <v>45642</v>
      </c>
      <c r="C4210" s="11" t="s">
        <v>4228</v>
      </c>
      <c r="D4210" s="1" t="s">
        <v>2901</v>
      </c>
      <c r="E4210" s="1" t="s">
        <v>20</v>
      </c>
      <c r="F4210" s="1" t="str">
        <f aca="false">TEXT(B4210,"mmm-yyyy")</f>
        <v>Dec-2024</v>
      </c>
    </row>
    <row r="4211" customFormat="false" ht="101.25" hidden="false" customHeight="true" outlineLevel="0" collapsed="false">
      <c r="A4211" s="1" t="n">
        <v>1</v>
      </c>
      <c r="B4211" s="10" t="n">
        <v>45643</v>
      </c>
      <c r="C4211" s="11" t="s">
        <v>4229</v>
      </c>
      <c r="D4211" s="1" t="s">
        <v>2901</v>
      </c>
      <c r="E4211" s="1" t="s">
        <v>18</v>
      </c>
      <c r="F4211" s="1" t="str">
        <f aca="false">TEXT(B4211,"mmm-yyyy")</f>
        <v>Dec-2024</v>
      </c>
    </row>
    <row r="4212" customFormat="false" ht="43.5" hidden="false" customHeight="true" outlineLevel="0" collapsed="false">
      <c r="A4212" s="1" t="n">
        <v>3</v>
      </c>
      <c r="B4212" s="10" t="n">
        <v>45644</v>
      </c>
      <c r="C4212" s="11" t="s">
        <v>4230</v>
      </c>
      <c r="D4212" s="1" t="s">
        <v>2901</v>
      </c>
      <c r="E4212" s="1" t="s">
        <v>18</v>
      </c>
      <c r="F4212" s="1" t="str">
        <f aca="false">TEXT(B4212,"mmm-yyyy")</f>
        <v>Dec-2024</v>
      </c>
    </row>
    <row r="4213" customFormat="false" ht="57.75" hidden="false" customHeight="true" outlineLevel="0" collapsed="false">
      <c r="A4213" s="1" t="n">
        <v>1</v>
      </c>
      <c r="B4213" s="10" t="n">
        <v>45650</v>
      </c>
      <c r="C4213" s="11" t="s">
        <v>4231</v>
      </c>
      <c r="D4213" s="1" t="s">
        <v>2901</v>
      </c>
      <c r="E4213" s="1" t="s">
        <v>20</v>
      </c>
      <c r="F4213" s="1" t="str">
        <f aca="false">TEXT(B4213,"mmm-yyyy")</f>
        <v>Dec-2024</v>
      </c>
    </row>
    <row r="4214" customFormat="false" ht="43.5" hidden="false" customHeight="true" outlineLevel="0" collapsed="false">
      <c r="A4214" s="1" t="n">
        <v>1</v>
      </c>
      <c r="B4214" s="10" t="n">
        <v>45650</v>
      </c>
      <c r="C4214" s="11" t="s">
        <v>4232</v>
      </c>
      <c r="D4214" s="1" t="s">
        <v>2901</v>
      </c>
      <c r="E4214" s="1" t="s">
        <v>32</v>
      </c>
      <c r="F4214" s="1" t="str">
        <f aca="false">TEXT(B4214,"mmm-yyyy")</f>
        <v>Dec-2024</v>
      </c>
    </row>
    <row r="4215" customFormat="false" ht="43.5" hidden="false" customHeight="true" outlineLevel="0" collapsed="false">
      <c r="A4215" s="1" t="n">
        <v>2</v>
      </c>
      <c r="B4215" s="10" t="n">
        <v>45650</v>
      </c>
      <c r="C4215" s="11" t="s">
        <v>4233</v>
      </c>
      <c r="D4215" s="1" t="s">
        <v>2901</v>
      </c>
      <c r="E4215" s="1" t="s">
        <v>18</v>
      </c>
      <c r="F4215" s="1" t="str">
        <f aca="false">TEXT(B4215,"mmm-yyyy")</f>
        <v>Dec-2024</v>
      </c>
    </row>
    <row r="4216" customFormat="false" ht="72" hidden="false" customHeight="true" outlineLevel="0" collapsed="false">
      <c r="A4216" s="1" t="n">
        <v>5</v>
      </c>
      <c r="B4216" s="10" t="n">
        <v>45639</v>
      </c>
      <c r="C4216" s="11" t="s">
        <v>4234</v>
      </c>
      <c r="D4216" s="1" t="s">
        <v>2901</v>
      </c>
      <c r="E4216" s="1" t="s">
        <v>18</v>
      </c>
      <c r="F4216" s="1" t="str">
        <f aca="false">TEXT(B4216,"mmm-yyyy")</f>
        <v>Dec-2024</v>
      </c>
    </row>
    <row r="4217" customFormat="false" ht="57.75" hidden="false" customHeight="true" outlineLevel="0" collapsed="false">
      <c r="A4217" s="1" t="n">
        <v>2</v>
      </c>
      <c r="B4217" s="10" t="n">
        <v>45645</v>
      </c>
      <c r="C4217" s="11" t="s">
        <v>4235</v>
      </c>
      <c r="D4217" s="1" t="s">
        <v>2901</v>
      </c>
      <c r="E4217" s="1" t="s">
        <v>20</v>
      </c>
      <c r="F4217" s="1" t="str">
        <f aca="false">TEXT(B4217,"mmm-yyyy")</f>
        <v>Dec-2024</v>
      </c>
    </row>
    <row r="4218" customFormat="false" ht="43.5" hidden="false" customHeight="true" outlineLevel="0" collapsed="false">
      <c r="A4218" s="1" t="n">
        <v>1</v>
      </c>
      <c r="B4218" s="10" t="n">
        <v>45651</v>
      </c>
      <c r="C4218" s="11" t="s">
        <v>4236</v>
      </c>
      <c r="D4218" s="1" t="s">
        <v>2901</v>
      </c>
      <c r="E4218" s="1" t="s">
        <v>20</v>
      </c>
      <c r="F4218" s="1" t="str">
        <f aca="false">TEXT(B4218,"mmm-yyyy")</f>
        <v>Dec-2024</v>
      </c>
    </row>
    <row r="4219" customFormat="false" ht="57.75" hidden="false" customHeight="true" outlineLevel="0" collapsed="false">
      <c r="A4219" s="1" t="n">
        <v>1</v>
      </c>
      <c r="B4219" s="10" t="n">
        <v>45640</v>
      </c>
      <c r="C4219" s="11" t="s">
        <v>4237</v>
      </c>
      <c r="D4219" s="1" t="s">
        <v>2901</v>
      </c>
      <c r="E4219" s="1" t="s">
        <v>20</v>
      </c>
      <c r="F4219" s="1" t="str">
        <f aca="false">TEXT(B4219,"mmm-yyyy")</f>
        <v>Dec-2024</v>
      </c>
    </row>
    <row r="4220" customFormat="false" ht="43.5" hidden="false" customHeight="true" outlineLevel="0" collapsed="false">
      <c r="A4220" s="1" t="n">
        <v>1</v>
      </c>
      <c r="B4220" s="10" t="n">
        <v>45655</v>
      </c>
      <c r="C4220" s="11" t="s">
        <v>4238</v>
      </c>
      <c r="D4220" s="1" t="s">
        <v>2901</v>
      </c>
      <c r="E4220" s="1" t="s">
        <v>18</v>
      </c>
      <c r="F4220" s="1" t="str">
        <f aca="false">TEXT(B4220,"mmm-yyyy")</f>
        <v>Dec-2024</v>
      </c>
    </row>
    <row r="4221" customFormat="false" ht="144.75" hidden="false" customHeight="true" outlineLevel="0" collapsed="false">
      <c r="A4221" s="1" t="n">
        <v>1</v>
      </c>
      <c r="B4221" s="10" t="n">
        <v>45646</v>
      </c>
      <c r="C4221" s="11" t="s">
        <v>4239</v>
      </c>
      <c r="D4221" s="1" t="s">
        <v>2901</v>
      </c>
      <c r="E4221" s="1" t="s">
        <v>20</v>
      </c>
      <c r="F4221" s="1" t="str">
        <f aca="false">TEXT(B4221,"mmm-yyyy")</f>
        <v>Dec-2024</v>
      </c>
    </row>
    <row r="4222" customFormat="false" ht="72" hidden="false" customHeight="true" outlineLevel="0" collapsed="false">
      <c r="A4222" s="1" t="n">
        <v>1</v>
      </c>
      <c r="B4222" s="10" t="n">
        <v>45654</v>
      </c>
      <c r="C4222" s="11" t="s">
        <v>4240</v>
      </c>
      <c r="D4222" s="1" t="s">
        <v>2901</v>
      </c>
      <c r="E4222" s="1" t="s">
        <v>20</v>
      </c>
      <c r="F4222" s="1" t="str">
        <f aca="false">TEXT(B4222,"mmm-yyyy")</f>
        <v>Dec-2024</v>
      </c>
    </row>
    <row r="4223" customFormat="false" ht="72" hidden="false" customHeight="true" outlineLevel="0" collapsed="false">
      <c r="A4223" s="1" t="n">
        <v>1</v>
      </c>
      <c r="B4223" s="10" t="n">
        <v>45641</v>
      </c>
      <c r="C4223" s="11" t="s">
        <v>4241</v>
      </c>
      <c r="D4223" s="1" t="s">
        <v>2901</v>
      </c>
      <c r="E4223" s="1" t="s">
        <v>18</v>
      </c>
      <c r="F4223" s="1" t="str">
        <f aca="false">TEXT(B4223,"mmm-yyyy")</f>
        <v>Dec-2024</v>
      </c>
    </row>
    <row r="4224" customFormat="false" ht="57.75" hidden="false" customHeight="true" outlineLevel="0" collapsed="false">
      <c r="A4224" s="1" t="n">
        <v>1</v>
      </c>
      <c r="B4224" s="10" t="n">
        <v>45646</v>
      </c>
      <c r="C4224" s="11" t="s">
        <v>4242</v>
      </c>
      <c r="D4224" s="1" t="s">
        <v>2901</v>
      </c>
      <c r="E4224" s="1" t="s">
        <v>20</v>
      </c>
      <c r="F4224" s="1" t="str">
        <f aca="false">TEXT(B4224,"mmm-yyyy")</f>
        <v>Dec-2024</v>
      </c>
    </row>
    <row r="4225" customFormat="false" ht="101.25" hidden="false" customHeight="true" outlineLevel="0" collapsed="false">
      <c r="A4225" s="1" t="n">
        <v>1</v>
      </c>
      <c r="B4225" s="10" t="n">
        <v>45650</v>
      </c>
      <c r="C4225" s="11" t="s">
        <v>4243</v>
      </c>
      <c r="D4225" s="1" t="s">
        <v>2901</v>
      </c>
      <c r="E4225" s="1" t="s">
        <v>20</v>
      </c>
      <c r="F4225" s="1" t="str">
        <f aca="false">TEXT(B4225,"mmm-yyyy")</f>
        <v>Dec-2024</v>
      </c>
    </row>
    <row r="4226" customFormat="false" ht="43.5" hidden="false" customHeight="true" outlineLevel="0" collapsed="false">
      <c r="A4226" s="1" t="n">
        <v>5</v>
      </c>
      <c r="B4226" s="10" t="n">
        <v>45636</v>
      </c>
      <c r="C4226" s="11" t="s">
        <v>4244</v>
      </c>
      <c r="D4226" s="1" t="s">
        <v>2901</v>
      </c>
      <c r="E4226" s="1" t="s">
        <v>18</v>
      </c>
      <c r="F4226" s="1" t="str">
        <f aca="false">TEXT(B4226,"mmm-yyyy")</f>
        <v>Dec-2024</v>
      </c>
    </row>
    <row r="4227" customFormat="false" ht="72" hidden="false" customHeight="true" outlineLevel="0" collapsed="false">
      <c r="A4227" s="1" t="n">
        <v>2</v>
      </c>
      <c r="B4227" s="10" t="n">
        <v>45646</v>
      </c>
      <c r="C4227" s="11" t="s">
        <v>4245</v>
      </c>
      <c r="D4227" s="1" t="s">
        <v>2901</v>
      </c>
      <c r="E4227" s="1" t="s">
        <v>20</v>
      </c>
      <c r="F4227" s="1" t="str">
        <f aca="false">TEXT(B4227,"mmm-yyyy")</f>
        <v>Dec-2024</v>
      </c>
    </row>
    <row r="4228" customFormat="false" ht="57.75" hidden="false" customHeight="true" outlineLevel="0" collapsed="false">
      <c r="A4228" s="1" t="n">
        <v>2</v>
      </c>
      <c r="B4228" s="10" t="n">
        <v>45650</v>
      </c>
      <c r="C4228" s="11" t="s">
        <v>4246</v>
      </c>
      <c r="D4228" s="1" t="s">
        <v>2901</v>
      </c>
      <c r="E4228" s="1" t="s">
        <v>20</v>
      </c>
      <c r="F4228" s="1" t="str">
        <f aca="false">TEXT(B4228,"mmm-yyyy")</f>
        <v>Dec-2024</v>
      </c>
    </row>
    <row r="4229" customFormat="false" ht="57.75" hidden="false" customHeight="true" outlineLevel="0" collapsed="false">
      <c r="A4229" s="1" t="n">
        <v>1</v>
      </c>
      <c r="B4229" s="10" t="n">
        <v>45652</v>
      </c>
      <c r="C4229" s="11" t="s">
        <v>4247</v>
      </c>
      <c r="D4229" s="1" t="s">
        <v>2901</v>
      </c>
      <c r="E4229" s="1" t="s">
        <v>20</v>
      </c>
      <c r="F4229" s="1" t="str">
        <f aca="false">TEXT(B4229,"mmm-yyyy")</f>
        <v>Dec-2024</v>
      </c>
    </row>
    <row r="4230" customFormat="false" ht="57.75" hidden="false" customHeight="true" outlineLevel="0" collapsed="false">
      <c r="A4230" s="1" t="n">
        <v>1</v>
      </c>
      <c r="B4230" s="10" t="n">
        <v>45650</v>
      </c>
      <c r="C4230" s="11" t="s">
        <v>4248</v>
      </c>
      <c r="D4230" s="1" t="s">
        <v>2901</v>
      </c>
      <c r="E4230" s="1" t="s">
        <v>20</v>
      </c>
      <c r="F4230" s="1" t="str">
        <f aca="false">TEXT(B4230,"mmm-yyyy")</f>
        <v>Dec-2024</v>
      </c>
    </row>
    <row r="4231" customFormat="false" ht="57.75" hidden="false" customHeight="true" outlineLevel="0" collapsed="false">
      <c r="A4231" s="1" t="n">
        <v>4</v>
      </c>
      <c r="B4231" s="10" t="n">
        <v>45652</v>
      </c>
      <c r="C4231" s="11" t="s">
        <v>4249</v>
      </c>
      <c r="D4231" s="1" t="s">
        <v>2901</v>
      </c>
      <c r="E4231" s="1" t="s">
        <v>20</v>
      </c>
      <c r="F4231" s="1" t="str">
        <f aca="false">TEXT(B4231,"mmm-yyyy")</f>
        <v>Dec-2024</v>
      </c>
    </row>
    <row r="4232" customFormat="false" ht="130.5" hidden="false" customHeight="true" outlineLevel="0" collapsed="false">
      <c r="A4232" s="1" t="n">
        <v>1</v>
      </c>
      <c r="B4232" s="10" t="n">
        <v>45651</v>
      </c>
      <c r="C4232" s="11" t="s">
        <v>4250</v>
      </c>
      <c r="D4232" s="1" t="s">
        <v>2901</v>
      </c>
      <c r="E4232" s="1" t="s">
        <v>20</v>
      </c>
      <c r="F4232" s="1" t="str">
        <f aca="false">TEXT(B4232,"mmm-yyyy")</f>
        <v>Dec-2024</v>
      </c>
    </row>
    <row r="4233" customFormat="false" ht="43.5" hidden="false" customHeight="true" outlineLevel="0" collapsed="false">
      <c r="A4233" s="1" t="n">
        <v>5</v>
      </c>
      <c r="B4233" s="10" t="n">
        <v>45650</v>
      </c>
      <c r="C4233" s="11" t="s">
        <v>4251</v>
      </c>
      <c r="D4233" s="1" t="s">
        <v>2901</v>
      </c>
      <c r="E4233" s="1" t="s">
        <v>18</v>
      </c>
      <c r="F4233" s="1" t="str">
        <f aca="false">TEXT(B4233,"mmm-yyyy")</f>
        <v>Dec-2024</v>
      </c>
    </row>
    <row r="4234" customFormat="false" ht="72" hidden="false" customHeight="true" outlineLevel="0" collapsed="false">
      <c r="A4234" s="1" t="n">
        <v>1</v>
      </c>
      <c r="B4234" s="10" t="n">
        <v>45656</v>
      </c>
      <c r="C4234" s="11" t="s">
        <v>4252</v>
      </c>
      <c r="D4234" s="1" t="s">
        <v>2901</v>
      </c>
      <c r="E4234" s="1" t="s">
        <v>20</v>
      </c>
      <c r="F4234" s="1" t="str">
        <f aca="false">TEXT(B4234,"mmm-yyyy")</f>
        <v>Dec-2024</v>
      </c>
    </row>
    <row r="4235" customFormat="false" ht="57.75" hidden="false" customHeight="true" outlineLevel="0" collapsed="false">
      <c r="A4235" s="1" t="n">
        <v>3</v>
      </c>
      <c r="B4235" s="10" t="n">
        <v>45641</v>
      </c>
      <c r="C4235" s="11" t="s">
        <v>4253</v>
      </c>
      <c r="D4235" s="1" t="s">
        <v>2901</v>
      </c>
      <c r="E4235" s="1" t="s">
        <v>20</v>
      </c>
      <c r="F4235" s="1" t="str">
        <f aca="false">TEXT(B4235,"mmm-yyyy")</f>
        <v>Dec-2024</v>
      </c>
    </row>
    <row r="4236" customFormat="false" ht="115.5" hidden="false" customHeight="true" outlineLevel="0" collapsed="false">
      <c r="A4236" s="1" t="n">
        <v>5</v>
      </c>
      <c r="B4236" s="10" t="n">
        <v>45645</v>
      </c>
      <c r="C4236" s="11" t="s">
        <v>4254</v>
      </c>
      <c r="D4236" s="1" t="s">
        <v>2901</v>
      </c>
      <c r="E4236" s="1" t="s">
        <v>18</v>
      </c>
      <c r="F4236" s="1" t="str">
        <f aca="false">TEXT(B4236,"mmm-yyyy")</f>
        <v>Dec-2024</v>
      </c>
    </row>
    <row r="4237" customFormat="false" ht="43.5" hidden="false" customHeight="true" outlineLevel="0" collapsed="false">
      <c r="A4237" s="1" t="n">
        <v>5</v>
      </c>
      <c r="B4237" s="10" t="n">
        <v>45653</v>
      </c>
      <c r="C4237" s="11" t="s">
        <v>4255</v>
      </c>
      <c r="D4237" s="1" t="s">
        <v>2901</v>
      </c>
      <c r="E4237" s="1" t="s">
        <v>20</v>
      </c>
      <c r="F4237" s="1" t="str">
        <f aca="false">TEXT(B4237,"mmm-yyyy")</f>
        <v>Dec-2024</v>
      </c>
    </row>
    <row r="4238" customFormat="false" ht="57.75" hidden="false" customHeight="true" outlineLevel="0" collapsed="false">
      <c r="A4238" s="1" t="n">
        <v>1</v>
      </c>
      <c r="B4238" s="10" t="n">
        <v>45651</v>
      </c>
      <c r="C4238" s="11" t="s">
        <v>4256</v>
      </c>
      <c r="D4238" s="1" t="s">
        <v>2901</v>
      </c>
      <c r="E4238" s="1" t="s">
        <v>20</v>
      </c>
      <c r="F4238" s="1" t="str">
        <f aca="false">TEXT(B4238,"mmm-yyyy")</f>
        <v>Dec-2024</v>
      </c>
    </row>
    <row r="4239" customFormat="false" ht="57.75" hidden="false" customHeight="true" outlineLevel="0" collapsed="false">
      <c r="A4239" s="1" t="n">
        <v>1</v>
      </c>
      <c r="B4239" s="10" t="n">
        <v>45652</v>
      </c>
      <c r="C4239" s="11" t="s">
        <v>4257</v>
      </c>
      <c r="D4239" s="1" t="s">
        <v>2901</v>
      </c>
      <c r="E4239" s="1" t="s">
        <v>18</v>
      </c>
      <c r="F4239" s="1" t="str">
        <f aca="false">TEXT(B4239,"mmm-yyyy")</f>
        <v>Dec-2024</v>
      </c>
    </row>
    <row r="4240" customFormat="false" ht="57.75" hidden="false" customHeight="true" outlineLevel="0" collapsed="false">
      <c r="A4240" s="1" t="n">
        <v>1</v>
      </c>
      <c r="B4240" s="10" t="n">
        <v>45636</v>
      </c>
      <c r="C4240" s="11" t="s">
        <v>4258</v>
      </c>
      <c r="D4240" s="1" t="s">
        <v>2901</v>
      </c>
      <c r="E4240" s="1" t="s">
        <v>18</v>
      </c>
      <c r="F4240" s="1" t="str">
        <f aca="false">TEXT(B4240,"mmm-yyyy")</f>
        <v>Dec-2024</v>
      </c>
    </row>
    <row r="4241" customFormat="false" ht="72" hidden="false" customHeight="true" outlineLevel="0" collapsed="false">
      <c r="A4241" s="1" t="n">
        <v>1</v>
      </c>
      <c r="B4241" s="10" t="n">
        <v>45638</v>
      </c>
      <c r="C4241" s="11" t="s">
        <v>4259</v>
      </c>
      <c r="D4241" s="1" t="s">
        <v>2901</v>
      </c>
      <c r="E4241" s="1" t="s">
        <v>20</v>
      </c>
      <c r="F4241" s="1" t="str">
        <f aca="false">TEXT(B4241,"mmm-yyyy")</f>
        <v>Dec-2024</v>
      </c>
    </row>
    <row r="4242" customFormat="false" ht="57.75" hidden="false" customHeight="true" outlineLevel="0" collapsed="false">
      <c r="A4242" s="1" t="n">
        <v>1</v>
      </c>
      <c r="B4242" s="10" t="n">
        <v>45646</v>
      </c>
      <c r="C4242" s="11" t="s">
        <v>4260</v>
      </c>
      <c r="D4242" s="1" t="s">
        <v>2901</v>
      </c>
      <c r="E4242" s="1" t="s">
        <v>20</v>
      </c>
      <c r="F4242" s="1" t="str">
        <f aca="false">TEXT(B4242,"mmm-yyyy")</f>
        <v>Dec-2024</v>
      </c>
    </row>
    <row r="4243" customFormat="false" ht="115.5" hidden="false" customHeight="true" outlineLevel="0" collapsed="false">
      <c r="A4243" s="1" t="n">
        <v>5</v>
      </c>
      <c r="B4243" s="10" t="n">
        <v>45653</v>
      </c>
      <c r="C4243" s="11" t="s">
        <v>4261</v>
      </c>
      <c r="D4243" s="1" t="s">
        <v>2901</v>
      </c>
      <c r="E4243" s="1" t="s">
        <v>18</v>
      </c>
      <c r="F4243" s="1" t="str">
        <f aca="false">TEXT(B4243,"mmm-yyyy")</f>
        <v>Dec-2024</v>
      </c>
    </row>
    <row r="4244" customFormat="false" ht="72" hidden="false" customHeight="true" outlineLevel="0" collapsed="false">
      <c r="A4244" s="1" t="n">
        <v>1</v>
      </c>
      <c r="B4244" s="10" t="n">
        <v>45640</v>
      </c>
      <c r="C4244" s="11" t="s">
        <v>4262</v>
      </c>
      <c r="D4244" s="1" t="s">
        <v>2901</v>
      </c>
      <c r="E4244" s="1" t="s">
        <v>20</v>
      </c>
      <c r="F4244" s="1" t="str">
        <f aca="false">TEXT(B4244,"mmm-yyyy")</f>
        <v>Dec-2024</v>
      </c>
    </row>
    <row r="4245" customFormat="false" ht="43.5" hidden="false" customHeight="true" outlineLevel="0" collapsed="false">
      <c r="A4245" s="1" t="n">
        <v>1</v>
      </c>
      <c r="B4245" s="10" t="n">
        <v>45654</v>
      </c>
      <c r="C4245" s="11" t="s">
        <v>4263</v>
      </c>
      <c r="D4245" s="1" t="s">
        <v>2901</v>
      </c>
      <c r="E4245" s="1" t="s">
        <v>20</v>
      </c>
      <c r="F4245" s="1" t="str">
        <f aca="false">TEXT(B4245,"mmm-yyyy")</f>
        <v>Dec-2024</v>
      </c>
    </row>
    <row r="4246" customFormat="false" ht="72" hidden="false" customHeight="true" outlineLevel="0" collapsed="false">
      <c r="A4246" s="1" t="n">
        <v>1</v>
      </c>
      <c r="B4246" s="10" t="n">
        <v>45646</v>
      </c>
      <c r="C4246" s="11" t="s">
        <v>4264</v>
      </c>
      <c r="D4246" s="1" t="s">
        <v>2901</v>
      </c>
      <c r="E4246" s="1" t="s">
        <v>20</v>
      </c>
      <c r="F4246" s="1" t="str">
        <f aca="false">TEXT(B4246,"mmm-yyyy")</f>
        <v>Dec-2024</v>
      </c>
    </row>
    <row r="4247" customFormat="false" ht="57.75" hidden="false" customHeight="true" outlineLevel="0" collapsed="false">
      <c r="A4247" s="1" t="n">
        <v>1</v>
      </c>
      <c r="B4247" s="10" t="n">
        <v>45654</v>
      </c>
      <c r="C4247" s="11" t="s">
        <v>4265</v>
      </c>
      <c r="D4247" s="1" t="s">
        <v>2901</v>
      </c>
      <c r="E4247" s="1" t="s">
        <v>20</v>
      </c>
      <c r="F4247" s="1" t="str">
        <f aca="false">TEXT(B4247,"mmm-yyyy")</f>
        <v>Dec-2024</v>
      </c>
    </row>
    <row r="4248" customFormat="false" ht="43.5" hidden="false" customHeight="true" outlineLevel="0" collapsed="false">
      <c r="A4248" s="1" t="n">
        <v>5</v>
      </c>
      <c r="B4248" s="10" t="n">
        <v>45643</v>
      </c>
      <c r="C4248" s="11" t="s">
        <v>4266</v>
      </c>
      <c r="D4248" s="1" t="s">
        <v>2901</v>
      </c>
      <c r="E4248" s="1" t="s">
        <v>18</v>
      </c>
      <c r="F4248" s="1" t="str">
        <f aca="false">TEXT(B4248,"mmm-yyyy")</f>
        <v>Dec-2024</v>
      </c>
    </row>
    <row r="4249" customFormat="false" ht="57.75" hidden="false" customHeight="true" outlineLevel="0" collapsed="false">
      <c r="A4249" s="1" t="n">
        <v>1</v>
      </c>
      <c r="B4249" s="10" t="n">
        <v>45656</v>
      </c>
      <c r="C4249" s="11" t="s">
        <v>4267</v>
      </c>
      <c r="D4249" s="1" t="s">
        <v>2901</v>
      </c>
      <c r="E4249" s="1" t="s">
        <v>20</v>
      </c>
      <c r="F4249" s="1" t="str">
        <f aca="false">TEXT(B4249,"mmm-yyyy")</f>
        <v>Dec-2024</v>
      </c>
    </row>
    <row r="4250" customFormat="false" ht="57.75" hidden="false" customHeight="true" outlineLevel="0" collapsed="false">
      <c r="A4250" s="1" t="n">
        <v>1</v>
      </c>
      <c r="B4250" s="10" t="n">
        <v>45649</v>
      </c>
      <c r="C4250" s="11" t="s">
        <v>4268</v>
      </c>
      <c r="D4250" s="1" t="s">
        <v>2901</v>
      </c>
      <c r="E4250" s="1" t="s">
        <v>20</v>
      </c>
      <c r="F4250" s="1" t="str">
        <f aca="false">TEXT(B4250,"mmm-yyyy")</f>
        <v>Dec-2024</v>
      </c>
    </row>
    <row r="4251" customFormat="false" ht="87" hidden="false" customHeight="true" outlineLevel="0" collapsed="false">
      <c r="A4251" s="1" t="n">
        <v>1</v>
      </c>
      <c r="B4251" s="10" t="n">
        <v>45647</v>
      </c>
      <c r="C4251" s="11" t="s">
        <v>4269</v>
      </c>
      <c r="D4251" s="1" t="s">
        <v>2901</v>
      </c>
      <c r="E4251" s="1" t="s">
        <v>20</v>
      </c>
      <c r="F4251" s="1" t="str">
        <f aca="false">TEXT(B4251,"mmm-yyyy")</f>
        <v>Dec-2024</v>
      </c>
    </row>
    <row r="4252" customFormat="false" ht="57.75" hidden="false" customHeight="true" outlineLevel="0" collapsed="false">
      <c r="A4252" s="1" t="n">
        <v>1</v>
      </c>
      <c r="B4252" s="10" t="n">
        <v>45650</v>
      </c>
      <c r="C4252" s="11" t="s">
        <v>4270</v>
      </c>
      <c r="D4252" s="1" t="s">
        <v>2901</v>
      </c>
      <c r="E4252" s="1" t="s">
        <v>20</v>
      </c>
      <c r="F4252" s="1" t="str">
        <f aca="false">TEXT(B4252,"mmm-yyyy")</f>
        <v>Dec-2024</v>
      </c>
    </row>
    <row r="4253" customFormat="false" ht="57.75" hidden="false" customHeight="true" outlineLevel="0" collapsed="false">
      <c r="A4253" s="1" t="n">
        <v>1</v>
      </c>
      <c r="B4253" s="10" t="n">
        <v>45643</v>
      </c>
      <c r="C4253" s="11" t="s">
        <v>4271</v>
      </c>
      <c r="D4253" s="1" t="s">
        <v>2901</v>
      </c>
      <c r="E4253" s="1" t="s">
        <v>20</v>
      </c>
      <c r="F4253" s="1" t="str">
        <f aca="false">TEXT(B4253,"mmm-yyyy")</f>
        <v>Dec-2024</v>
      </c>
    </row>
    <row r="4254" customFormat="false" ht="57.75" hidden="false" customHeight="true" outlineLevel="0" collapsed="false">
      <c r="A4254" s="1" t="n">
        <v>1</v>
      </c>
      <c r="B4254" s="10" t="n">
        <v>45641</v>
      </c>
      <c r="C4254" s="11" t="s">
        <v>4272</v>
      </c>
      <c r="D4254" s="1" t="s">
        <v>2901</v>
      </c>
      <c r="E4254" s="1" t="s">
        <v>20</v>
      </c>
      <c r="F4254" s="1" t="str">
        <f aca="false">TEXT(B4254,"mmm-yyyy")</f>
        <v>Dec-2024</v>
      </c>
    </row>
    <row r="4255" customFormat="false" ht="43.5" hidden="false" customHeight="true" outlineLevel="0" collapsed="false">
      <c r="A4255" s="1" t="n">
        <v>1</v>
      </c>
      <c r="B4255" s="10" t="n">
        <v>45656</v>
      </c>
      <c r="C4255" s="11" t="s">
        <v>4273</v>
      </c>
      <c r="D4255" s="1" t="s">
        <v>2901</v>
      </c>
      <c r="E4255" s="1" t="s">
        <v>32</v>
      </c>
      <c r="F4255" s="1" t="str">
        <f aca="false">TEXT(B4255,"mmm-yyyy")</f>
        <v>Dec-2024</v>
      </c>
    </row>
    <row r="4256" customFormat="false" ht="72" hidden="false" customHeight="true" outlineLevel="0" collapsed="false">
      <c r="A4256" s="1" t="n">
        <v>1</v>
      </c>
      <c r="B4256" s="10" t="n">
        <v>45641</v>
      </c>
      <c r="C4256" s="11" t="s">
        <v>4274</v>
      </c>
      <c r="D4256" s="1" t="s">
        <v>2901</v>
      </c>
      <c r="E4256" s="1" t="s">
        <v>20</v>
      </c>
      <c r="F4256" s="1" t="str">
        <f aca="false">TEXT(B4256,"mmm-yyyy")</f>
        <v>Dec-2024</v>
      </c>
    </row>
    <row r="4257" customFormat="false" ht="57.75" hidden="false" customHeight="true" outlineLevel="0" collapsed="false">
      <c r="A4257" s="1" t="n">
        <v>1</v>
      </c>
      <c r="B4257" s="10" t="n">
        <v>45650</v>
      </c>
      <c r="C4257" s="11" t="s">
        <v>4275</v>
      </c>
      <c r="D4257" s="1" t="s">
        <v>2901</v>
      </c>
      <c r="E4257" s="1" t="s">
        <v>20</v>
      </c>
      <c r="F4257" s="1" t="str">
        <f aca="false">TEXT(B4257,"mmm-yyyy")</f>
        <v>Dec-2024</v>
      </c>
    </row>
    <row r="4258" customFormat="false" ht="57.75" hidden="false" customHeight="true" outlineLevel="0" collapsed="false">
      <c r="A4258" s="1" t="n">
        <v>1</v>
      </c>
      <c r="B4258" s="10" t="n">
        <v>45646</v>
      </c>
      <c r="C4258" s="11" t="s">
        <v>4276</v>
      </c>
      <c r="D4258" s="1" t="s">
        <v>2901</v>
      </c>
      <c r="E4258" s="1" t="s">
        <v>18</v>
      </c>
      <c r="F4258" s="1" t="str">
        <f aca="false">TEXT(B4258,"mmm-yyyy")</f>
        <v>Dec-2024</v>
      </c>
    </row>
    <row r="4259" customFormat="false" ht="28.5" hidden="false" customHeight="true" outlineLevel="0" collapsed="false">
      <c r="A4259" s="1" t="n">
        <v>1</v>
      </c>
      <c r="B4259" s="10" t="n">
        <v>45637</v>
      </c>
      <c r="C4259" s="11" t="s">
        <v>4277</v>
      </c>
      <c r="D4259" s="1" t="s">
        <v>2901</v>
      </c>
      <c r="E4259" s="1" t="s">
        <v>20</v>
      </c>
      <c r="F4259" s="1" t="str">
        <f aca="false">TEXT(B4259,"mmm-yyyy")</f>
        <v>Dec-2024</v>
      </c>
    </row>
    <row r="4260" customFormat="false" ht="57.75" hidden="false" customHeight="true" outlineLevel="0" collapsed="false">
      <c r="A4260" s="1" t="n">
        <v>2</v>
      </c>
      <c r="B4260" s="10" t="n">
        <v>45642</v>
      </c>
      <c r="C4260" s="11" t="s">
        <v>4278</v>
      </c>
      <c r="D4260" s="1" t="s">
        <v>2901</v>
      </c>
      <c r="E4260" s="1" t="s">
        <v>20</v>
      </c>
      <c r="F4260" s="1" t="str">
        <f aca="false">TEXT(B4260,"mmm-yyyy")</f>
        <v>Dec-2024</v>
      </c>
    </row>
    <row r="4261" customFormat="false" ht="43.5" hidden="false" customHeight="true" outlineLevel="0" collapsed="false">
      <c r="A4261" s="1" t="n">
        <v>1</v>
      </c>
      <c r="B4261" s="10" t="n">
        <v>45643</v>
      </c>
      <c r="C4261" s="11" t="s">
        <v>4279</v>
      </c>
      <c r="D4261" s="1" t="s">
        <v>2901</v>
      </c>
      <c r="E4261" s="1" t="s">
        <v>18</v>
      </c>
      <c r="F4261" s="1" t="str">
        <f aca="false">TEXT(B4261,"mmm-yyyy")</f>
        <v>Dec-2024</v>
      </c>
    </row>
    <row r="4262" customFormat="false" ht="43.5" hidden="false" customHeight="true" outlineLevel="0" collapsed="false">
      <c r="A4262" s="1" t="n">
        <v>5</v>
      </c>
      <c r="B4262" s="10" t="n">
        <v>45654</v>
      </c>
      <c r="C4262" s="11" t="s">
        <v>4280</v>
      </c>
      <c r="D4262" s="1" t="s">
        <v>2901</v>
      </c>
      <c r="E4262" s="1" t="s">
        <v>18</v>
      </c>
      <c r="F4262" s="1" t="str">
        <f aca="false">TEXT(B4262,"mmm-yyyy")</f>
        <v>Dec-2024</v>
      </c>
    </row>
    <row r="4263" customFormat="false" ht="87" hidden="false" customHeight="true" outlineLevel="0" collapsed="false">
      <c r="A4263" s="1" t="n">
        <v>1</v>
      </c>
      <c r="B4263" s="10" t="n">
        <v>45641</v>
      </c>
      <c r="C4263" s="11" t="s">
        <v>4281</v>
      </c>
      <c r="D4263" s="1" t="s">
        <v>2901</v>
      </c>
      <c r="E4263" s="1" t="s">
        <v>20</v>
      </c>
      <c r="F4263" s="1" t="str">
        <f aca="false">TEXT(B4263,"mmm-yyyy")</f>
        <v>Dec-2024</v>
      </c>
    </row>
    <row r="4264" customFormat="false" ht="43.5" hidden="false" customHeight="true" outlineLevel="0" collapsed="false">
      <c r="A4264" s="1" t="n">
        <v>5</v>
      </c>
      <c r="B4264" s="10" t="n">
        <v>45643</v>
      </c>
      <c r="C4264" s="11" t="s">
        <v>4282</v>
      </c>
      <c r="D4264" s="1" t="s">
        <v>2901</v>
      </c>
      <c r="E4264" s="1" t="s">
        <v>18</v>
      </c>
      <c r="F4264" s="1" t="str">
        <f aca="false">TEXT(B4264,"mmm-yyyy")</f>
        <v>Dec-2024</v>
      </c>
    </row>
    <row r="4265" customFormat="false" ht="72" hidden="false" customHeight="true" outlineLevel="0" collapsed="false">
      <c r="A4265" s="1" t="n">
        <v>5</v>
      </c>
      <c r="B4265" s="10" t="n">
        <v>45638</v>
      </c>
      <c r="C4265" s="11" t="s">
        <v>4283</v>
      </c>
      <c r="D4265" s="1" t="s">
        <v>2901</v>
      </c>
      <c r="E4265" s="1" t="s">
        <v>18</v>
      </c>
      <c r="F4265" s="1" t="str">
        <f aca="false">TEXT(B4265,"mmm-yyyy")</f>
        <v>Dec-2024</v>
      </c>
    </row>
    <row r="4266" customFormat="false" ht="72" hidden="false" customHeight="true" outlineLevel="0" collapsed="false">
      <c r="A4266" s="1" t="n">
        <v>5</v>
      </c>
      <c r="B4266" s="10" t="n">
        <v>45650</v>
      </c>
      <c r="C4266" s="11" t="s">
        <v>4284</v>
      </c>
      <c r="D4266" s="1" t="s">
        <v>2901</v>
      </c>
      <c r="E4266" s="1" t="s">
        <v>18</v>
      </c>
      <c r="F4266" s="1" t="str">
        <f aca="false">TEXT(B4266,"mmm-yyyy")</f>
        <v>Dec-2024</v>
      </c>
    </row>
    <row r="4267" customFormat="false" ht="57.75" hidden="false" customHeight="true" outlineLevel="0" collapsed="false">
      <c r="A4267" s="1" t="n">
        <v>2</v>
      </c>
      <c r="B4267" s="10" t="n">
        <v>45656</v>
      </c>
      <c r="C4267" s="11" t="s">
        <v>4285</v>
      </c>
      <c r="D4267" s="1" t="s">
        <v>2901</v>
      </c>
      <c r="E4267" s="1" t="s">
        <v>20</v>
      </c>
      <c r="F4267" s="1" t="str">
        <f aca="false">TEXT(B4267,"mmm-yyyy")</f>
        <v>Dec-2024</v>
      </c>
    </row>
    <row r="4268" customFormat="false" ht="57.75" hidden="false" customHeight="true" outlineLevel="0" collapsed="false">
      <c r="A4268" s="1" t="n">
        <v>1</v>
      </c>
      <c r="B4268" s="10" t="n">
        <v>45653</v>
      </c>
      <c r="C4268" s="11" t="s">
        <v>4286</v>
      </c>
      <c r="D4268" s="1" t="s">
        <v>2901</v>
      </c>
      <c r="E4268" s="1" t="s">
        <v>20</v>
      </c>
      <c r="F4268" s="1" t="str">
        <f aca="false">TEXT(B4268,"mmm-yyyy")</f>
        <v>Dec-2024</v>
      </c>
    </row>
    <row r="4269" customFormat="false" ht="43.5" hidden="false" customHeight="true" outlineLevel="0" collapsed="false">
      <c r="A4269" s="1" t="n">
        <v>1</v>
      </c>
      <c r="B4269" s="10" t="n">
        <v>45652</v>
      </c>
      <c r="C4269" s="11" t="s">
        <v>4287</v>
      </c>
      <c r="D4269" s="1" t="s">
        <v>2901</v>
      </c>
      <c r="E4269" s="1" t="s">
        <v>32</v>
      </c>
      <c r="F4269" s="1" t="str">
        <f aca="false">TEXT(B4269,"mmm-yyyy")</f>
        <v>Dec-2024</v>
      </c>
    </row>
    <row r="4270" customFormat="false" ht="57.75" hidden="false" customHeight="true" outlineLevel="0" collapsed="false">
      <c r="A4270" s="1" t="n">
        <v>1</v>
      </c>
      <c r="B4270" s="10" t="n">
        <v>45650</v>
      </c>
      <c r="C4270" s="11" t="s">
        <v>4288</v>
      </c>
      <c r="D4270" s="1" t="s">
        <v>2901</v>
      </c>
      <c r="E4270" s="1" t="s">
        <v>20</v>
      </c>
      <c r="F4270" s="1" t="str">
        <f aca="false">TEXT(B4270,"mmm-yyyy")</f>
        <v>Dec-2024</v>
      </c>
    </row>
    <row r="4271" customFormat="false" ht="72" hidden="false" customHeight="true" outlineLevel="0" collapsed="false">
      <c r="A4271" s="1" t="n">
        <v>5</v>
      </c>
      <c r="B4271" s="10" t="n">
        <v>45645</v>
      </c>
      <c r="C4271" s="11" t="s">
        <v>4289</v>
      </c>
      <c r="D4271" s="1" t="s">
        <v>2901</v>
      </c>
      <c r="E4271" s="1" t="s">
        <v>18</v>
      </c>
      <c r="F4271" s="1" t="str">
        <f aca="false">TEXT(B4271,"mmm-yyyy")</f>
        <v>Dec-2024</v>
      </c>
    </row>
    <row r="4272" customFormat="false" ht="43.5" hidden="false" customHeight="true" outlineLevel="0" collapsed="false">
      <c r="A4272" s="1" t="n">
        <v>4</v>
      </c>
      <c r="B4272" s="10" t="n">
        <v>45657</v>
      </c>
      <c r="C4272" s="11" t="s">
        <v>4290</v>
      </c>
      <c r="D4272" s="1" t="s">
        <v>2901</v>
      </c>
      <c r="E4272" s="1" t="s">
        <v>18</v>
      </c>
      <c r="F4272" s="1" t="str">
        <f aca="false">TEXT(B4272,"mmm-yyyy")</f>
        <v>Dec-2024</v>
      </c>
    </row>
    <row r="4273" customFormat="false" ht="43.5" hidden="false" customHeight="true" outlineLevel="0" collapsed="false">
      <c r="A4273" s="1" t="n">
        <v>1</v>
      </c>
      <c r="B4273" s="10" t="n">
        <v>45640</v>
      </c>
      <c r="C4273" s="11" t="s">
        <v>4291</v>
      </c>
      <c r="D4273" s="1" t="s">
        <v>2901</v>
      </c>
      <c r="E4273" s="1" t="s">
        <v>20</v>
      </c>
      <c r="F4273" s="1" t="str">
        <f aca="false">TEXT(B4273,"mmm-yyyy")</f>
        <v>Dec-2024</v>
      </c>
    </row>
    <row r="4274" customFormat="false" ht="57.75" hidden="false" customHeight="true" outlineLevel="0" collapsed="false">
      <c r="A4274" s="1" t="n">
        <v>1</v>
      </c>
      <c r="B4274" s="10" t="n">
        <v>45642</v>
      </c>
      <c r="C4274" s="11" t="s">
        <v>4292</v>
      </c>
      <c r="D4274" s="1" t="s">
        <v>2901</v>
      </c>
      <c r="E4274" s="1" t="s">
        <v>20</v>
      </c>
      <c r="F4274" s="1" t="str">
        <f aca="false">TEXT(B4274,"mmm-yyyy")</f>
        <v>Dec-2024</v>
      </c>
    </row>
    <row r="4275" customFormat="false" ht="43.5" hidden="false" customHeight="true" outlineLevel="0" collapsed="false">
      <c r="A4275" s="1" t="n">
        <v>1</v>
      </c>
      <c r="B4275" s="10" t="n">
        <v>45636</v>
      </c>
      <c r="C4275" s="11" t="s">
        <v>4293</v>
      </c>
      <c r="D4275" s="1" t="s">
        <v>2901</v>
      </c>
      <c r="E4275" s="1" t="s">
        <v>20</v>
      </c>
      <c r="F4275" s="1" t="str">
        <f aca="false">TEXT(B4275,"mmm-yyyy")</f>
        <v>Dec-2024</v>
      </c>
    </row>
    <row r="4276" customFormat="false" ht="87" hidden="false" customHeight="true" outlineLevel="0" collapsed="false">
      <c r="A4276" s="1" t="n">
        <v>1</v>
      </c>
      <c r="B4276" s="10" t="n">
        <v>45656</v>
      </c>
      <c r="C4276" s="11" t="s">
        <v>4294</v>
      </c>
      <c r="D4276" s="1" t="s">
        <v>2901</v>
      </c>
      <c r="E4276" s="1" t="s">
        <v>20</v>
      </c>
      <c r="F4276" s="1" t="str">
        <f aca="false">TEXT(B4276,"mmm-yyyy")</f>
        <v>Dec-2024</v>
      </c>
    </row>
    <row r="4277" customFormat="false" ht="43.5" hidden="false" customHeight="true" outlineLevel="0" collapsed="false">
      <c r="A4277" s="1" t="n">
        <v>5</v>
      </c>
      <c r="B4277" s="10" t="n">
        <v>45648</v>
      </c>
      <c r="C4277" s="11" t="s">
        <v>4295</v>
      </c>
      <c r="D4277" s="1" t="s">
        <v>2901</v>
      </c>
      <c r="E4277" s="1" t="s">
        <v>18</v>
      </c>
      <c r="F4277" s="1" t="str">
        <f aca="false">TEXT(B4277,"mmm-yyyy")</f>
        <v>Dec-2024</v>
      </c>
    </row>
    <row r="4278" customFormat="false" ht="43.5" hidden="false" customHeight="true" outlineLevel="0" collapsed="false">
      <c r="A4278" s="1" t="n">
        <v>4</v>
      </c>
      <c r="B4278" s="10" t="n">
        <v>45649</v>
      </c>
      <c r="C4278" s="11" t="s">
        <v>4296</v>
      </c>
      <c r="D4278" s="1" t="s">
        <v>2901</v>
      </c>
      <c r="E4278" s="1" t="s">
        <v>18</v>
      </c>
      <c r="F4278" s="1" t="str">
        <f aca="false">TEXT(B4278,"mmm-yyyy")</f>
        <v>Dec-2024</v>
      </c>
    </row>
    <row r="4279" customFormat="false" ht="57.75" hidden="false" customHeight="true" outlineLevel="0" collapsed="false">
      <c r="A4279" s="1" t="n">
        <v>1</v>
      </c>
      <c r="B4279" s="10" t="n">
        <v>45648</v>
      </c>
      <c r="C4279" s="11" t="s">
        <v>4297</v>
      </c>
      <c r="D4279" s="1" t="s">
        <v>2901</v>
      </c>
      <c r="E4279" s="1" t="s">
        <v>20</v>
      </c>
      <c r="F4279" s="1" t="str">
        <f aca="false">TEXT(B4279,"mmm-yyyy")</f>
        <v>Dec-2024</v>
      </c>
    </row>
    <row r="4280" customFormat="false" ht="57.75" hidden="false" customHeight="true" outlineLevel="0" collapsed="false">
      <c r="A4280" s="1" t="n">
        <v>2</v>
      </c>
      <c r="B4280" s="10" t="n">
        <v>45637</v>
      </c>
      <c r="C4280" s="11" t="s">
        <v>4298</v>
      </c>
      <c r="D4280" s="1" t="s">
        <v>2901</v>
      </c>
      <c r="E4280" s="1" t="s">
        <v>20</v>
      </c>
      <c r="F4280" s="1" t="str">
        <f aca="false">TEXT(B4280,"mmm-yyyy")</f>
        <v>Dec-2024</v>
      </c>
    </row>
    <row r="4281" customFormat="false" ht="43.5" hidden="false" customHeight="true" outlineLevel="0" collapsed="false">
      <c r="A4281" s="1" t="n">
        <v>1</v>
      </c>
      <c r="B4281" s="10" t="n">
        <v>45645</v>
      </c>
      <c r="C4281" s="11" t="s">
        <v>4299</v>
      </c>
      <c r="D4281" s="1" t="s">
        <v>2901</v>
      </c>
      <c r="E4281" s="1" t="s">
        <v>20</v>
      </c>
      <c r="F4281" s="1" t="str">
        <f aca="false">TEXT(B4281,"mmm-yyyy")</f>
        <v>Dec-2024</v>
      </c>
    </row>
    <row r="4282" customFormat="false" ht="57.75" hidden="false" customHeight="true" outlineLevel="0" collapsed="false">
      <c r="A4282" s="1" t="n">
        <v>1</v>
      </c>
      <c r="B4282" s="10" t="n">
        <v>45641</v>
      </c>
      <c r="C4282" s="11" t="s">
        <v>4300</v>
      </c>
      <c r="D4282" s="1" t="s">
        <v>2901</v>
      </c>
      <c r="E4282" s="1" t="s">
        <v>20</v>
      </c>
      <c r="F4282" s="1" t="str">
        <f aca="false">TEXT(B4282,"mmm-yyyy")</f>
        <v>Dec-2024</v>
      </c>
    </row>
    <row r="4283" customFormat="false" ht="57.75" hidden="false" customHeight="true" outlineLevel="0" collapsed="false">
      <c r="A4283" s="1" t="n">
        <v>1</v>
      </c>
      <c r="B4283" s="10" t="n">
        <v>45653</v>
      </c>
      <c r="C4283" s="11" t="s">
        <v>4301</v>
      </c>
      <c r="D4283" s="1" t="s">
        <v>2901</v>
      </c>
      <c r="E4283" s="1" t="s">
        <v>18</v>
      </c>
      <c r="F4283" s="1" t="str">
        <f aca="false">TEXT(B4283,"mmm-yyyy")</f>
        <v>Dec-2024</v>
      </c>
    </row>
    <row r="4284" customFormat="false" ht="57.75" hidden="false" customHeight="true" outlineLevel="0" collapsed="false">
      <c r="A4284" s="1" t="n">
        <v>1</v>
      </c>
      <c r="B4284" s="10" t="n">
        <v>45639</v>
      </c>
      <c r="C4284" s="11" t="s">
        <v>4302</v>
      </c>
      <c r="D4284" s="1" t="s">
        <v>2901</v>
      </c>
      <c r="E4284" s="1" t="s">
        <v>20</v>
      </c>
      <c r="F4284" s="1" t="str">
        <f aca="false">TEXT(B4284,"mmm-yyyy")</f>
        <v>Dec-2024</v>
      </c>
    </row>
    <row r="4285" customFormat="false" ht="72" hidden="false" customHeight="true" outlineLevel="0" collapsed="false">
      <c r="A4285" s="1" t="n">
        <v>4</v>
      </c>
      <c r="B4285" s="10" t="n">
        <v>45651</v>
      </c>
      <c r="C4285" s="11" t="s">
        <v>4303</v>
      </c>
      <c r="D4285" s="1" t="s">
        <v>2901</v>
      </c>
      <c r="E4285" s="1" t="s">
        <v>18</v>
      </c>
      <c r="F4285" s="1" t="str">
        <f aca="false">TEXT(B4285,"mmm-yyyy")</f>
        <v>Dec-2024</v>
      </c>
    </row>
    <row r="4286" customFormat="false" ht="28.5" hidden="false" customHeight="true" outlineLevel="0" collapsed="false">
      <c r="A4286" s="1" t="n">
        <v>5</v>
      </c>
      <c r="B4286" s="10" t="n">
        <v>45650</v>
      </c>
      <c r="C4286" s="11" t="s">
        <v>4304</v>
      </c>
      <c r="D4286" s="1" t="s">
        <v>2901</v>
      </c>
      <c r="E4286" s="1" t="s">
        <v>18</v>
      </c>
      <c r="F4286" s="1" t="str">
        <f aca="false">TEXT(B4286,"mmm-yyyy")</f>
        <v>Dec-2024</v>
      </c>
    </row>
    <row r="4287" customFormat="false" ht="72" hidden="false" customHeight="true" outlineLevel="0" collapsed="false">
      <c r="A4287" s="1" t="n">
        <v>1</v>
      </c>
      <c r="B4287" s="10" t="n">
        <v>45649</v>
      </c>
      <c r="C4287" s="11" t="s">
        <v>4305</v>
      </c>
      <c r="D4287" s="1" t="s">
        <v>2901</v>
      </c>
      <c r="E4287" s="1" t="s">
        <v>18</v>
      </c>
      <c r="F4287" s="1" t="str">
        <f aca="false">TEXT(B4287,"mmm-yyyy")</f>
        <v>Dec-2024</v>
      </c>
    </row>
    <row r="4288" customFormat="false" ht="57.75" hidden="false" customHeight="true" outlineLevel="0" collapsed="false">
      <c r="A4288" s="1" t="n">
        <v>1</v>
      </c>
      <c r="B4288" s="10" t="n">
        <v>45650</v>
      </c>
      <c r="C4288" s="11" t="s">
        <v>4306</v>
      </c>
      <c r="D4288" s="1" t="s">
        <v>2901</v>
      </c>
      <c r="E4288" s="1" t="s">
        <v>18</v>
      </c>
      <c r="F4288" s="1" t="str">
        <f aca="false">TEXT(B4288,"mmm-yyyy")</f>
        <v>Dec-2024</v>
      </c>
    </row>
    <row r="4289" customFormat="false" ht="43.5" hidden="false" customHeight="true" outlineLevel="0" collapsed="false">
      <c r="A4289" s="1" t="n">
        <v>1</v>
      </c>
      <c r="B4289" s="10" t="n">
        <v>45650</v>
      </c>
      <c r="C4289" s="11" t="s">
        <v>4307</v>
      </c>
      <c r="D4289" s="1" t="s">
        <v>2901</v>
      </c>
      <c r="E4289" s="1" t="s">
        <v>20</v>
      </c>
      <c r="F4289" s="1" t="str">
        <f aca="false">TEXT(B4289,"mmm-yyyy")</f>
        <v>Dec-2024</v>
      </c>
    </row>
    <row r="4290" customFormat="false" ht="87" hidden="false" customHeight="true" outlineLevel="0" collapsed="false">
      <c r="A4290" s="1" t="n">
        <v>1</v>
      </c>
      <c r="B4290" s="10" t="n">
        <v>45649</v>
      </c>
      <c r="C4290" s="11" t="s">
        <v>4308</v>
      </c>
      <c r="D4290" s="1" t="s">
        <v>2901</v>
      </c>
      <c r="E4290" s="1" t="s">
        <v>20</v>
      </c>
      <c r="F4290" s="1" t="str">
        <f aca="false">TEXT(B4290,"mmm-yyyy")</f>
        <v>Dec-2024</v>
      </c>
    </row>
    <row r="4291" customFormat="false" ht="43.5" hidden="false" customHeight="true" outlineLevel="0" collapsed="false">
      <c r="A4291" s="1" t="n">
        <v>1</v>
      </c>
      <c r="B4291" s="10" t="n">
        <v>45635</v>
      </c>
      <c r="C4291" s="11" t="s">
        <v>4309</v>
      </c>
      <c r="D4291" s="1" t="s">
        <v>2901</v>
      </c>
      <c r="E4291" s="1" t="s">
        <v>20</v>
      </c>
      <c r="F4291" s="1" t="str">
        <f aca="false">TEXT(B4291,"mmm-yyyy")</f>
        <v>Dec-2024</v>
      </c>
    </row>
    <row r="4292" customFormat="false" ht="43.5" hidden="false" customHeight="true" outlineLevel="0" collapsed="false">
      <c r="A4292" s="1" t="n">
        <v>1</v>
      </c>
      <c r="B4292" s="10" t="n">
        <v>45650</v>
      </c>
      <c r="C4292" s="11" t="s">
        <v>4310</v>
      </c>
      <c r="D4292" s="1" t="s">
        <v>2901</v>
      </c>
      <c r="E4292" s="1" t="s">
        <v>20</v>
      </c>
      <c r="F4292" s="1" t="str">
        <f aca="false">TEXT(B4292,"mmm-yyyy")</f>
        <v>Dec-2024</v>
      </c>
    </row>
    <row r="4293" customFormat="false" ht="57.75" hidden="false" customHeight="true" outlineLevel="0" collapsed="false">
      <c r="A4293" s="1" t="n">
        <v>5</v>
      </c>
      <c r="B4293" s="10" t="n">
        <v>45657</v>
      </c>
      <c r="C4293" s="11" t="s">
        <v>4311</v>
      </c>
      <c r="D4293" s="1" t="s">
        <v>2901</v>
      </c>
      <c r="E4293" s="1" t="s">
        <v>18</v>
      </c>
      <c r="F4293" s="1" t="str">
        <f aca="false">TEXT(B4293,"mmm-yyyy")</f>
        <v>Dec-2024</v>
      </c>
    </row>
    <row r="4294" customFormat="false" ht="43.5" hidden="false" customHeight="true" outlineLevel="0" collapsed="false">
      <c r="A4294" s="1" t="n">
        <v>2</v>
      </c>
      <c r="B4294" s="10" t="n">
        <v>45652</v>
      </c>
      <c r="C4294" s="11" t="s">
        <v>4312</v>
      </c>
      <c r="D4294" s="1" t="s">
        <v>2901</v>
      </c>
      <c r="E4294" s="1" t="s">
        <v>20</v>
      </c>
      <c r="F4294" s="1" t="str">
        <f aca="false">TEXT(B4294,"mmm-yyyy")</f>
        <v>Dec-2024</v>
      </c>
    </row>
    <row r="4295" customFormat="false" ht="101.25" hidden="false" customHeight="true" outlineLevel="0" collapsed="false">
      <c r="A4295" s="1" t="n">
        <v>1</v>
      </c>
      <c r="B4295" s="10" t="n">
        <v>45651</v>
      </c>
      <c r="C4295" s="11" t="s">
        <v>4313</v>
      </c>
      <c r="D4295" s="1" t="s">
        <v>2901</v>
      </c>
      <c r="E4295" s="1" t="s">
        <v>20</v>
      </c>
      <c r="F4295" s="1" t="str">
        <f aca="false">TEXT(B4295,"mmm-yyyy")</f>
        <v>Dec-2024</v>
      </c>
    </row>
    <row r="4296" customFormat="false" ht="57.75" hidden="false" customHeight="true" outlineLevel="0" collapsed="false">
      <c r="A4296" s="1" t="n">
        <v>1</v>
      </c>
      <c r="B4296" s="10" t="n">
        <v>45650</v>
      </c>
      <c r="C4296" s="11" t="s">
        <v>4314</v>
      </c>
      <c r="D4296" s="1" t="s">
        <v>2901</v>
      </c>
      <c r="E4296" s="1" t="s">
        <v>20</v>
      </c>
      <c r="F4296" s="1" t="str">
        <f aca="false">TEXT(B4296,"mmm-yyyy")</f>
        <v>Dec-2024</v>
      </c>
    </row>
    <row r="4297" customFormat="false" ht="87" hidden="false" customHeight="true" outlineLevel="0" collapsed="false">
      <c r="A4297" s="1" t="n">
        <v>1</v>
      </c>
      <c r="B4297" s="10" t="n">
        <v>45640</v>
      </c>
      <c r="C4297" s="11" t="s">
        <v>4315</v>
      </c>
      <c r="D4297" s="1" t="s">
        <v>2901</v>
      </c>
      <c r="E4297" s="1" t="s">
        <v>20</v>
      </c>
      <c r="F4297" s="1" t="str">
        <f aca="false">TEXT(B4297,"mmm-yyyy")</f>
        <v>Dec-2024</v>
      </c>
    </row>
    <row r="4298" customFormat="false" ht="57.75" hidden="false" customHeight="true" outlineLevel="0" collapsed="false">
      <c r="A4298" s="1" t="n">
        <v>1</v>
      </c>
      <c r="B4298" s="10" t="n">
        <v>45651</v>
      </c>
      <c r="C4298" s="11" t="s">
        <v>4316</v>
      </c>
      <c r="D4298" s="1" t="s">
        <v>2901</v>
      </c>
      <c r="E4298" s="1" t="s">
        <v>20</v>
      </c>
      <c r="F4298" s="1" t="str">
        <f aca="false">TEXT(B4298,"mmm-yyyy")</f>
        <v>Dec-2024</v>
      </c>
    </row>
    <row r="4299" customFormat="false" ht="57.75" hidden="false" customHeight="true" outlineLevel="0" collapsed="false">
      <c r="A4299" s="1" t="n">
        <v>5</v>
      </c>
      <c r="B4299" s="10" t="n">
        <v>45654</v>
      </c>
      <c r="C4299" s="11" t="s">
        <v>4317</v>
      </c>
      <c r="D4299" s="1" t="s">
        <v>2901</v>
      </c>
      <c r="E4299" s="1" t="s">
        <v>18</v>
      </c>
      <c r="F4299" s="1" t="str">
        <f aca="false">TEXT(B4299,"mmm-yyyy")</f>
        <v>Dec-2024</v>
      </c>
    </row>
    <row r="4300" customFormat="false" ht="57.75" hidden="false" customHeight="true" outlineLevel="0" collapsed="false">
      <c r="A4300" s="1" t="n">
        <v>1</v>
      </c>
      <c r="B4300" s="10" t="n">
        <v>45648</v>
      </c>
      <c r="C4300" s="11" t="s">
        <v>4318</v>
      </c>
      <c r="D4300" s="1" t="s">
        <v>2901</v>
      </c>
      <c r="E4300" s="1" t="s">
        <v>20</v>
      </c>
      <c r="F4300" s="1" t="str">
        <f aca="false">TEXT(B4300,"mmm-yyyy")</f>
        <v>Dec-2024</v>
      </c>
    </row>
    <row r="4301" customFormat="false" ht="57.75" hidden="false" customHeight="true" outlineLevel="0" collapsed="false">
      <c r="A4301" s="1" t="n">
        <v>1</v>
      </c>
      <c r="B4301" s="10" t="n">
        <v>45637</v>
      </c>
      <c r="C4301" s="11" t="s">
        <v>4319</v>
      </c>
      <c r="D4301" s="1" t="s">
        <v>2901</v>
      </c>
      <c r="E4301" s="1" t="s">
        <v>32</v>
      </c>
      <c r="F4301" s="1" t="str">
        <f aca="false">TEXT(B4301,"mmm-yyyy")</f>
        <v>Dec-2024</v>
      </c>
    </row>
    <row r="4302" customFormat="false" ht="101.25" hidden="false" customHeight="true" outlineLevel="0" collapsed="false">
      <c r="A4302" s="1" t="n">
        <v>1</v>
      </c>
      <c r="B4302" s="10" t="n">
        <v>45654</v>
      </c>
      <c r="C4302" s="11" t="s">
        <v>4320</v>
      </c>
      <c r="D4302" s="1" t="s">
        <v>2901</v>
      </c>
      <c r="E4302" s="1" t="s">
        <v>18</v>
      </c>
      <c r="F4302" s="1" t="str">
        <f aca="false">TEXT(B4302,"mmm-yyyy")</f>
        <v>Dec-2024</v>
      </c>
    </row>
    <row r="4303" customFormat="false" ht="57.75" hidden="false" customHeight="true" outlineLevel="0" collapsed="false">
      <c r="A4303" s="1" t="n">
        <v>1</v>
      </c>
      <c r="B4303" s="10" t="n">
        <v>45643</v>
      </c>
      <c r="C4303" s="11" t="s">
        <v>4321</v>
      </c>
      <c r="D4303" s="1" t="s">
        <v>2901</v>
      </c>
      <c r="E4303" s="1" t="s">
        <v>20</v>
      </c>
      <c r="F4303" s="1" t="str">
        <f aca="false">TEXT(B4303,"mmm-yyyy")</f>
        <v>Dec-2024</v>
      </c>
    </row>
    <row r="4304" customFormat="false" ht="57.75" hidden="false" customHeight="true" outlineLevel="0" collapsed="false">
      <c r="A4304" s="1" t="n">
        <v>1</v>
      </c>
      <c r="B4304" s="10" t="n">
        <v>45646</v>
      </c>
      <c r="C4304" s="11" t="s">
        <v>4322</v>
      </c>
      <c r="D4304" s="1" t="s">
        <v>2901</v>
      </c>
      <c r="E4304" s="1" t="s">
        <v>20</v>
      </c>
      <c r="F4304" s="1" t="str">
        <f aca="false">TEXT(B4304,"mmm-yyyy")</f>
        <v>Dec-2024</v>
      </c>
    </row>
    <row r="4305" customFormat="false" ht="72" hidden="false" customHeight="true" outlineLevel="0" collapsed="false">
      <c r="A4305" s="1" t="n">
        <v>5</v>
      </c>
      <c r="B4305" s="10" t="n">
        <v>45643</v>
      </c>
      <c r="C4305" s="11" t="s">
        <v>4323</v>
      </c>
      <c r="D4305" s="1" t="s">
        <v>2901</v>
      </c>
      <c r="E4305" s="1" t="s">
        <v>18</v>
      </c>
      <c r="F4305" s="1" t="str">
        <f aca="false">TEXT(B4305,"mmm-yyyy")</f>
        <v>Dec-2024</v>
      </c>
    </row>
    <row r="4306" customFormat="false" ht="57.75" hidden="false" customHeight="true" outlineLevel="0" collapsed="false">
      <c r="A4306" s="1" t="n">
        <v>5</v>
      </c>
      <c r="B4306" s="10" t="n">
        <v>45645</v>
      </c>
      <c r="C4306" s="11" t="s">
        <v>4324</v>
      </c>
      <c r="D4306" s="1" t="s">
        <v>2901</v>
      </c>
      <c r="E4306" s="1" t="s">
        <v>18</v>
      </c>
      <c r="F4306" s="1" t="str">
        <f aca="false">TEXT(B4306,"mmm-yyyy")</f>
        <v>Dec-2024</v>
      </c>
    </row>
    <row r="4307" customFormat="false" ht="43.5" hidden="false" customHeight="true" outlineLevel="0" collapsed="false">
      <c r="A4307" s="1" t="n">
        <v>1</v>
      </c>
      <c r="B4307" s="10" t="n">
        <v>45656</v>
      </c>
      <c r="C4307" s="11" t="s">
        <v>4325</v>
      </c>
      <c r="D4307" s="1" t="s">
        <v>2901</v>
      </c>
      <c r="E4307" s="1" t="s">
        <v>20</v>
      </c>
      <c r="F4307" s="1" t="str">
        <f aca="false">TEXT(B4307,"mmm-yyyy")</f>
        <v>Dec-2024</v>
      </c>
    </row>
    <row r="4308" customFormat="false" ht="57.75" hidden="false" customHeight="true" outlineLevel="0" collapsed="false">
      <c r="A4308" s="1" t="n">
        <v>1</v>
      </c>
      <c r="B4308" s="10" t="n">
        <v>45640</v>
      </c>
      <c r="C4308" s="11" t="s">
        <v>4326</v>
      </c>
      <c r="D4308" s="1" t="s">
        <v>2901</v>
      </c>
      <c r="E4308" s="1" t="s">
        <v>20</v>
      </c>
      <c r="F4308" s="1" t="str">
        <f aca="false">TEXT(B4308,"mmm-yyyy")</f>
        <v>Dec-2024</v>
      </c>
    </row>
    <row r="4309" customFormat="false" ht="28.5" hidden="false" customHeight="true" outlineLevel="0" collapsed="false">
      <c r="A4309" s="1" t="n">
        <v>1</v>
      </c>
      <c r="B4309" s="10" t="n">
        <v>45651</v>
      </c>
      <c r="C4309" s="11" t="s">
        <v>4327</v>
      </c>
      <c r="D4309" s="1" t="s">
        <v>2901</v>
      </c>
      <c r="E4309" s="1" t="s">
        <v>20</v>
      </c>
      <c r="F4309" s="1" t="str">
        <f aca="false">TEXT(B4309,"mmm-yyyy")</f>
        <v>Dec-2024</v>
      </c>
    </row>
    <row r="4310" customFormat="false" ht="72" hidden="false" customHeight="true" outlineLevel="0" collapsed="false">
      <c r="A4310" s="1" t="n">
        <v>1</v>
      </c>
      <c r="B4310" s="10" t="n">
        <v>45635</v>
      </c>
      <c r="C4310" s="11" t="s">
        <v>4328</v>
      </c>
      <c r="D4310" s="1" t="s">
        <v>2901</v>
      </c>
      <c r="E4310" s="1" t="s">
        <v>18</v>
      </c>
      <c r="F4310" s="1" t="str">
        <f aca="false">TEXT(B4310,"mmm-yyyy")</f>
        <v>Dec-2024</v>
      </c>
    </row>
    <row r="4311" customFormat="false" ht="72" hidden="false" customHeight="true" outlineLevel="0" collapsed="false">
      <c r="A4311" s="1" t="n">
        <v>2</v>
      </c>
      <c r="B4311" s="10" t="n">
        <v>45642</v>
      </c>
      <c r="C4311" s="11" t="s">
        <v>4329</v>
      </c>
      <c r="D4311" s="1" t="s">
        <v>2901</v>
      </c>
      <c r="E4311" s="1" t="s">
        <v>20</v>
      </c>
      <c r="F4311" s="1" t="str">
        <f aca="false">TEXT(B4311,"mmm-yyyy")</f>
        <v>Dec-2024</v>
      </c>
    </row>
    <row r="4312" customFormat="false" ht="130.5" hidden="false" customHeight="true" outlineLevel="0" collapsed="false">
      <c r="A4312" s="1" t="n">
        <v>5</v>
      </c>
      <c r="B4312" s="10" t="n">
        <v>45646</v>
      </c>
      <c r="C4312" s="11" t="s">
        <v>4330</v>
      </c>
      <c r="D4312" s="1" t="s">
        <v>2901</v>
      </c>
      <c r="E4312" s="1" t="s">
        <v>18</v>
      </c>
      <c r="F4312" s="1" t="str">
        <f aca="false">TEXT(B4312,"mmm-yyyy")</f>
        <v>Dec-2024</v>
      </c>
    </row>
    <row r="4313" customFormat="false" ht="72" hidden="false" customHeight="true" outlineLevel="0" collapsed="false">
      <c r="A4313" s="1" t="n">
        <v>4</v>
      </c>
      <c r="B4313" s="10" t="n">
        <v>45652</v>
      </c>
      <c r="C4313" s="11" t="s">
        <v>4331</v>
      </c>
      <c r="D4313" s="1" t="s">
        <v>2901</v>
      </c>
      <c r="E4313" s="1" t="s">
        <v>18</v>
      </c>
      <c r="F4313" s="1" t="str">
        <f aca="false">TEXT(B4313,"mmm-yyyy")</f>
        <v>Dec-2024</v>
      </c>
    </row>
    <row r="4314" customFormat="false" ht="43.5" hidden="false" customHeight="true" outlineLevel="0" collapsed="false">
      <c r="A4314" s="1" t="n">
        <v>1</v>
      </c>
      <c r="B4314" s="10" t="n">
        <v>45655</v>
      </c>
      <c r="C4314" s="11" t="s">
        <v>4332</v>
      </c>
      <c r="D4314" s="1" t="s">
        <v>2901</v>
      </c>
      <c r="E4314" s="1" t="s">
        <v>20</v>
      </c>
      <c r="F4314" s="1" t="str">
        <f aca="false">TEXT(B4314,"mmm-yyyy")</f>
        <v>Dec-2024</v>
      </c>
    </row>
    <row r="4315" customFormat="false" ht="57.75" hidden="false" customHeight="true" outlineLevel="0" collapsed="false">
      <c r="A4315" s="1" t="n">
        <v>1</v>
      </c>
      <c r="B4315" s="10" t="n">
        <v>45652</v>
      </c>
      <c r="C4315" s="11" t="s">
        <v>4333</v>
      </c>
      <c r="D4315" s="1" t="s">
        <v>2901</v>
      </c>
      <c r="E4315" s="1" t="s">
        <v>20</v>
      </c>
      <c r="F4315" s="1" t="str">
        <f aca="false">TEXT(B4315,"mmm-yyyy")</f>
        <v>Dec-2024</v>
      </c>
    </row>
    <row r="4316" customFormat="false" ht="72" hidden="false" customHeight="true" outlineLevel="0" collapsed="false">
      <c r="A4316" s="1" t="n">
        <v>1</v>
      </c>
      <c r="B4316" s="10" t="n">
        <v>45643</v>
      </c>
      <c r="C4316" s="11" t="s">
        <v>4334</v>
      </c>
      <c r="D4316" s="1" t="s">
        <v>2901</v>
      </c>
      <c r="E4316" s="1" t="s">
        <v>20</v>
      </c>
      <c r="F4316" s="1" t="str">
        <f aca="false">TEXT(B4316,"mmm-yyyy")</f>
        <v>Dec-2024</v>
      </c>
    </row>
    <row r="4317" customFormat="false" ht="57.75" hidden="false" customHeight="true" outlineLevel="0" collapsed="false">
      <c r="A4317" s="1" t="n">
        <v>1</v>
      </c>
      <c r="B4317" s="10" t="n">
        <v>45650</v>
      </c>
      <c r="C4317" s="11" t="s">
        <v>4335</v>
      </c>
      <c r="D4317" s="1" t="s">
        <v>2901</v>
      </c>
      <c r="E4317" s="1" t="s">
        <v>20</v>
      </c>
      <c r="F4317" s="1" t="str">
        <f aca="false">TEXT(B4317,"mmm-yyyy")</f>
        <v>Dec-2024</v>
      </c>
    </row>
    <row r="4318" customFormat="false" ht="57.75" hidden="false" customHeight="true" outlineLevel="0" collapsed="false">
      <c r="A4318" s="1" t="n">
        <v>3</v>
      </c>
      <c r="B4318" s="10" t="n">
        <v>45654</v>
      </c>
      <c r="C4318" s="11" t="s">
        <v>4336</v>
      </c>
      <c r="D4318" s="1" t="s">
        <v>2901</v>
      </c>
      <c r="E4318" s="1" t="s">
        <v>20</v>
      </c>
      <c r="F4318" s="1" t="str">
        <f aca="false">TEXT(B4318,"mmm-yyyy")</f>
        <v>Dec-2024</v>
      </c>
    </row>
    <row r="4319" customFormat="false" ht="57.75" hidden="false" customHeight="true" outlineLevel="0" collapsed="false">
      <c r="A4319" s="1" t="n">
        <v>3</v>
      </c>
      <c r="B4319" s="10" t="n">
        <v>45639</v>
      </c>
      <c r="C4319" s="11" t="s">
        <v>4337</v>
      </c>
      <c r="D4319" s="1" t="s">
        <v>2901</v>
      </c>
      <c r="E4319" s="1" t="s">
        <v>18</v>
      </c>
      <c r="F4319" s="1" t="str">
        <f aca="false">TEXT(B4319,"mmm-yyyy")</f>
        <v>Dec-2024</v>
      </c>
    </row>
    <row r="4320" customFormat="false" ht="101.25" hidden="false" customHeight="true" outlineLevel="0" collapsed="false">
      <c r="A4320" s="1" t="n">
        <v>1</v>
      </c>
      <c r="B4320" s="10" t="n">
        <v>45648</v>
      </c>
      <c r="C4320" s="11" t="s">
        <v>4338</v>
      </c>
      <c r="D4320" s="1" t="s">
        <v>2901</v>
      </c>
      <c r="E4320" s="1" t="s">
        <v>20</v>
      </c>
      <c r="F4320" s="1" t="str">
        <f aca="false">TEXT(B4320,"mmm-yyyy")</f>
        <v>Dec-2024</v>
      </c>
    </row>
    <row r="4321" customFormat="false" ht="28.5" hidden="false" customHeight="true" outlineLevel="0" collapsed="false">
      <c r="A4321" s="1" t="n">
        <v>5</v>
      </c>
      <c r="B4321" s="10" t="n">
        <v>45650</v>
      </c>
      <c r="C4321" s="11" t="s">
        <v>4339</v>
      </c>
      <c r="D4321" s="1" t="s">
        <v>2901</v>
      </c>
      <c r="E4321" s="1" t="s">
        <v>18</v>
      </c>
      <c r="F4321" s="1" t="str">
        <f aca="false">TEXT(B4321,"mmm-yyyy")</f>
        <v>Dec-2024</v>
      </c>
    </row>
    <row r="4322" customFormat="false" ht="72" hidden="false" customHeight="true" outlineLevel="0" collapsed="false">
      <c r="A4322" s="1" t="n">
        <v>1</v>
      </c>
      <c r="B4322" s="10" t="n">
        <v>45649</v>
      </c>
      <c r="C4322" s="11" t="s">
        <v>4340</v>
      </c>
      <c r="D4322" s="1" t="s">
        <v>2901</v>
      </c>
      <c r="E4322" s="1" t="s">
        <v>18</v>
      </c>
      <c r="F4322" s="1" t="str">
        <f aca="false">TEXT(B4322,"mmm-yyyy")</f>
        <v>Dec-2024</v>
      </c>
    </row>
    <row r="4323" customFormat="false" ht="43.5" hidden="false" customHeight="true" outlineLevel="0" collapsed="false">
      <c r="A4323" s="1" t="n">
        <v>1</v>
      </c>
      <c r="B4323" s="10" t="n">
        <v>45651</v>
      </c>
      <c r="C4323" s="11" t="s">
        <v>4341</v>
      </c>
      <c r="D4323" s="1" t="s">
        <v>2901</v>
      </c>
      <c r="E4323" s="1" t="s">
        <v>20</v>
      </c>
      <c r="F4323" s="1" t="str">
        <f aca="false">TEXT(B4323,"mmm-yyyy")</f>
        <v>Dec-2024</v>
      </c>
    </row>
    <row r="4324" customFormat="false" ht="43.5" hidden="false" customHeight="true" outlineLevel="0" collapsed="false">
      <c r="A4324" s="1" t="n">
        <v>1</v>
      </c>
      <c r="B4324" s="10" t="n">
        <v>45656</v>
      </c>
      <c r="C4324" s="11" t="s">
        <v>4342</v>
      </c>
      <c r="D4324" s="1" t="s">
        <v>2901</v>
      </c>
      <c r="E4324" s="1" t="s">
        <v>18</v>
      </c>
      <c r="F4324" s="1" t="str">
        <f aca="false">TEXT(B4324,"mmm-yyyy")</f>
        <v>Dec-2024</v>
      </c>
    </row>
    <row r="4325" customFormat="false" ht="57.75" hidden="false" customHeight="true" outlineLevel="0" collapsed="false">
      <c r="A4325" s="1" t="n">
        <v>1</v>
      </c>
      <c r="B4325" s="10" t="n">
        <v>45646</v>
      </c>
      <c r="C4325" s="11" t="s">
        <v>4343</v>
      </c>
      <c r="D4325" s="1" t="s">
        <v>2901</v>
      </c>
      <c r="E4325" s="1" t="s">
        <v>20</v>
      </c>
      <c r="F4325" s="1" t="str">
        <f aca="false">TEXT(B4325,"mmm-yyyy")</f>
        <v>Dec-2024</v>
      </c>
    </row>
    <row r="4326" customFormat="false" ht="72" hidden="false" customHeight="true" outlineLevel="0" collapsed="false">
      <c r="A4326" s="1" t="n">
        <v>1</v>
      </c>
      <c r="B4326" s="10" t="n">
        <v>45645</v>
      </c>
      <c r="C4326" s="11" t="s">
        <v>4344</v>
      </c>
      <c r="D4326" s="1" t="s">
        <v>2901</v>
      </c>
      <c r="E4326" s="1" t="s">
        <v>20</v>
      </c>
      <c r="F4326" s="1" t="str">
        <f aca="false">TEXT(B4326,"mmm-yyyy")</f>
        <v>Dec-2024</v>
      </c>
    </row>
    <row r="4327" customFormat="false" ht="57.75" hidden="false" customHeight="true" outlineLevel="0" collapsed="false">
      <c r="A4327" s="1" t="n">
        <v>1</v>
      </c>
      <c r="B4327" s="10" t="n">
        <v>45651</v>
      </c>
      <c r="C4327" s="11" t="s">
        <v>4345</v>
      </c>
      <c r="D4327" s="1" t="s">
        <v>2901</v>
      </c>
      <c r="E4327" s="1" t="s">
        <v>18</v>
      </c>
      <c r="F4327" s="1" t="str">
        <f aca="false">TEXT(B4327,"mmm-yyyy")</f>
        <v>Dec-2024</v>
      </c>
    </row>
    <row r="4328" customFormat="false" ht="72" hidden="false" customHeight="true" outlineLevel="0" collapsed="false">
      <c r="A4328" s="1" t="n">
        <v>1</v>
      </c>
      <c r="B4328" s="10" t="n">
        <v>45653</v>
      </c>
      <c r="C4328" s="11" t="s">
        <v>4346</v>
      </c>
      <c r="D4328" s="1" t="s">
        <v>2901</v>
      </c>
      <c r="E4328" s="1" t="s">
        <v>20</v>
      </c>
      <c r="F4328" s="1" t="str">
        <f aca="false">TEXT(B4328,"mmm-yyyy")</f>
        <v>Dec-2024</v>
      </c>
    </row>
    <row r="4329" customFormat="false" ht="43.5" hidden="false" customHeight="true" outlineLevel="0" collapsed="false">
      <c r="A4329" s="1" t="n">
        <v>1</v>
      </c>
      <c r="B4329" s="10" t="n">
        <v>45646</v>
      </c>
      <c r="C4329" s="11" t="s">
        <v>4347</v>
      </c>
      <c r="D4329" s="1" t="s">
        <v>2901</v>
      </c>
      <c r="E4329" s="1" t="s">
        <v>20</v>
      </c>
      <c r="F4329" s="1" t="str">
        <f aca="false">TEXT(B4329,"mmm-yyyy")</f>
        <v>Dec-2024</v>
      </c>
    </row>
    <row r="4330" customFormat="false" ht="57.75" hidden="false" customHeight="true" outlineLevel="0" collapsed="false">
      <c r="A4330" s="1" t="n">
        <v>1</v>
      </c>
      <c r="B4330" s="10" t="n">
        <v>45651</v>
      </c>
      <c r="C4330" s="11" t="s">
        <v>4348</v>
      </c>
      <c r="D4330" s="1" t="s">
        <v>2901</v>
      </c>
      <c r="E4330" s="1" t="s">
        <v>18</v>
      </c>
      <c r="F4330" s="1" t="str">
        <f aca="false">TEXT(B4330,"mmm-yyyy")</f>
        <v>Dec-2024</v>
      </c>
    </row>
    <row r="4331" customFormat="false" ht="57.75" hidden="false" customHeight="true" outlineLevel="0" collapsed="false">
      <c r="A4331" s="1" t="n">
        <v>5</v>
      </c>
      <c r="B4331" s="10" t="n">
        <v>45653</v>
      </c>
      <c r="C4331" s="11" t="s">
        <v>4349</v>
      </c>
      <c r="D4331" s="1" t="s">
        <v>2901</v>
      </c>
      <c r="E4331" s="1" t="s">
        <v>18</v>
      </c>
      <c r="F4331" s="1" t="str">
        <f aca="false">TEXT(B4331,"mmm-yyyy")</f>
        <v>Dec-2024</v>
      </c>
    </row>
    <row r="4332" customFormat="false" ht="43.5" hidden="false" customHeight="true" outlineLevel="0" collapsed="false">
      <c r="A4332" s="1" t="n">
        <v>1</v>
      </c>
      <c r="B4332" s="10" t="n">
        <v>45656</v>
      </c>
      <c r="C4332" s="11" t="s">
        <v>4350</v>
      </c>
      <c r="D4332" s="1" t="s">
        <v>2901</v>
      </c>
      <c r="E4332" s="1" t="s">
        <v>32</v>
      </c>
      <c r="F4332" s="1" t="str">
        <f aca="false">TEXT(B4332,"mmm-yyyy")</f>
        <v>Dec-2024</v>
      </c>
    </row>
    <row r="4333" customFormat="false" ht="101.25" hidden="false" customHeight="true" outlineLevel="0" collapsed="false">
      <c r="A4333" s="1" t="n">
        <v>5</v>
      </c>
      <c r="B4333" s="10" t="n">
        <v>45649</v>
      </c>
      <c r="C4333" s="11" t="s">
        <v>4351</v>
      </c>
      <c r="D4333" s="1" t="s">
        <v>2901</v>
      </c>
      <c r="E4333" s="1" t="s">
        <v>18</v>
      </c>
      <c r="F4333" s="1" t="str">
        <f aca="false">TEXT(B4333,"mmm-yyyy")</f>
        <v>Dec-2024</v>
      </c>
    </row>
    <row r="4334" customFormat="false" ht="57.75" hidden="false" customHeight="true" outlineLevel="0" collapsed="false">
      <c r="A4334" s="1" t="n">
        <v>1</v>
      </c>
      <c r="B4334" s="10" t="n">
        <v>45649</v>
      </c>
      <c r="C4334" s="11" t="s">
        <v>4352</v>
      </c>
      <c r="D4334" s="1" t="s">
        <v>2901</v>
      </c>
      <c r="E4334" s="1" t="s">
        <v>18</v>
      </c>
      <c r="F4334" s="1" t="str">
        <f aca="false">TEXT(B4334,"mmm-yyyy")</f>
        <v>Dec-2024</v>
      </c>
    </row>
    <row r="4335" customFormat="false" ht="43.5" hidden="false" customHeight="true" outlineLevel="0" collapsed="false">
      <c r="A4335" s="1" t="n">
        <v>1</v>
      </c>
      <c r="B4335" s="10" t="n">
        <v>45647</v>
      </c>
      <c r="C4335" s="11" t="s">
        <v>4353</v>
      </c>
      <c r="D4335" s="1" t="s">
        <v>2901</v>
      </c>
      <c r="E4335" s="1" t="s">
        <v>20</v>
      </c>
      <c r="F4335" s="1" t="str">
        <f aca="false">TEXT(B4335,"mmm-yyyy")</f>
        <v>Dec-2024</v>
      </c>
    </row>
    <row r="4336" customFormat="false" ht="72" hidden="false" customHeight="true" outlineLevel="0" collapsed="false">
      <c r="A4336" s="1" t="n">
        <v>1</v>
      </c>
      <c r="B4336" s="10" t="n">
        <v>45654</v>
      </c>
      <c r="C4336" s="11" t="s">
        <v>4354</v>
      </c>
      <c r="D4336" s="1" t="s">
        <v>2901</v>
      </c>
      <c r="E4336" s="1" t="s">
        <v>20</v>
      </c>
      <c r="F4336" s="1" t="str">
        <f aca="false">TEXT(B4336,"mmm-yyyy")</f>
        <v>Dec-2024</v>
      </c>
    </row>
    <row r="4337" customFormat="false" ht="43.5" hidden="false" customHeight="true" outlineLevel="0" collapsed="false">
      <c r="A4337" s="1" t="n">
        <v>1</v>
      </c>
      <c r="B4337" s="10" t="n">
        <v>45650</v>
      </c>
      <c r="C4337" s="11" t="s">
        <v>4355</v>
      </c>
      <c r="D4337" s="1" t="s">
        <v>2901</v>
      </c>
      <c r="E4337" s="1" t="s">
        <v>20</v>
      </c>
      <c r="F4337" s="1" t="str">
        <f aca="false">TEXT(B4337,"mmm-yyyy")</f>
        <v>Dec-2024</v>
      </c>
    </row>
    <row r="4338" customFormat="false" ht="43.5" hidden="false" customHeight="true" outlineLevel="0" collapsed="false">
      <c r="A4338" s="1" t="n">
        <v>1</v>
      </c>
      <c r="B4338" s="10" t="n">
        <v>45654</v>
      </c>
      <c r="C4338" s="11" t="s">
        <v>4356</v>
      </c>
      <c r="D4338" s="1" t="s">
        <v>2901</v>
      </c>
      <c r="E4338" s="1" t="s">
        <v>18</v>
      </c>
      <c r="F4338" s="1" t="str">
        <f aca="false">TEXT(B4338,"mmm-yyyy")</f>
        <v>Dec-2024</v>
      </c>
    </row>
    <row r="4339" customFormat="false" ht="43.5" hidden="false" customHeight="true" outlineLevel="0" collapsed="false">
      <c r="A4339" s="1" t="n">
        <v>1</v>
      </c>
      <c r="B4339" s="10" t="n">
        <v>45656</v>
      </c>
      <c r="C4339" s="11" t="s">
        <v>4357</v>
      </c>
      <c r="D4339" s="1" t="s">
        <v>2901</v>
      </c>
      <c r="E4339" s="1" t="s">
        <v>20</v>
      </c>
      <c r="F4339" s="1" t="str">
        <f aca="false">TEXT(B4339,"mmm-yyyy")</f>
        <v>Dec-2024</v>
      </c>
    </row>
    <row r="4340" customFormat="false" ht="28.5" hidden="false" customHeight="true" outlineLevel="0" collapsed="false">
      <c r="A4340" s="1" t="n">
        <v>5</v>
      </c>
      <c r="B4340" s="10" t="n">
        <v>45640</v>
      </c>
      <c r="C4340" s="11" t="s">
        <v>4358</v>
      </c>
      <c r="D4340" s="1" t="s">
        <v>2901</v>
      </c>
      <c r="E4340" s="1" t="s">
        <v>18</v>
      </c>
      <c r="F4340" s="1" t="str">
        <f aca="false">TEXT(B4340,"mmm-yyyy")</f>
        <v>Dec-2024</v>
      </c>
    </row>
    <row r="4341" customFormat="false" ht="57.75" hidden="false" customHeight="true" outlineLevel="0" collapsed="false">
      <c r="A4341" s="1" t="n">
        <v>1</v>
      </c>
      <c r="B4341" s="10" t="n">
        <v>45639</v>
      </c>
      <c r="C4341" s="11" t="s">
        <v>4359</v>
      </c>
      <c r="D4341" s="1" t="s">
        <v>2901</v>
      </c>
      <c r="E4341" s="1" t="s">
        <v>18</v>
      </c>
      <c r="F4341" s="1" t="str">
        <f aca="false">TEXT(B4341,"mmm-yyyy")</f>
        <v>Dec-2024</v>
      </c>
    </row>
    <row r="4342" customFormat="false" ht="57.75" hidden="false" customHeight="true" outlineLevel="0" collapsed="false">
      <c r="A4342" s="1" t="n">
        <v>1</v>
      </c>
      <c r="B4342" s="10" t="n">
        <v>45643</v>
      </c>
      <c r="C4342" s="11" t="s">
        <v>4360</v>
      </c>
      <c r="D4342" s="1" t="s">
        <v>2901</v>
      </c>
      <c r="E4342" s="1" t="s">
        <v>20</v>
      </c>
      <c r="F4342" s="1" t="str">
        <f aca="false">TEXT(B4342,"mmm-yyyy")</f>
        <v>Dec-2024</v>
      </c>
    </row>
    <row r="4343" customFormat="false" ht="57.75" hidden="false" customHeight="true" outlineLevel="0" collapsed="false">
      <c r="A4343" s="1" t="n">
        <v>3</v>
      </c>
      <c r="B4343" s="10" t="n">
        <v>45645</v>
      </c>
      <c r="C4343" s="11" t="s">
        <v>4361</v>
      </c>
      <c r="D4343" s="1" t="s">
        <v>2901</v>
      </c>
      <c r="E4343" s="1" t="s">
        <v>18</v>
      </c>
      <c r="F4343" s="1" t="str">
        <f aca="false">TEXT(B4343,"mmm-yyyy")</f>
        <v>Dec-2024</v>
      </c>
    </row>
    <row r="4344" customFormat="false" ht="28.5" hidden="false" customHeight="true" outlineLevel="0" collapsed="false">
      <c r="A4344" s="1" t="n">
        <v>1</v>
      </c>
      <c r="B4344" s="10" t="n">
        <v>45649</v>
      </c>
      <c r="C4344" s="11" t="s">
        <v>4362</v>
      </c>
      <c r="D4344" s="1" t="s">
        <v>2901</v>
      </c>
      <c r="E4344" s="1" t="s">
        <v>18</v>
      </c>
      <c r="F4344" s="1" t="str">
        <f aca="false">TEXT(B4344,"mmm-yyyy")</f>
        <v>Dec-2024</v>
      </c>
    </row>
    <row r="4345" customFormat="false" ht="72" hidden="false" customHeight="true" outlineLevel="0" collapsed="false">
      <c r="A4345" s="1" t="n">
        <v>2</v>
      </c>
      <c r="B4345" s="10" t="n">
        <v>45641</v>
      </c>
      <c r="C4345" s="11" t="s">
        <v>4363</v>
      </c>
      <c r="D4345" s="1" t="s">
        <v>2901</v>
      </c>
      <c r="E4345" s="1" t="s">
        <v>18</v>
      </c>
      <c r="F4345" s="1" t="str">
        <f aca="false">TEXT(B4345,"mmm-yyyy")</f>
        <v>Dec-2024</v>
      </c>
    </row>
    <row r="4346" customFormat="false" ht="57.75" hidden="false" customHeight="true" outlineLevel="0" collapsed="false">
      <c r="A4346" s="1" t="n">
        <v>3</v>
      </c>
      <c r="B4346" s="10" t="n">
        <v>45642</v>
      </c>
      <c r="C4346" s="11" t="s">
        <v>4364</v>
      </c>
      <c r="D4346" s="1" t="s">
        <v>2901</v>
      </c>
      <c r="E4346" s="1" t="s">
        <v>18</v>
      </c>
      <c r="F4346" s="1" t="str">
        <f aca="false">TEXT(B4346,"mmm-yyyy")</f>
        <v>Dec-2024</v>
      </c>
    </row>
    <row r="4347" customFormat="false" ht="57.75" hidden="false" customHeight="true" outlineLevel="0" collapsed="false">
      <c r="A4347" s="1" t="n">
        <v>1</v>
      </c>
      <c r="B4347" s="10" t="n">
        <v>45649</v>
      </c>
      <c r="C4347" s="11" t="s">
        <v>4365</v>
      </c>
      <c r="D4347" s="1" t="s">
        <v>2901</v>
      </c>
      <c r="E4347" s="1" t="s">
        <v>20</v>
      </c>
      <c r="F4347" s="1" t="str">
        <f aca="false">TEXT(B4347,"mmm-yyyy")</f>
        <v>Dec-2024</v>
      </c>
    </row>
    <row r="4348" customFormat="false" ht="57.75" hidden="false" customHeight="true" outlineLevel="0" collapsed="false">
      <c r="A4348" s="1" t="n">
        <v>1</v>
      </c>
      <c r="B4348" s="10" t="n">
        <v>45642</v>
      </c>
      <c r="C4348" s="11" t="s">
        <v>4366</v>
      </c>
      <c r="D4348" s="1" t="s">
        <v>2901</v>
      </c>
      <c r="E4348" s="1" t="s">
        <v>20</v>
      </c>
      <c r="F4348" s="1" t="str">
        <f aca="false">TEXT(B4348,"mmm-yyyy")</f>
        <v>Dec-2024</v>
      </c>
    </row>
    <row r="4349" customFormat="false" ht="43.5" hidden="false" customHeight="true" outlineLevel="0" collapsed="false">
      <c r="A4349" s="1" t="n">
        <v>4</v>
      </c>
      <c r="B4349" s="10" t="n">
        <v>45657</v>
      </c>
      <c r="C4349" s="11" t="s">
        <v>4367</v>
      </c>
      <c r="D4349" s="1" t="s">
        <v>2901</v>
      </c>
      <c r="E4349" s="1" t="s">
        <v>20</v>
      </c>
      <c r="F4349" s="1" t="str">
        <f aca="false">TEXT(B4349,"mmm-yyyy")</f>
        <v>Dec-2024</v>
      </c>
    </row>
    <row r="4350" customFormat="false" ht="43.5" hidden="false" customHeight="true" outlineLevel="0" collapsed="false">
      <c r="A4350" s="1" t="n">
        <v>1</v>
      </c>
      <c r="B4350" s="10" t="n">
        <v>45650</v>
      </c>
      <c r="C4350" s="11" t="s">
        <v>4368</v>
      </c>
      <c r="D4350" s="1" t="s">
        <v>2901</v>
      </c>
      <c r="E4350" s="1" t="s">
        <v>20</v>
      </c>
      <c r="F4350" s="1" t="str">
        <f aca="false">TEXT(B4350,"mmm-yyyy")</f>
        <v>Dec-2024</v>
      </c>
    </row>
    <row r="4351" customFormat="false" ht="87" hidden="false" customHeight="true" outlineLevel="0" collapsed="false">
      <c r="A4351" s="1" t="n">
        <v>1</v>
      </c>
      <c r="B4351" s="10" t="n">
        <v>45642</v>
      </c>
      <c r="C4351" s="11" t="s">
        <v>4369</v>
      </c>
      <c r="D4351" s="1" t="s">
        <v>2901</v>
      </c>
      <c r="E4351" s="1" t="s">
        <v>20</v>
      </c>
      <c r="F4351" s="1" t="str">
        <f aca="false">TEXT(B4351,"mmm-yyyy")</f>
        <v>Dec-2024</v>
      </c>
    </row>
    <row r="4352" customFormat="false" ht="43.5" hidden="false" customHeight="true" outlineLevel="0" collapsed="false">
      <c r="A4352" s="1" t="n">
        <v>3</v>
      </c>
      <c r="B4352" s="10" t="n">
        <v>45644</v>
      </c>
      <c r="C4352" s="11" t="s">
        <v>4370</v>
      </c>
      <c r="D4352" s="1" t="s">
        <v>2901</v>
      </c>
      <c r="E4352" s="1" t="s">
        <v>18</v>
      </c>
      <c r="F4352" s="1" t="str">
        <f aca="false">TEXT(B4352,"mmm-yyyy")</f>
        <v>Dec-2024</v>
      </c>
    </row>
    <row r="4353" customFormat="false" ht="43.5" hidden="false" customHeight="true" outlineLevel="0" collapsed="false">
      <c r="A4353" s="1" t="n">
        <v>1</v>
      </c>
      <c r="B4353" s="10" t="n">
        <v>45654</v>
      </c>
      <c r="C4353" s="11" t="s">
        <v>4371</v>
      </c>
      <c r="D4353" s="1" t="s">
        <v>2901</v>
      </c>
      <c r="E4353" s="1" t="s">
        <v>20</v>
      </c>
      <c r="F4353" s="1" t="str">
        <f aca="false">TEXT(B4353,"mmm-yyyy")</f>
        <v>Dec-2024</v>
      </c>
    </row>
    <row r="4354" customFormat="false" ht="43.5" hidden="false" customHeight="true" outlineLevel="0" collapsed="false">
      <c r="A4354" s="1" t="n">
        <v>1</v>
      </c>
      <c r="B4354" s="10" t="n">
        <v>45655</v>
      </c>
      <c r="C4354" s="11" t="s">
        <v>4372</v>
      </c>
      <c r="D4354" s="1" t="s">
        <v>2901</v>
      </c>
      <c r="E4354" s="1" t="s">
        <v>20</v>
      </c>
      <c r="F4354" s="1" t="str">
        <f aca="false">TEXT(B4354,"mmm-yyyy")</f>
        <v>Dec-2024</v>
      </c>
    </row>
    <row r="4355" customFormat="false" ht="57.75" hidden="false" customHeight="true" outlineLevel="0" collapsed="false">
      <c r="A4355" s="1" t="n">
        <v>1</v>
      </c>
      <c r="B4355" s="10" t="n">
        <v>45648</v>
      </c>
      <c r="C4355" s="11" t="s">
        <v>4373</v>
      </c>
      <c r="D4355" s="1" t="s">
        <v>2901</v>
      </c>
      <c r="E4355" s="1" t="s">
        <v>18</v>
      </c>
      <c r="F4355" s="1" t="str">
        <f aca="false">TEXT(B4355,"mmm-yyyy")</f>
        <v>Dec-2024</v>
      </c>
    </row>
    <row r="4356" customFormat="false" ht="57.75" hidden="false" customHeight="true" outlineLevel="0" collapsed="false">
      <c r="A4356" s="1" t="n">
        <v>1</v>
      </c>
      <c r="B4356" s="10" t="n">
        <v>45640</v>
      </c>
      <c r="C4356" s="11" t="s">
        <v>4374</v>
      </c>
      <c r="D4356" s="1" t="s">
        <v>2901</v>
      </c>
      <c r="E4356" s="1" t="s">
        <v>32</v>
      </c>
      <c r="F4356" s="1" t="str">
        <f aca="false">TEXT(B4356,"mmm-yyyy")</f>
        <v>Dec-2024</v>
      </c>
    </row>
    <row r="4357" customFormat="false" ht="72" hidden="false" customHeight="true" outlineLevel="0" collapsed="false">
      <c r="A4357" s="1" t="n">
        <v>1</v>
      </c>
      <c r="B4357" s="10" t="n">
        <v>45650</v>
      </c>
      <c r="C4357" s="11" t="s">
        <v>4375</v>
      </c>
      <c r="D4357" s="1" t="s">
        <v>2901</v>
      </c>
      <c r="E4357" s="1" t="s">
        <v>18</v>
      </c>
      <c r="F4357" s="1" t="str">
        <f aca="false">TEXT(B4357,"mmm-yyyy")</f>
        <v>Dec-2024</v>
      </c>
    </row>
    <row r="4358" customFormat="false" ht="57.75" hidden="false" customHeight="true" outlineLevel="0" collapsed="false">
      <c r="A4358" s="1" t="n">
        <v>1</v>
      </c>
      <c r="B4358" s="10" t="n">
        <v>45646</v>
      </c>
      <c r="C4358" s="11" t="s">
        <v>4376</v>
      </c>
      <c r="D4358" s="1" t="s">
        <v>2901</v>
      </c>
      <c r="E4358" s="1" t="s">
        <v>18</v>
      </c>
      <c r="F4358" s="1" t="str">
        <f aca="false">TEXT(B4358,"mmm-yyyy")</f>
        <v>Dec-2024</v>
      </c>
    </row>
    <row r="4359" customFormat="false" ht="72" hidden="false" customHeight="true" outlineLevel="0" collapsed="false">
      <c r="A4359" s="1" t="n">
        <v>2</v>
      </c>
      <c r="B4359" s="10" t="n">
        <v>45650</v>
      </c>
      <c r="C4359" s="11" t="s">
        <v>4377</v>
      </c>
      <c r="D4359" s="1" t="s">
        <v>2901</v>
      </c>
      <c r="E4359" s="1" t="s">
        <v>18</v>
      </c>
      <c r="F4359" s="1" t="str">
        <f aca="false">TEXT(B4359,"mmm-yyyy")</f>
        <v>Dec-2024</v>
      </c>
    </row>
    <row r="4360" customFormat="false" ht="57.75" hidden="false" customHeight="true" outlineLevel="0" collapsed="false">
      <c r="A4360" s="1" t="n">
        <v>1</v>
      </c>
      <c r="B4360" s="10" t="n">
        <v>45654</v>
      </c>
      <c r="C4360" s="11" t="s">
        <v>4378</v>
      </c>
      <c r="D4360" s="1" t="s">
        <v>2901</v>
      </c>
      <c r="E4360" s="1" t="s">
        <v>20</v>
      </c>
      <c r="F4360" s="1" t="str">
        <f aca="false">TEXT(B4360,"mmm-yyyy")</f>
        <v>Dec-2024</v>
      </c>
    </row>
    <row r="4361" customFormat="false" ht="57.75" hidden="false" customHeight="true" outlineLevel="0" collapsed="false">
      <c r="A4361" s="1" t="n">
        <v>1</v>
      </c>
      <c r="B4361" s="10" t="n">
        <v>45641</v>
      </c>
      <c r="C4361" s="11" t="s">
        <v>4379</v>
      </c>
      <c r="D4361" s="1" t="s">
        <v>2901</v>
      </c>
      <c r="E4361" s="1" t="s">
        <v>20</v>
      </c>
      <c r="F4361" s="1" t="str">
        <f aca="false">TEXT(B4361,"mmm-yyyy")</f>
        <v>Dec-2024</v>
      </c>
    </row>
    <row r="4362" customFormat="false" ht="43.5" hidden="false" customHeight="true" outlineLevel="0" collapsed="false">
      <c r="A4362" s="1" t="n">
        <v>5</v>
      </c>
      <c r="B4362" s="10" t="n">
        <v>45643</v>
      </c>
      <c r="C4362" s="11" t="s">
        <v>4380</v>
      </c>
      <c r="D4362" s="1" t="s">
        <v>2901</v>
      </c>
      <c r="E4362" s="1" t="s">
        <v>18</v>
      </c>
      <c r="F4362" s="1" t="str">
        <f aca="false">TEXT(B4362,"mmm-yyyy")</f>
        <v>Dec-2024</v>
      </c>
    </row>
    <row r="4363" customFormat="false" ht="43.5" hidden="false" customHeight="true" outlineLevel="0" collapsed="false">
      <c r="A4363" s="1" t="n">
        <v>3</v>
      </c>
      <c r="B4363" s="10" t="n">
        <v>45655</v>
      </c>
      <c r="C4363" s="11" t="s">
        <v>4381</v>
      </c>
      <c r="D4363" s="1" t="s">
        <v>2901</v>
      </c>
      <c r="E4363" s="1" t="s">
        <v>18</v>
      </c>
      <c r="F4363" s="1" t="str">
        <f aca="false">TEXT(B4363,"mmm-yyyy")</f>
        <v>Dec-2024</v>
      </c>
    </row>
    <row r="4364" customFormat="false" ht="87" hidden="false" customHeight="true" outlineLevel="0" collapsed="false">
      <c r="A4364" s="1" t="n">
        <v>5</v>
      </c>
      <c r="B4364" s="10" t="n">
        <v>45655</v>
      </c>
      <c r="C4364" s="11" t="s">
        <v>4382</v>
      </c>
      <c r="D4364" s="1" t="s">
        <v>2901</v>
      </c>
      <c r="E4364" s="1" t="s">
        <v>20</v>
      </c>
      <c r="F4364" s="1" t="str">
        <f aca="false">TEXT(B4364,"mmm-yyyy")</f>
        <v>Dec-2024</v>
      </c>
    </row>
    <row r="4365" customFormat="false" ht="72" hidden="false" customHeight="true" outlineLevel="0" collapsed="false">
      <c r="A4365" s="1" t="n">
        <v>1</v>
      </c>
      <c r="B4365" s="10" t="n">
        <v>45641</v>
      </c>
      <c r="C4365" s="11" t="s">
        <v>4383</v>
      </c>
      <c r="D4365" s="1" t="s">
        <v>2901</v>
      </c>
      <c r="E4365" s="1" t="s">
        <v>20</v>
      </c>
      <c r="F4365" s="1" t="str">
        <f aca="false">TEXT(B4365,"mmm-yyyy")</f>
        <v>Dec-2024</v>
      </c>
    </row>
    <row r="4366" customFormat="false" ht="43.5" hidden="false" customHeight="true" outlineLevel="0" collapsed="false">
      <c r="A4366" s="1" t="n">
        <v>1</v>
      </c>
      <c r="B4366" s="10" t="n">
        <v>45650</v>
      </c>
      <c r="C4366" s="11" t="s">
        <v>4384</v>
      </c>
      <c r="D4366" s="1" t="s">
        <v>2901</v>
      </c>
      <c r="E4366" s="1" t="s">
        <v>18</v>
      </c>
      <c r="F4366" s="1" t="str">
        <f aca="false">TEXT(B4366,"mmm-yyyy")</f>
        <v>Dec-2024</v>
      </c>
    </row>
    <row r="4367" customFormat="false" ht="57.75" hidden="false" customHeight="true" outlineLevel="0" collapsed="false">
      <c r="A4367" s="1" t="n">
        <v>1</v>
      </c>
      <c r="B4367" s="10" t="n">
        <v>45651</v>
      </c>
      <c r="C4367" s="11" t="s">
        <v>4385</v>
      </c>
      <c r="D4367" s="1" t="s">
        <v>2901</v>
      </c>
      <c r="E4367" s="1" t="s">
        <v>20</v>
      </c>
      <c r="F4367" s="1" t="str">
        <f aca="false">TEXT(B4367,"mmm-yyyy")</f>
        <v>Dec-2024</v>
      </c>
    </row>
    <row r="4368" customFormat="false" ht="87" hidden="false" customHeight="true" outlineLevel="0" collapsed="false">
      <c r="A4368" s="1" t="n">
        <v>1</v>
      </c>
      <c r="B4368" s="10" t="n">
        <v>45656</v>
      </c>
      <c r="C4368" s="11" t="s">
        <v>4386</v>
      </c>
      <c r="D4368" s="1" t="s">
        <v>2901</v>
      </c>
      <c r="E4368" s="1" t="s">
        <v>20</v>
      </c>
      <c r="F4368" s="1" t="str">
        <f aca="false">TEXT(B4368,"mmm-yyyy")</f>
        <v>Dec-2024</v>
      </c>
    </row>
    <row r="4369" customFormat="false" ht="43.5" hidden="false" customHeight="true" outlineLevel="0" collapsed="false">
      <c r="A4369" s="1" t="n">
        <v>1</v>
      </c>
      <c r="B4369" s="10" t="n">
        <v>45643</v>
      </c>
      <c r="C4369" s="11" t="s">
        <v>4387</v>
      </c>
      <c r="D4369" s="1" t="s">
        <v>2901</v>
      </c>
      <c r="E4369" s="1" t="s">
        <v>20</v>
      </c>
      <c r="F4369" s="1" t="str">
        <f aca="false">TEXT(B4369,"mmm-yyyy")</f>
        <v>Dec-2024</v>
      </c>
    </row>
    <row r="4370" customFormat="false" ht="57.75" hidden="false" customHeight="true" outlineLevel="0" collapsed="false">
      <c r="A4370" s="1" t="n">
        <v>1</v>
      </c>
      <c r="B4370" s="10" t="n">
        <v>45647</v>
      </c>
      <c r="C4370" s="11" t="s">
        <v>4388</v>
      </c>
      <c r="D4370" s="1" t="s">
        <v>2901</v>
      </c>
      <c r="E4370" s="1" t="s">
        <v>20</v>
      </c>
      <c r="F4370" s="1" t="str">
        <f aca="false">TEXT(B4370,"mmm-yyyy")</f>
        <v>Dec-2024</v>
      </c>
    </row>
    <row r="4371" customFormat="false" ht="57.75" hidden="false" customHeight="true" outlineLevel="0" collapsed="false">
      <c r="A4371" s="1" t="n">
        <v>1</v>
      </c>
      <c r="B4371" s="10" t="n">
        <v>45652</v>
      </c>
      <c r="C4371" s="11" t="s">
        <v>4389</v>
      </c>
      <c r="D4371" s="1" t="s">
        <v>2901</v>
      </c>
      <c r="E4371" s="1" t="s">
        <v>18</v>
      </c>
      <c r="F4371" s="1" t="str">
        <f aca="false">TEXT(B4371,"mmm-yyyy")</f>
        <v>Dec-2024</v>
      </c>
    </row>
    <row r="4372" customFormat="false" ht="43.5" hidden="false" customHeight="true" outlineLevel="0" collapsed="false">
      <c r="A4372" s="1" t="n">
        <v>1</v>
      </c>
      <c r="B4372" s="10" t="n">
        <v>45651</v>
      </c>
      <c r="C4372" s="11" t="s">
        <v>4390</v>
      </c>
      <c r="D4372" s="1" t="s">
        <v>2901</v>
      </c>
      <c r="E4372" s="1" t="s">
        <v>18</v>
      </c>
      <c r="F4372" s="1" t="str">
        <f aca="false">TEXT(B4372,"mmm-yyyy")</f>
        <v>Dec-2024</v>
      </c>
    </row>
    <row r="4373" customFormat="false" ht="115.5" hidden="false" customHeight="true" outlineLevel="0" collapsed="false">
      <c r="A4373" s="1" t="n">
        <v>1</v>
      </c>
      <c r="B4373" s="10" t="n">
        <v>45650</v>
      </c>
      <c r="C4373" s="11" t="s">
        <v>4391</v>
      </c>
      <c r="D4373" s="1" t="s">
        <v>2901</v>
      </c>
      <c r="E4373" s="1" t="s">
        <v>18</v>
      </c>
      <c r="F4373" s="1" t="str">
        <f aca="false">TEXT(B4373,"mmm-yyyy")</f>
        <v>Dec-2024</v>
      </c>
    </row>
    <row r="4374" customFormat="false" ht="57.75" hidden="false" customHeight="true" outlineLevel="0" collapsed="false">
      <c r="A4374" s="1" t="n">
        <v>1</v>
      </c>
      <c r="B4374" s="10" t="n">
        <v>45636</v>
      </c>
      <c r="C4374" s="11" t="s">
        <v>4392</v>
      </c>
      <c r="D4374" s="1" t="s">
        <v>2901</v>
      </c>
      <c r="E4374" s="1" t="s">
        <v>20</v>
      </c>
      <c r="F4374" s="1" t="str">
        <f aca="false">TEXT(B4374,"mmm-yyyy")</f>
        <v>Dec-2024</v>
      </c>
    </row>
    <row r="4375" customFormat="false" ht="130.5" hidden="false" customHeight="true" outlineLevel="0" collapsed="false">
      <c r="A4375" s="1" t="n">
        <v>1</v>
      </c>
      <c r="B4375" s="10" t="n">
        <v>45638</v>
      </c>
      <c r="C4375" s="11" t="s">
        <v>4393</v>
      </c>
      <c r="D4375" s="1" t="s">
        <v>2901</v>
      </c>
      <c r="E4375" s="1" t="s">
        <v>20</v>
      </c>
      <c r="F4375" s="1" t="str">
        <f aca="false">TEXT(B4375,"mmm-yyyy")</f>
        <v>Dec-2024</v>
      </c>
    </row>
    <row r="4376" customFormat="false" ht="57.75" hidden="false" customHeight="true" outlineLevel="0" collapsed="false">
      <c r="A4376" s="1" t="n">
        <v>1</v>
      </c>
      <c r="B4376" s="10" t="n">
        <v>45648</v>
      </c>
      <c r="C4376" s="11" t="s">
        <v>4394</v>
      </c>
      <c r="D4376" s="1" t="s">
        <v>2901</v>
      </c>
      <c r="E4376" s="1" t="s">
        <v>20</v>
      </c>
      <c r="F4376" s="1" t="str">
        <f aca="false">TEXT(B4376,"mmm-yyyy")</f>
        <v>Dec-2024</v>
      </c>
    </row>
    <row r="4377" customFormat="false" ht="57.75" hidden="false" customHeight="true" outlineLevel="0" collapsed="false">
      <c r="A4377" s="1" t="n">
        <v>1</v>
      </c>
      <c r="B4377" s="10" t="n">
        <v>45640</v>
      </c>
      <c r="C4377" s="11" t="s">
        <v>4395</v>
      </c>
      <c r="D4377" s="1" t="s">
        <v>2901</v>
      </c>
      <c r="E4377" s="1" t="s">
        <v>20</v>
      </c>
      <c r="F4377" s="1" t="str">
        <f aca="false">TEXT(B4377,"mmm-yyyy")</f>
        <v>Dec-2024</v>
      </c>
    </row>
    <row r="4378" customFormat="false" ht="57.75" hidden="false" customHeight="true" outlineLevel="0" collapsed="false">
      <c r="A4378" s="1" t="n">
        <v>1</v>
      </c>
      <c r="B4378" s="10" t="n">
        <v>45655</v>
      </c>
      <c r="C4378" s="11" t="s">
        <v>4396</v>
      </c>
      <c r="D4378" s="1" t="s">
        <v>2901</v>
      </c>
      <c r="E4378" s="1" t="s">
        <v>20</v>
      </c>
      <c r="F4378" s="1" t="str">
        <f aca="false">TEXT(B4378,"mmm-yyyy")</f>
        <v>Dec-2024</v>
      </c>
    </row>
    <row r="4379" customFormat="false" ht="87" hidden="false" customHeight="true" outlineLevel="0" collapsed="false">
      <c r="A4379" s="1" t="n">
        <v>1</v>
      </c>
      <c r="B4379" s="10" t="n">
        <v>45645</v>
      </c>
      <c r="C4379" s="11" t="s">
        <v>4397</v>
      </c>
      <c r="D4379" s="1" t="s">
        <v>2901</v>
      </c>
      <c r="E4379" s="1" t="s">
        <v>20</v>
      </c>
      <c r="F4379" s="1" t="str">
        <f aca="false">TEXT(B4379,"mmm-yyyy")</f>
        <v>Dec-2024</v>
      </c>
    </row>
    <row r="4380" customFormat="false" ht="72" hidden="false" customHeight="true" outlineLevel="0" collapsed="false">
      <c r="A4380" s="1" t="n">
        <v>1</v>
      </c>
      <c r="B4380" s="10" t="n">
        <v>45641</v>
      </c>
      <c r="C4380" s="11" t="s">
        <v>4398</v>
      </c>
      <c r="D4380" s="1" t="s">
        <v>2901</v>
      </c>
      <c r="E4380" s="1" t="s">
        <v>20</v>
      </c>
      <c r="F4380" s="1" t="str">
        <f aca="false">TEXT(B4380,"mmm-yyyy")</f>
        <v>Dec-2024</v>
      </c>
    </row>
    <row r="4381" customFormat="false" ht="43.5" hidden="false" customHeight="true" outlineLevel="0" collapsed="false">
      <c r="A4381" s="1" t="n">
        <v>1</v>
      </c>
      <c r="B4381" s="10" t="n">
        <v>45653</v>
      </c>
      <c r="C4381" s="11" t="s">
        <v>4399</v>
      </c>
      <c r="D4381" s="1" t="s">
        <v>2901</v>
      </c>
      <c r="E4381" s="1" t="s">
        <v>20</v>
      </c>
      <c r="F4381" s="1" t="str">
        <f aca="false">TEXT(B4381,"mmm-yyyy")</f>
        <v>Dec-2024</v>
      </c>
    </row>
    <row r="4382" customFormat="false" ht="57.75" hidden="false" customHeight="true" outlineLevel="0" collapsed="false">
      <c r="A4382" s="1" t="n">
        <v>1</v>
      </c>
      <c r="B4382" s="10" t="n">
        <v>45641</v>
      </c>
      <c r="C4382" s="11" t="s">
        <v>4400</v>
      </c>
      <c r="D4382" s="1" t="s">
        <v>2901</v>
      </c>
      <c r="E4382" s="1" t="s">
        <v>20</v>
      </c>
      <c r="F4382" s="1" t="str">
        <f aca="false">TEXT(B4382,"mmm-yyyy")</f>
        <v>Dec-2024</v>
      </c>
    </row>
    <row r="4383" customFormat="false" ht="43.5" hidden="false" customHeight="true" outlineLevel="0" collapsed="false">
      <c r="A4383" s="1" t="n">
        <v>1</v>
      </c>
      <c r="B4383" s="10" t="n">
        <v>45639</v>
      </c>
      <c r="C4383" s="11" t="s">
        <v>4401</v>
      </c>
      <c r="D4383" s="1" t="s">
        <v>2901</v>
      </c>
      <c r="E4383" s="1" t="s">
        <v>20</v>
      </c>
      <c r="F4383" s="1" t="str">
        <f aca="false">TEXT(B4383,"mmm-yyyy")</f>
        <v>Dec-2024</v>
      </c>
    </row>
    <row r="4384" customFormat="false" ht="43.5" hidden="false" customHeight="true" outlineLevel="0" collapsed="false">
      <c r="A4384" s="1" t="n">
        <v>1</v>
      </c>
      <c r="B4384" s="10" t="n">
        <v>45650</v>
      </c>
      <c r="C4384" s="11" t="s">
        <v>4402</v>
      </c>
      <c r="D4384" s="1" t="s">
        <v>2901</v>
      </c>
      <c r="E4384" s="1" t="s">
        <v>20</v>
      </c>
      <c r="F4384" s="1" t="str">
        <f aca="false">TEXT(B4384,"mmm-yyyy")</f>
        <v>Dec-2024</v>
      </c>
    </row>
    <row r="4385" customFormat="false" ht="72" hidden="false" customHeight="true" outlineLevel="0" collapsed="false">
      <c r="A4385" s="1" t="n">
        <v>1</v>
      </c>
      <c r="B4385" s="10" t="n">
        <v>45656</v>
      </c>
      <c r="C4385" s="11" t="s">
        <v>4403</v>
      </c>
      <c r="D4385" s="1" t="s">
        <v>2901</v>
      </c>
      <c r="E4385" s="1" t="s">
        <v>20</v>
      </c>
      <c r="F4385" s="1" t="str">
        <f aca="false">TEXT(B4385,"mmm-yyyy")</f>
        <v>Dec-2024</v>
      </c>
    </row>
    <row r="4386" customFormat="false" ht="43.5" hidden="false" customHeight="true" outlineLevel="0" collapsed="false">
      <c r="A4386" s="1" t="n">
        <v>1</v>
      </c>
      <c r="B4386" s="10" t="n">
        <v>45655</v>
      </c>
      <c r="C4386" s="11" t="s">
        <v>4404</v>
      </c>
      <c r="D4386" s="1" t="s">
        <v>2901</v>
      </c>
      <c r="E4386" s="1" t="s">
        <v>20</v>
      </c>
      <c r="F4386" s="1" t="str">
        <f aca="false">TEXT(B4386,"mmm-yyyy")</f>
        <v>Dec-2024</v>
      </c>
    </row>
    <row r="4387" customFormat="false" ht="87" hidden="false" customHeight="true" outlineLevel="0" collapsed="false">
      <c r="A4387" s="1" t="n">
        <v>1</v>
      </c>
      <c r="B4387" s="10" t="n">
        <v>45649</v>
      </c>
      <c r="C4387" s="11" t="s">
        <v>4405</v>
      </c>
      <c r="D4387" s="1" t="s">
        <v>2901</v>
      </c>
      <c r="E4387" s="1" t="s">
        <v>20</v>
      </c>
      <c r="F4387" s="1" t="str">
        <f aca="false">TEXT(B4387,"mmm-yyyy")</f>
        <v>Dec-2024</v>
      </c>
    </row>
    <row r="4388" customFormat="false" ht="87" hidden="false" customHeight="true" outlineLevel="0" collapsed="false">
      <c r="A4388" s="1" t="n">
        <v>1</v>
      </c>
      <c r="B4388" s="10" t="n">
        <v>45657</v>
      </c>
      <c r="C4388" s="11" t="s">
        <v>4406</v>
      </c>
      <c r="D4388" s="1" t="s">
        <v>2901</v>
      </c>
      <c r="E4388" s="1" t="s">
        <v>20</v>
      </c>
      <c r="F4388" s="1" t="str">
        <f aca="false">TEXT(B4388,"mmm-yyyy")</f>
        <v>Dec-2024</v>
      </c>
    </row>
    <row r="4389" customFormat="false" ht="87" hidden="false" customHeight="true" outlineLevel="0" collapsed="false">
      <c r="A4389" s="1" t="n">
        <v>1</v>
      </c>
      <c r="B4389" s="10" t="n">
        <v>45644</v>
      </c>
      <c r="C4389" s="11" t="s">
        <v>4407</v>
      </c>
      <c r="D4389" s="1" t="s">
        <v>2901</v>
      </c>
      <c r="E4389" s="1" t="s">
        <v>20</v>
      </c>
      <c r="F4389" s="1" t="str">
        <f aca="false">TEXT(B4389,"mmm-yyyy")</f>
        <v>Dec-2024</v>
      </c>
    </row>
    <row r="4390" customFormat="false" ht="72" hidden="false" customHeight="true" outlineLevel="0" collapsed="false">
      <c r="A4390" s="1" t="n">
        <v>2</v>
      </c>
      <c r="B4390" s="10" t="n">
        <v>45654</v>
      </c>
      <c r="C4390" s="11" t="s">
        <v>4408</v>
      </c>
      <c r="D4390" s="1" t="s">
        <v>2901</v>
      </c>
      <c r="E4390" s="1" t="s">
        <v>18</v>
      </c>
      <c r="F4390" s="1" t="str">
        <f aca="false">TEXT(B4390,"mmm-yyyy")</f>
        <v>Dec-2024</v>
      </c>
    </row>
    <row r="4391" customFormat="false" ht="57.75" hidden="false" customHeight="true" outlineLevel="0" collapsed="false">
      <c r="A4391" s="1" t="n">
        <v>1</v>
      </c>
      <c r="B4391" s="10" t="n">
        <v>45643</v>
      </c>
      <c r="C4391" s="11" t="s">
        <v>4409</v>
      </c>
      <c r="D4391" s="1" t="s">
        <v>2901</v>
      </c>
      <c r="E4391" s="1" t="s">
        <v>20</v>
      </c>
      <c r="F4391" s="1" t="str">
        <f aca="false">TEXT(B4391,"mmm-yyyy")</f>
        <v>Dec-2024</v>
      </c>
    </row>
    <row r="4392" customFormat="false" ht="43.5" hidden="false" customHeight="true" outlineLevel="0" collapsed="false">
      <c r="A4392" s="1" t="n">
        <v>1</v>
      </c>
      <c r="B4392" s="10" t="n">
        <v>45651</v>
      </c>
      <c r="C4392" s="11" t="s">
        <v>4410</v>
      </c>
      <c r="D4392" s="1" t="s">
        <v>2901</v>
      </c>
      <c r="E4392" s="1" t="s">
        <v>20</v>
      </c>
      <c r="F4392" s="1" t="str">
        <f aca="false">TEXT(B4392,"mmm-yyyy")</f>
        <v>Dec-2024</v>
      </c>
    </row>
    <row r="4393" customFormat="false" ht="43.5" hidden="false" customHeight="true" outlineLevel="0" collapsed="false">
      <c r="A4393" s="1" t="n">
        <v>2</v>
      </c>
      <c r="B4393" s="10" t="n">
        <v>45653</v>
      </c>
      <c r="C4393" s="11" t="s">
        <v>4411</v>
      </c>
      <c r="D4393" s="1" t="s">
        <v>2901</v>
      </c>
      <c r="E4393" s="1" t="s">
        <v>20</v>
      </c>
      <c r="F4393" s="1" t="str">
        <f aca="false">TEXT(B4393,"mmm-yyyy")</f>
        <v>Dec-2024</v>
      </c>
    </row>
    <row r="4394" customFormat="false" ht="43.5" hidden="false" customHeight="true" outlineLevel="0" collapsed="false">
      <c r="A4394" s="1" t="n">
        <v>1</v>
      </c>
      <c r="B4394" s="10" t="n">
        <v>45653</v>
      </c>
      <c r="C4394" s="11" t="s">
        <v>4412</v>
      </c>
      <c r="D4394" s="1" t="s">
        <v>2901</v>
      </c>
      <c r="E4394" s="1" t="s">
        <v>20</v>
      </c>
      <c r="F4394" s="1" t="str">
        <f aca="false">TEXT(B4394,"mmm-yyyy")</f>
        <v>Dec-2024</v>
      </c>
    </row>
    <row r="4395" customFormat="false" ht="72" hidden="false" customHeight="true" outlineLevel="0" collapsed="false">
      <c r="A4395" s="1" t="n">
        <v>1</v>
      </c>
      <c r="B4395" s="10" t="n">
        <v>45651</v>
      </c>
      <c r="C4395" s="11" t="s">
        <v>4413</v>
      </c>
      <c r="D4395" s="1" t="s">
        <v>2901</v>
      </c>
      <c r="E4395" s="1" t="s">
        <v>18</v>
      </c>
      <c r="F4395" s="1" t="str">
        <f aca="false">TEXT(B4395,"mmm-yyyy")</f>
        <v>Dec-2024</v>
      </c>
    </row>
    <row r="4396" customFormat="false" ht="57.75" hidden="false" customHeight="true" outlineLevel="0" collapsed="false">
      <c r="A4396" s="1" t="n">
        <v>1</v>
      </c>
      <c r="B4396" s="10" t="n">
        <v>45648</v>
      </c>
      <c r="C4396" s="11" t="s">
        <v>4414</v>
      </c>
      <c r="D4396" s="1" t="s">
        <v>2901</v>
      </c>
      <c r="E4396" s="1" t="s">
        <v>18</v>
      </c>
      <c r="F4396" s="1" t="str">
        <f aca="false">TEXT(B4396,"mmm-yyyy")</f>
        <v>Dec-2024</v>
      </c>
    </row>
    <row r="4397" customFormat="false" ht="43.5" hidden="false" customHeight="true" outlineLevel="0" collapsed="false">
      <c r="A4397" s="1" t="n">
        <v>1</v>
      </c>
      <c r="B4397" s="10" t="n">
        <v>45646</v>
      </c>
      <c r="C4397" s="11" t="s">
        <v>4415</v>
      </c>
      <c r="D4397" s="1" t="s">
        <v>2901</v>
      </c>
      <c r="E4397" s="1" t="s">
        <v>20</v>
      </c>
      <c r="F4397" s="1" t="str">
        <f aca="false">TEXT(B4397,"mmm-yyyy")</f>
        <v>Dec-2024</v>
      </c>
    </row>
    <row r="4398" customFormat="false" ht="57.75" hidden="false" customHeight="true" outlineLevel="0" collapsed="false">
      <c r="A4398" s="1" t="n">
        <v>2</v>
      </c>
      <c r="B4398" s="10" t="n">
        <v>45654</v>
      </c>
      <c r="C4398" s="11" t="s">
        <v>4416</v>
      </c>
      <c r="D4398" s="1" t="s">
        <v>2901</v>
      </c>
      <c r="E4398" s="1" t="s">
        <v>20</v>
      </c>
      <c r="F4398" s="1" t="str">
        <f aca="false">TEXT(B4398,"mmm-yyyy")</f>
        <v>Dec-2024</v>
      </c>
    </row>
    <row r="4399" customFormat="false" ht="57.75" hidden="false" customHeight="true" outlineLevel="0" collapsed="false">
      <c r="A4399" s="1" t="n">
        <v>2</v>
      </c>
      <c r="B4399" s="10" t="n">
        <v>45656</v>
      </c>
      <c r="C4399" s="11" t="s">
        <v>4417</v>
      </c>
      <c r="D4399" s="1" t="s">
        <v>2901</v>
      </c>
      <c r="E4399" s="1" t="s">
        <v>20</v>
      </c>
      <c r="F4399" s="1" t="str">
        <f aca="false">TEXT(B4399,"mmm-yyyy")</f>
        <v>Dec-2024</v>
      </c>
    </row>
    <row r="4400" customFormat="false" ht="57.75" hidden="false" customHeight="true" outlineLevel="0" collapsed="false">
      <c r="A4400" s="1" t="n">
        <v>1</v>
      </c>
      <c r="B4400" s="10" t="n">
        <v>45645</v>
      </c>
      <c r="C4400" s="11" t="s">
        <v>4418</v>
      </c>
      <c r="D4400" s="1" t="s">
        <v>2901</v>
      </c>
      <c r="E4400" s="1" t="s">
        <v>20</v>
      </c>
      <c r="F4400" s="1" t="str">
        <f aca="false">TEXT(B4400,"mmm-yyyy")</f>
        <v>Dec-2024</v>
      </c>
    </row>
    <row r="4401" customFormat="false" ht="43.5" hidden="false" customHeight="true" outlineLevel="0" collapsed="false">
      <c r="A4401" s="1" t="n">
        <v>1</v>
      </c>
      <c r="B4401" s="10" t="n">
        <v>45640</v>
      </c>
      <c r="C4401" s="11" t="s">
        <v>4419</v>
      </c>
      <c r="D4401" s="1" t="s">
        <v>2901</v>
      </c>
      <c r="E4401" s="1" t="s">
        <v>20</v>
      </c>
      <c r="F4401" s="1" t="str">
        <f aca="false">TEXT(B4401,"mmm-yyyy")</f>
        <v>Dec-2024</v>
      </c>
    </row>
    <row r="4402" customFormat="false" ht="57.75" hidden="false" customHeight="true" outlineLevel="0" collapsed="false">
      <c r="A4402" s="1" t="n">
        <v>5</v>
      </c>
      <c r="B4402" s="10" t="n">
        <v>45596</v>
      </c>
      <c r="C4402" s="11" t="s">
        <v>4420</v>
      </c>
      <c r="D4402" s="1" t="s">
        <v>2901</v>
      </c>
      <c r="E4402" s="1" t="s">
        <v>18</v>
      </c>
      <c r="F4402" s="1" t="str">
        <f aca="false">TEXT(B4402,"mmm-yyyy")</f>
        <v>Oct-2024</v>
      </c>
    </row>
    <row r="4403" customFormat="false" ht="57.75" hidden="false" customHeight="true" outlineLevel="0" collapsed="false">
      <c r="A4403" s="1" t="n">
        <v>1</v>
      </c>
      <c r="B4403" s="10" t="n">
        <v>45637</v>
      </c>
      <c r="C4403" s="11" t="s">
        <v>4421</v>
      </c>
      <c r="D4403" s="1" t="s">
        <v>2901</v>
      </c>
      <c r="E4403" s="1" t="s">
        <v>32</v>
      </c>
      <c r="F4403" s="1" t="str">
        <f aca="false">TEXT(B4403,"mmm-yyyy")</f>
        <v>Dec-2024</v>
      </c>
    </row>
    <row r="4404" customFormat="false" ht="43.5" hidden="false" customHeight="true" outlineLevel="0" collapsed="false">
      <c r="A4404" s="1" t="n">
        <v>1</v>
      </c>
      <c r="B4404" s="10" t="n">
        <v>45648</v>
      </c>
      <c r="C4404" s="11" t="s">
        <v>4422</v>
      </c>
      <c r="D4404" s="1" t="s">
        <v>2901</v>
      </c>
      <c r="E4404" s="1" t="s">
        <v>20</v>
      </c>
      <c r="F4404" s="1" t="str">
        <f aca="false">TEXT(B4404,"mmm-yyyy")</f>
        <v>Dec-2024</v>
      </c>
    </row>
    <row r="4405" customFormat="false" ht="57.75" hidden="false" customHeight="true" outlineLevel="0" collapsed="false">
      <c r="A4405" s="1" t="n">
        <v>5</v>
      </c>
      <c r="B4405" s="10" t="n">
        <v>45643</v>
      </c>
      <c r="C4405" s="11" t="s">
        <v>4423</v>
      </c>
      <c r="D4405" s="1" t="s">
        <v>2901</v>
      </c>
      <c r="E4405" s="1" t="s">
        <v>18</v>
      </c>
      <c r="F4405" s="1" t="str">
        <f aca="false">TEXT(B4405,"mmm-yyyy")</f>
        <v>Dec-2024</v>
      </c>
    </row>
    <row r="4406" customFormat="false" ht="57.75" hidden="false" customHeight="true" outlineLevel="0" collapsed="false">
      <c r="A4406" s="1" t="n">
        <v>1</v>
      </c>
      <c r="B4406" s="10" t="n">
        <v>45651</v>
      </c>
      <c r="C4406" s="11" t="s">
        <v>4424</v>
      </c>
      <c r="D4406" s="1" t="s">
        <v>2901</v>
      </c>
      <c r="E4406" s="1" t="s">
        <v>18</v>
      </c>
      <c r="F4406" s="1" t="str">
        <f aca="false">TEXT(B4406,"mmm-yyyy")</f>
        <v>Dec-2024</v>
      </c>
    </row>
    <row r="4407" customFormat="false" ht="28.5" hidden="false" customHeight="true" outlineLevel="0" collapsed="false">
      <c r="A4407" s="1" t="n">
        <v>1</v>
      </c>
      <c r="B4407" s="10" t="n">
        <v>45647</v>
      </c>
      <c r="C4407" s="11" t="s">
        <v>4425</v>
      </c>
      <c r="D4407" s="1" t="s">
        <v>2901</v>
      </c>
      <c r="E4407" s="1" t="s">
        <v>18</v>
      </c>
      <c r="F4407" s="1" t="str">
        <f aca="false">TEXT(B4407,"mmm-yyyy")</f>
        <v>Dec-2024</v>
      </c>
    </row>
    <row r="4408" customFormat="false" ht="43.5" hidden="false" customHeight="true" outlineLevel="0" collapsed="false">
      <c r="A4408" s="1" t="n">
        <v>1</v>
      </c>
      <c r="B4408" s="10" t="n">
        <v>45656</v>
      </c>
      <c r="C4408" s="11" t="s">
        <v>4426</v>
      </c>
      <c r="D4408" s="1" t="s">
        <v>2901</v>
      </c>
      <c r="E4408" s="1" t="s">
        <v>32</v>
      </c>
      <c r="F4408" s="1" t="str">
        <f aca="false">TEXT(B4408,"mmm-yyyy")</f>
        <v>Dec-2024</v>
      </c>
    </row>
    <row r="4409" customFormat="false" ht="130.5" hidden="false" customHeight="true" outlineLevel="0" collapsed="false">
      <c r="A4409" s="1" t="n">
        <v>1</v>
      </c>
      <c r="B4409" s="10" t="n">
        <v>45637</v>
      </c>
      <c r="C4409" s="11" t="s">
        <v>4427</v>
      </c>
      <c r="D4409" s="1" t="s">
        <v>2901</v>
      </c>
      <c r="E4409" s="1" t="s">
        <v>18</v>
      </c>
      <c r="F4409" s="1" t="str">
        <f aca="false">TEXT(B4409,"mmm-yyyy")</f>
        <v>Dec-2024</v>
      </c>
    </row>
    <row r="4410" customFormat="false" ht="72" hidden="false" customHeight="true" outlineLevel="0" collapsed="false">
      <c r="A4410" s="1" t="n">
        <v>5</v>
      </c>
      <c r="B4410" s="10" t="n">
        <v>45651</v>
      </c>
      <c r="C4410" s="11" t="s">
        <v>4428</v>
      </c>
      <c r="D4410" s="1" t="s">
        <v>2901</v>
      </c>
      <c r="E4410" s="1" t="s">
        <v>18</v>
      </c>
      <c r="F4410" s="1" t="str">
        <f aca="false">TEXT(B4410,"mmm-yyyy")</f>
        <v>Dec-2024</v>
      </c>
    </row>
    <row r="4411" customFormat="false" ht="43.5" hidden="false" customHeight="true" outlineLevel="0" collapsed="false">
      <c r="A4411" s="1" t="n">
        <v>1</v>
      </c>
      <c r="B4411" s="10" t="n">
        <v>45648</v>
      </c>
      <c r="C4411" s="11" t="s">
        <v>4429</v>
      </c>
      <c r="D4411" s="1" t="s">
        <v>2901</v>
      </c>
      <c r="E4411" s="1" t="s">
        <v>20</v>
      </c>
      <c r="F4411" s="1" t="str">
        <f aca="false">TEXT(B4411,"mmm-yyyy")</f>
        <v>Dec-2024</v>
      </c>
    </row>
    <row r="4412" customFormat="false" ht="43.5" hidden="false" customHeight="true" outlineLevel="0" collapsed="false">
      <c r="A4412" s="1" t="n">
        <v>1</v>
      </c>
      <c r="B4412" s="10" t="n">
        <v>45646</v>
      </c>
      <c r="C4412" s="11" t="s">
        <v>4430</v>
      </c>
      <c r="D4412" s="1" t="s">
        <v>2901</v>
      </c>
      <c r="E4412" s="1" t="s">
        <v>20</v>
      </c>
      <c r="F4412" s="1" t="str">
        <f aca="false">TEXT(B4412,"mmm-yyyy")</f>
        <v>Dec-2024</v>
      </c>
    </row>
    <row r="4413" customFormat="false" ht="101.25" hidden="false" customHeight="true" outlineLevel="0" collapsed="false">
      <c r="A4413" s="1" t="n">
        <v>1</v>
      </c>
      <c r="B4413" s="10" t="n">
        <v>45648</v>
      </c>
      <c r="C4413" s="11" t="s">
        <v>4431</v>
      </c>
      <c r="D4413" s="1" t="s">
        <v>2901</v>
      </c>
      <c r="E4413" s="1" t="s">
        <v>20</v>
      </c>
      <c r="F4413" s="1" t="str">
        <f aca="false">TEXT(B4413,"mmm-yyyy")</f>
        <v>Dec-2024</v>
      </c>
    </row>
    <row r="4414" customFormat="false" ht="101.25" hidden="false" customHeight="true" outlineLevel="0" collapsed="false">
      <c r="A4414" s="1" t="n">
        <v>1</v>
      </c>
      <c r="B4414" s="10" t="n">
        <v>45644</v>
      </c>
      <c r="C4414" s="11" t="s">
        <v>4432</v>
      </c>
      <c r="D4414" s="1" t="s">
        <v>2901</v>
      </c>
      <c r="E4414" s="1" t="s">
        <v>18</v>
      </c>
      <c r="F4414" s="1" t="str">
        <f aca="false">TEXT(B4414,"mmm-yyyy")</f>
        <v>Dec-2024</v>
      </c>
    </row>
    <row r="4415" customFormat="false" ht="57.75" hidden="false" customHeight="true" outlineLevel="0" collapsed="false">
      <c r="A4415" s="1" t="n">
        <v>1</v>
      </c>
      <c r="B4415" s="10" t="n">
        <v>45644</v>
      </c>
      <c r="C4415" s="11" t="s">
        <v>4433</v>
      </c>
      <c r="D4415" s="1" t="s">
        <v>2901</v>
      </c>
      <c r="E4415" s="1" t="s">
        <v>20</v>
      </c>
      <c r="F4415" s="1" t="str">
        <f aca="false">TEXT(B4415,"mmm-yyyy")</f>
        <v>Dec-2024</v>
      </c>
    </row>
    <row r="4416" customFormat="false" ht="57.75" hidden="false" customHeight="true" outlineLevel="0" collapsed="false">
      <c r="A4416" s="1" t="n">
        <v>1</v>
      </c>
      <c r="B4416" s="10" t="n">
        <v>45638</v>
      </c>
      <c r="C4416" s="11" t="s">
        <v>4434</v>
      </c>
      <c r="D4416" s="1" t="s">
        <v>2901</v>
      </c>
      <c r="E4416" s="1" t="s">
        <v>20</v>
      </c>
      <c r="F4416" s="1" t="str">
        <f aca="false">TEXT(B4416,"mmm-yyyy")</f>
        <v>Dec-2024</v>
      </c>
    </row>
    <row r="4417" customFormat="false" ht="43.5" hidden="false" customHeight="true" outlineLevel="0" collapsed="false">
      <c r="A4417" s="1" t="n">
        <v>1</v>
      </c>
      <c r="B4417" s="10" t="n">
        <v>45651</v>
      </c>
      <c r="C4417" s="11" t="s">
        <v>4435</v>
      </c>
      <c r="D4417" s="1" t="s">
        <v>2901</v>
      </c>
      <c r="E4417" s="1" t="s">
        <v>20</v>
      </c>
      <c r="F4417" s="1" t="str">
        <f aca="false">TEXT(B4417,"mmm-yyyy")</f>
        <v>Dec-2024</v>
      </c>
    </row>
    <row r="4418" customFormat="false" ht="43.5" hidden="false" customHeight="true" outlineLevel="0" collapsed="false">
      <c r="A4418" s="1" t="n">
        <v>5</v>
      </c>
      <c r="B4418" s="10" t="n">
        <v>45657</v>
      </c>
      <c r="C4418" s="11" t="s">
        <v>4436</v>
      </c>
      <c r="D4418" s="1" t="s">
        <v>2901</v>
      </c>
      <c r="E4418" s="1" t="s">
        <v>18</v>
      </c>
      <c r="F4418" s="1" t="str">
        <f aca="false">TEXT(B4418,"mmm-yyyy")</f>
        <v>Dec-2024</v>
      </c>
    </row>
    <row r="4419" customFormat="false" ht="57.75" hidden="false" customHeight="true" outlineLevel="0" collapsed="false">
      <c r="A4419" s="1" t="n">
        <v>1</v>
      </c>
      <c r="B4419" s="10" t="n">
        <v>45652</v>
      </c>
      <c r="C4419" s="11" t="s">
        <v>4437</v>
      </c>
      <c r="D4419" s="1" t="s">
        <v>2901</v>
      </c>
      <c r="E4419" s="1" t="s">
        <v>18</v>
      </c>
      <c r="F4419" s="1" t="str">
        <f aca="false">TEXT(B4419,"mmm-yyyy")</f>
        <v>Dec-2024</v>
      </c>
    </row>
    <row r="4420" customFormat="false" ht="43.5" hidden="false" customHeight="true" outlineLevel="0" collapsed="false">
      <c r="A4420" s="1" t="n">
        <v>1</v>
      </c>
      <c r="B4420" s="10" t="n">
        <v>45641</v>
      </c>
      <c r="C4420" s="11" t="s">
        <v>4438</v>
      </c>
      <c r="D4420" s="1" t="s">
        <v>2901</v>
      </c>
      <c r="E4420" s="1" t="s">
        <v>32</v>
      </c>
      <c r="F4420" s="1" t="str">
        <f aca="false">TEXT(B4420,"mmm-yyyy")</f>
        <v>Dec-2024</v>
      </c>
    </row>
    <row r="4421" customFormat="false" ht="28.5" hidden="false" customHeight="true" outlineLevel="0" collapsed="false">
      <c r="A4421" s="1" t="n">
        <v>1</v>
      </c>
      <c r="B4421" s="10" t="n">
        <v>45648</v>
      </c>
      <c r="C4421" s="11" t="s">
        <v>4439</v>
      </c>
      <c r="D4421" s="1" t="s">
        <v>2901</v>
      </c>
      <c r="E4421" s="1" t="s">
        <v>20</v>
      </c>
      <c r="F4421" s="1" t="str">
        <f aca="false">TEXT(B4421,"mmm-yyyy")</f>
        <v>Dec-2024</v>
      </c>
    </row>
    <row r="4422" customFormat="false" ht="101.25" hidden="false" customHeight="true" outlineLevel="0" collapsed="false">
      <c r="A4422" s="1" t="n">
        <v>1</v>
      </c>
      <c r="B4422" s="10" t="n">
        <v>45644</v>
      </c>
      <c r="C4422" s="11" t="s">
        <v>4440</v>
      </c>
      <c r="D4422" s="1" t="s">
        <v>2901</v>
      </c>
      <c r="E4422" s="1" t="s">
        <v>18</v>
      </c>
      <c r="F4422" s="1" t="str">
        <f aca="false">TEXT(B4422,"mmm-yyyy")</f>
        <v>Dec-2024</v>
      </c>
    </row>
    <row r="4423" customFormat="false" ht="28.5" hidden="false" customHeight="true" outlineLevel="0" collapsed="false">
      <c r="A4423" s="1" t="n">
        <v>5</v>
      </c>
      <c r="B4423" s="10" t="n">
        <v>45657</v>
      </c>
      <c r="C4423" s="11" t="s">
        <v>4441</v>
      </c>
      <c r="D4423" s="1" t="s">
        <v>2901</v>
      </c>
      <c r="E4423" s="1" t="s">
        <v>18</v>
      </c>
      <c r="F4423" s="1" t="str">
        <f aca="false">TEXT(B4423,"mmm-yyyy")</f>
        <v>Dec-2024</v>
      </c>
    </row>
    <row r="4424" customFormat="false" ht="57.75" hidden="false" customHeight="true" outlineLevel="0" collapsed="false">
      <c r="A4424" s="1" t="n">
        <v>1</v>
      </c>
      <c r="B4424" s="10" t="n">
        <v>45650</v>
      </c>
      <c r="C4424" s="11" t="s">
        <v>4442</v>
      </c>
      <c r="D4424" s="1" t="s">
        <v>2901</v>
      </c>
      <c r="E4424" s="1" t="s">
        <v>20</v>
      </c>
      <c r="F4424" s="1" t="str">
        <f aca="false">TEXT(B4424,"mmm-yyyy")</f>
        <v>Dec-2024</v>
      </c>
    </row>
    <row r="4425" customFormat="false" ht="57.75" hidden="false" customHeight="true" outlineLevel="0" collapsed="false">
      <c r="A4425" s="1" t="n">
        <v>1</v>
      </c>
      <c r="B4425" s="10" t="n">
        <v>45650</v>
      </c>
      <c r="C4425" s="11" t="s">
        <v>4443</v>
      </c>
      <c r="D4425" s="1" t="s">
        <v>2901</v>
      </c>
      <c r="E4425" s="1" t="s">
        <v>20</v>
      </c>
      <c r="F4425" s="1" t="str">
        <f aca="false">TEXT(B4425,"mmm-yyyy")</f>
        <v>Dec-2024</v>
      </c>
    </row>
    <row r="4426" customFormat="false" ht="57.75" hidden="false" customHeight="true" outlineLevel="0" collapsed="false">
      <c r="A4426" s="1" t="n">
        <v>1</v>
      </c>
      <c r="B4426" s="10" t="n">
        <v>45651</v>
      </c>
      <c r="C4426" s="11" t="s">
        <v>4444</v>
      </c>
      <c r="D4426" s="1" t="s">
        <v>2901</v>
      </c>
      <c r="E4426" s="1" t="s">
        <v>20</v>
      </c>
      <c r="F4426" s="1" t="str">
        <f aca="false">TEXT(B4426,"mmm-yyyy")</f>
        <v>Dec-2024</v>
      </c>
    </row>
    <row r="4427" customFormat="false" ht="57.75" hidden="false" customHeight="true" outlineLevel="0" collapsed="false">
      <c r="A4427" s="1" t="n">
        <v>1</v>
      </c>
      <c r="B4427" s="10" t="n">
        <v>45646</v>
      </c>
      <c r="C4427" s="11" t="s">
        <v>4445</v>
      </c>
      <c r="D4427" s="1" t="s">
        <v>2901</v>
      </c>
      <c r="E4427" s="1" t="s">
        <v>32</v>
      </c>
      <c r="F4427" s="1" t="str">
        <f aca="false">TEXT(B4427,"mmm-yyyy")</f>
        <v>Dec-2024</v>
      </c>
    </row>
    <row r="4428" customFormat="false" ht="43.5" hidden="false" customHeight="true" outlineLevel="0" collapsed="false">
      <c r="A4428" s="1" t="n">
        <v>1</v>
      </c>
      <c r="B4428" s="10" t="n">
        <v>45639</v>
      </c>
      <c r="C4428" s="11" t="s">
        <v>4446</v>
      </c>
      <c r="D4428" s="1" t="s">
        <v>2901</v>
      </c>
      <c r="E4428" s="1" t="s">
        <v>18</v>
      </c>
      <c r="F4428" s="1" t="str">
        <f aca="false">TEXT(B4428,"mmm-yyyy")</f>
        <v>Dec-2024</v>
      </c>
    </row>
    <row r="4429" customFormat="false" ht="43.5" hidden="false" customHeight="true" outlineLevel="0" collapsed="false">
      <c r="A4429" s="1" t="n">
        <v>1</v>
      </c>
      <c r="B4429" s="10" t="n">
        <v>45657</v>
      </c>
      <c r="C4429" s="11" t="s">
        <v>4447</v>
      </c>
      <c r="D4429" s="1" t="s">
        <v>2901</v>
      </c>
      <c r="E4429" s="1" t="s">
        <v>20</v>
      </c>
      <c r="F4429" s="1" t="str">
        <f aca="false">TEXT(B4429,"mmm-yyyy")</f>
        <v>Dec-2024</v>
      </c>
    </row>
    <row r="4430" customFormat="false" ht="72" hidden="false" customHeight="true" outlineLevel="0" collapsed="false">
      <c r="A4430" s="1" t="n">
        <v>5</v>
      </c>
      <c r="B4430" s="10" t="n">
        <v>45649</v>
      </c>
      <c r="C4430" s="11" t="s">
        <v>4448</v>
      </c>
      <c r="D4430" s="1" t="s">
        <v>2901</v>
      </c>
      <c r="E4430" s="1" t="s">
        <v>18</v>
      </c>
      <c r="F4430" s="1" t="str">
        <f aca="false">TEXT(B4430,"mmm-yyyy")</f>
        <v>Dec-2024</v>
      </c>
    </row>
    <row r="4431" customFormat="false" ht="57.75" hidden="false" customHeight="true" outlineLevel="0" collapsed="false">
      <c r="A4431" s="1" t="n">
        <v>1</v>
      </c>
      <c r="B4431" s="10" t="n">
        <v>45640</v>
      </c>
      <c r="C4431" s="11" t="s">
        <v>4449</v>
      </c>
      <c r="D4431" s="1" t="s">
        <v>2901</v>
      </c>
      <c r="E4431" s="1" t="s">
        <v>20</v>
      </c>
      <c r="F4431" s="1" t="str">
        <f aca="false">TEXT(B4431,"mmm-yyyy")</f>
        <v>Dec-2024</v>
      </c>
    </row>
    <row r="4432" customFormat="false" ht="28.5" hidden="false" customHeight="true" outlineLevel="0" collapsed="false">
      <c r="A4432" s="1" t="n">
        <v>1</v>
      </c>
      <c r="B4432" s="10" t="n">
        <v>45649</v>
      </c>
      <c r="C4432" s="11" t="s">
        <v>4450</v>
      </c>
      <c r="D4432" s="1" t="s">
        <v>2901</v>
      </c>
      <c r="E4432" s="1" t="s">
        <v>18</v>
      </c>
      <c r="F4432" s="1" t="str">
        <f aca="false">TEXT(B4432,"mmm-yyyy")</f>
        <v>Dec-2024</v>
      </c>
    </row>
    <row r="4433" customFormat="false" ht="43.5" hidden="false" customHeight="true" outlineLevel="0" collapsed="false">
      <c r="A4433" s="1" t="n">
        <v>1</v>
      </c>
      <c r="B4433" s="10" t="n">
        <v>45650</v>
      </c>
      <c r="C4433" s="11" t="s">
        <v>4451</v>
      </c>
      <c r="D4433" s="1" t="s">
        <v>2901</v>
      </c>
      <c r="E4433" s="1" t="s">
        <v>20</v>
      </c>
      <c r="F4433" s="1" t="str">
        <f aca="false">TEXT(B4433,"mmm-yyyy")</f>
        <v>Dec-2024</v>
      </c>
    </row>
    <row r="4434" customFormat="false" ht="87" hidden="false" customHeight="true" outlineLevel="0" collapsed="false">
      <c r="A4434" s="1" t="n">
        <v>1</v>
      </c>
      <c r="B4434" s="10" t="n">
        <v>45641</v>
      </c>
      <c r="C4434" s="11" t="s">
        <v>4452</v>
      </c>
      <c r="D4434" s="1" t="s">
        <v>2901</v>
      </c>
      <c r="E4434" s="1" t="s">
        <v>20</v>
      </c>
      <c r="F4434" s="1" t="str">
        <f aca="false">TEXT(B4434,"mmm-yyyy")</f>
        <v>Dec-2024</v>
      </c>
    </row>
    <row r="4435" customFormat="false" ht="115.5" hidden="false" customHeight="true" outlineLevel="0" collapsed="false">
      <c r="A4435" s="1" t="n">
        <v>1</v>
      </c>
      <c r="B4435" s="10" t="n">
        <v>45655</v>
      </c>
      <c r="C4435" s="11" t="s">
        <v>4453</v>
      </c>
      <c r="D4435" s="1" t="s">
        <v>2901</v>
      </c>
      <c r="E4435" s="1" t="s">
        <v>20</v>
      </c>
      <c r="F4435" s="1" t="str">
        <f aca="false">TEXT(B4435,"mmm-yyyy")</f>
        <v>Dec-2024</v>
      </c>
    </row>
    <row r="4436" customFormat="false" ht="72" hidden="false" customHeight="true" outlineLevel="0" collapsed="false">
      <c r="A4436" s="1" t="n">
        <v>1</v>
      </c>
      <c r="B4436" s="10" t="n">
        <v>45645</v>
      </c>
      <c r="C4436" s="11" t="s">
        <v>4454</v>
      </c>
      <c r="D4436" s="1" t="s">
        <v>2901</v>
      </c>
      <c r="E4436" s="1" t="s">
        <v>20</v>
      </c>
      <c r="F4436" s="1" t="str">
        <f aca="false">TEXT(B4436,"mmm-yyyy")</f>
        <v>Dec-2024</v>
      </c>
    </row>
    <row r="4437" customFormat="false" ht="57.75" hidden="false" customHeight="true" outlineLevel="0" collapsed="false">
      <c r="A4437" s="1" t="n">
        <v>1</v>
      </c>
      <c r="B4437" s="10" t="n">
        <v>45655</v>
      </c>
      <c r="C4437" s="11" t="s">
        <v>4455</v>
      </c>
      <c r="D4437" s="1" t="s">
        <v>2901</v>
      </c>
      <c r="E4437" s="1" t="s">
        <v>20</v>
      </c>
      <c r="F4437" s="1" t="str">
        <f aca="false">TEXT(B4437,"mmm-yyyy")</f>
        <v>Dec-2024</v>
      </c>
    </row>
    <row r="4438" customFormat="false" ht="43.5" hidden="false" customHeight="true" outlineLevel="0" collapsed="false">
      <c r="A4438" s="1" t="n">
        <v>1</v>
      </c>
      <c r="B4438" s="10" t="n">
        <v>45645</v>
      </c>
      <c r="C4438" s="11" t="s">
        <v>4456</v>
      </c>
      <c r="D4438" s="1" t="s">
        <v>2901</v>
      </c>
      <c r="E4438" s="1" t="s">
        <v>20</v>
      </c>
      <c r="F4438" s="1" t="str">
        <f aca="false">TEXT(B4438,"mmm-yyyy")</f>
        <v>Dec-2024</v>
      </c>
    </row>
    <row r="4439" customFormat="false" ht="57.75" hidden="false" customHeight="true" outlineLevel="0" collapsed="false">
      <c r="A4439" s="1" t="n">
        <v>1</v>
      </c>
      <c r="B4439" s="10" t="n">
        <v>45648</v>
      </c>
      <c r="C4439" s="11" t="s">
        <v>4457</v>
      </c>
      <c r="D4439" s="1" t="s">
        <v>2901</v>
      </c>
      <c r="E4439" s="1" t="s">
        <v>20</v>
      </c>
      <c r="F4439" s="1" t="str">
        <f aca="false">TEXT(B4439,"mmm-yyyy")</f>
        <v>Dec-2024</v>
      </c>
    </row>
    <row r="4440" customFormat="false" ht="43.5" hidden="false" customHeight="true" outlineLevel="0" collapsed="false">
      <c r="A4440" s="1" t="n">
        <v>1</v>
      </c>
      <c r="B4440" s="10" t="n">
        <v>45650</v>
      </c>
      <c r="C4440" s="11" t="s">
        <v>4458</v>
      </c>
      <c r="D4440" s="1" t="s">
        <v>2901</v>
      </c>
      <c r="E4440" s="1" t="s">
        <v>20</v>
      </c>
      <c r="F4440" s="1" t="str">
        <f aca="false">TEXT(B4440,"mmm-yyyy")</f>
        <v>Dec-2024</v>
      </c>
    </row>
    <row r="4441" customFormat="false" ht="57.75" hidden="false" customHeight="true" outlineLevel="0" collapsed="false">
      <c r="A4441" s="1" t="n">
        <v>1</v>
      </c>
      <c r="B4441" s="10" t="n">
        <v>45652</v>
      </c>
      <c r="C4441" s="11" t="s">
        <v>4459</v>
      </c>
      <c r="D4441" s="1" t="s">
        <v>2901</v>
      </c>
      <c r="E4441" s="1" t="s">
        <v>20</v>
      </c>
      <c r="F4441" s="1" t="str">
        <f aca="false">TEXT(B4441,"mmm-yyyy")</f>
        <v>Dec-2024</v>
      </c>
    </row>
    <row r="4442" customFormat="false" ht="43.5" hidden="false" customHeight="true" outlineLevel="0" collapsed="false">
      <c r="A4442" s="1" t="n">
        <v>1</v>
      </c>
      <c r="B4442" s="10" t="n">
        <v>45650</v>
      </c>
      <c r="C4442" s="11" t="s">
        <v>4460</v>
      </c>
      <c r="D4442" s="1" t="s">
        <v>2901</v>
      </c>
      <c r="E4442" s="1" t="s">
        <v>32</v>
      </c>
      <c r="F4442" s="1" t="str">
        <f aca="false">TEXT(B4442,"mmm-yyyy")</f>
        <v>Dec-2024</v>
      </c>
    </row>
    <row r="4443" customFormat="false" ht="115.5" hidden="false" customHeight="true" outlineLevel="0" collapsed="false">
      <c r="A4443" s="1" t="n">
        <v>1</v>
      </c>
      <c r="B4443" s="10" t="n">
        <v>45648</v>
      </c>
      <c r="C4443" s="11" t="s">
        <v>4461</v>
      </c>
      <c r="D4443" s="1" t="s">
        <v>2901</v>
      </c>
      <c r="E4443" s="1" t="s">
        <v>20</v>
      </c>
      <c r="F4443" s="1" t="str">
        <f aca="false">TEXT(B4443,"mmm-yyyy")</f>
        <v>Dec-2024</v>
      </c>
    </row>
    <row r="4444" customFormat="false" ht="72" hidden="false" customHeight="true" outlineLevel="0" collapsed="false">
      <c r="A4444" s="1" t="n">
        <v>1</v>
      </c>
      <c r="B4444" s="10" t="n">
        <v>45650</v>
      </c>
      <c r="C4444" s="11" t="s">
        <v>4462</v>
      </c>
      <c r="D4444" s="1" t="s">
        <v>2901</v>
      </c>
      <c r="E4444" s="1" t="s">
        <v>20</v>
      </c>
      <c r="F4444" s="1" t="str">
        <f aca="false">TEXT(B4444,"mmm-yyyy")</f>
        <v>Dec-2024</v>
      </c>
    </row>
    <row r="4445" customFormat="false" ht="43.5" hidden="false" customHeight="true" outlineLevel="0" collapsed="false">
      <c r="A4445" s="1" t="n">
        <v>5</v>
      </c>
      <c r="B4445" s="10" t="n">
        <v>45652</v>
      </c>
      <c r="C4445" s="11" t="s">
        <v>4463</v>
      </c>
      <c r="D4445" s="1" t="s">
        <v>2901</v>
      </c>
      <c r="E4445" s="1" t="s">
        <v>18</v>
      </c>
      <c r="F4445" s="1" t="str">
        <f aca="false">TEXT(B4445,"mmm-yyyy")</f>
        <v>Dec-2024</v>
      </c>
    </row>
    <row r="4446" customFormat="false" ht="43.5" hidden="false" customHeight="true" outlineLevel="0" collapsed="false">
      <c r="A4446" s="1" t="n">
        <v>2</v>
      </c>
      <c r="B4446" s="10" t="n">
        <v>45637</v>
      </c>
      <c r="C4446" s="11" t="s">
        <v>4464</v>
      </c>
      <c r="D4446" s="1" t="s">
        <v>2901</v>
      </c>
      <c r="E4446" s="1" t="s">
        <v>20</v>
      </c>
      <c r="F4446" s="1" t="str">
        <f aca="false">TEXT(B4446,"mmm-yyyy")</f>
        <v>Dec-2024</v>
      </c>
    </row>
    <row r="4447" customFormat="false" ht="72" hidden="false" customHeight="true" outlineLevel="0" collapsed="false">
      <c r="A4447" s="1" t="n">
        <v>1</v>
      </c>
      <c r="B4447" s="10" t="n">
        <v>45646</v>
      </c>
      <c r="C4447" s="11" t="s">
        <v>4465</v>
      </c>
      <c r="D4447" s="1" t="s">
        <v>2901</v>
      </c>
      <c r="E4447" s="1" t="s">
        <v>20</v>
      </c>
      <c r="F4447" s="1" t="str">
        <f aca="false">TEXT(B4447,"mmm-yyyy")</f>
        <v>Dec-2024</v>
      </c>
    </row>
    <row r="4448" customFormat="false" ht="72" hidden="false" customHeight="true" outlineLevel="0" collapsed="false">
      <c r="A4448" s="1" t="n">
        <v>1</v>
      </c>
      <c r="B4448" s="10" t="n">
        <v>45650</v>
      </c>
      <c r="C4448" s="11" t="s">
        <v>4466</v>
      </c>
      <c r="D4448" s="1" t="s">
        <v>2901</v>
      </c>
      <c r="E4448" s="1" t="s">
        <v>20</v>
      </c>
      <c r="F4448" s="1" t="str">
        <f aca="false">TEXT(B4448,"mmm-yyyy")</f>
        <v>Dec-2024</v>
      </c>
    </row>
    <row r="4449" customFormat="false" ht="43.5" hidden="false" customHeight="true" outlineLevel="0" collapsed="false">
      <c r="A4449" s="1" t="n">
        <v>1</v>
      </c>
      <c r="B4449" s="10" t="n">
        <v>45636</v>
      </c>
      <c r="C4449" s="11" t="s">
        <v>4467</v>
      </c>
      <c r="D4449" s="1" t="s">
        <v>2901</v>
      </c>
      <c r="E4449" s="1" t="s">
        <v>20</v>
      </c>
      <c r="F4449" s="1" t="str">
        <f aca="false">TEXT(B4449,"mmm-yyyy")</f>
        <v>Dec-2024</v>
      </c>
    </row>
    <row r="4450" customFormat="false" ht="43.5" hidden="false" customHeight="true" outlineLevel="0" collapsed="false">
      <c r="A4450" s="1" t="n">
        <v>1</v>
      </c>
      <c r="B4450" s="10" t="n">
        <v>45641</v>
      </c>
      <c r="C4450" s="11" t="s">
        <v>4468</v>
      </c>
      <c r="D4450" s="1" t="s">
        <v>2901</v>
      </c>
      <c r="E4450" s="1" t="s">
        <v>20</v>
      </c>
      <c r="F4450" s="1" t="str">
        <f aca="false">TEXT(B4450,"mmm-yyyy")</f>
        <v>Dec-2024</v>
      </c>
    </row>
    <row r="4451" customFormat="false" ht="57.75" hidden="false" customHeight="true" outlineLevel="0" collapsed="false">
      <c r="A4451" s="1" t="n">
        <v>1</v>
      </c>
      <c r="B4451" s="10" t="n">
        <v>45650</v>
      </c>
      <c r="C4451" s="11" t="s">
        <v>4469</v>
      </c>
      <c r="D4451" s="1" t="s">
        <v>2901</v>
      </c>
      <c r="E4451" s="1" t="s">
        <v>32</v>
      </c>
      <c r="F4451" s="1" t="str">
        <f aca="false">TEXT(B4451,"mmm-yyyy")</f>
        <v>Dec-2024</v>
      </c>
    </row>
    <row r="4452" customFormat="false" ht="43.5" hidden="false" customHeight="true" outlineLevel="0" collapsed="false">
      <c r="A4452" s="1" t="n">
        <v>1</v>
      </c>
      <c r="B4452" s="10" t="n">
        <v>45650</v>
      </c>
      <c r="C4452" s="11" t="s">
        <v>4470</v>
      </c>
      <c r="D4452" s="1" t="s">
        <v>2901</v>
      </c>
      <c r="E4452" s="1" t="s">
        <v>32</v>
      </c>
      <c r="F4452" s="1" t="str">
        <f aca="false">TEXT(B4452,"mmm-yyyy")</f>
        <v>Dec-2024</v>
      </c>
    </row>
    <row r="4453" customFormat="false" ht="57.75" hidden="false" customHeight="true" outlineLevel="0" collapsed="false">
      <c r="A4453" s="1" t="n">
        <v>1</v>
      </c>
      <c r="B4453" s="10" t="n">
        <v>45634</v>
      </c>
      <c r="C4453" s="11" t="s">
        <v>4471</v>
      </c>
      <c r="D4453" s="1" t="s">
        <v>2901</v>
      </c>
      <c r="E4453" s="1" t="s">
        <v>18</v>
      </c>
      <c r="F4453" s="1" t="str">
        <f aca="false">TEXT(B4453,"mmm-yyyy")</f>
        <v>Dec-2024</v>
      </c>
    </row>
    <row r="4454" customFormat="false" ht="43.5" hidden="false" customHeight="true" outlineLevel="0" collapsed="false">
      <c r="A4454" s="1" t="n">
        <v>1</v>
      </c>
      <c r="B4454" s="10" t="n">
        <v>45641</v>
      </c>
      <c r="C4454" s="11" t="s">
        <v>4472</v>
      </c>
      <c r="D4454" s="1" t="s">
        <v>2901</v>
      </c>
      <c r="E4454" s="1" t="s">
        <v>20</v>
      </c>
      <c r="F4454" s="1" t="str">
        <f aca="false">TEXT(B4454,"mmm-yyyy")</f>
        <v>Dec-2024</v>
      </c>
    </row>
    <row r="4455" customFormat="false" ht="43.5" hidden="false" customHeight="true" outlineLevel="0" collapsed="false">
      <c r="A4455" s="1" t="n">
        <v>1</v>
      </c>
      <c r="B4455" s="10" t="n">
        <v>45650</v>
      </c>
      <c r="C4455" s="11" t="s">
        <v>4473</v>
      </c>
      <c r="D4455" s="1" t="s">
        <v>2901</v>
      </c>
      <c r="E4455" s="1" t="s">
        <v>18</v>
      </c>
      <c r="F4455" s="1" t="str">
        <f aca="false">TEXT(B4455,"mmm-yyyy")</f>
        <v>Dec-2024</v>
      </c>
    </row>
    <row r="4456" customFormat="false" ht="43.5" hidden="false" customHeight="true" outlineLevel="0" collapsed="false">
      <c r="A4456" s="1" t="n">
        <v>1</v>
      </c>
      <c r="B4456" s="10" t="n">
        <v>45656</v>
      </c>
      <c r="C4456" s="11" t="s">
        <v>4474</v>
      </c>
      <c r="D4456" s="1" t="s">
        <v>2901</v>
      </c>
      <c r="E4456" s="1" t="s">
        <v>20</v>
      </c>
      <c r="F4456" s="1" t="str">
        <f aca="false">TEXT(B4456,"mmm-yyyy")</f>
        <v>Dec-2024</v>
      </c>
    </row>
    <row r="4457" customFormat="false" ht="43.5" hidden="false" customHeight="true" outlineLevel="0" collapsed="false">
      <c r="A4457" s="1" t="n">
        <v>1</v>
      </c>
      <c r="B4457" s="10" t="n">
        <v>45650</v>
      </c>
      <c r="C4457" s="11" t="s">
        <v>4475</v>
      </c>
      <c r="D4457" s="1" t="s">
        <v>2901</v>
      </c>
      <c r="E4457" s="1" t="s">
        <v>20</v>
      </c>
      <c r="F4457" s="1" t="str">
        <f aca="false">TEXT(B4457,"mmm-yyyy")</f>
        <v>Dec-2024</v>
      </c>
    </row>
    <row r="4458" customFormat="false" ht="43.5" hidden="false" customHeight="true" outlineLevel="0" collapsed="false">
      <c r="A4458" s="1" t="n">
        <v>3</v>
      </c>
      <c r="B4458" s="10" t="n">
        <v>45639</v>
      </c>
      <c r="C4458" s="11" t="s">
        <v>4476</v>
      </c>
      <c r="D4458" s="1" t="s">
        <v>2901</v>
      </c>
      <c r="E4458" s="1" t="s">
        <v>18</v>
      </c>
      <c r="F4458" s="1" t="str">
        <f aca="false">TEXT(B4458,"mmm-yyyy")</f>
        <v>Dec-2024</v>
      </c>
    </row>
    <row r="4459" customFormat="false" ht="43.5" hidden="false" customHeight="true" outlineLevel="0" collapsed="false">
      <c r="A4459" s="1" t="n">
        <v>1</v>
      </c>
      <c r="B4459" s="10" t="n">
        <v>45650</v>
      </c>
      <c r="C4459" s="11" t="s">
        <v>4477</v>
      </c>
      <c r="D4459" s="1" t="s">
        <v>2901</v>
      </c>
      <c r="E4459" s="1" t="s">
        <v>20</v>
      </c>
      <c r="F4459" s="1" t="str">
        <f aca="false">TEXT(B4459,"mmm-yyyy")</f>
        <v>Dec-2024</v>
      </c>
    </row>
    <row r="4460" customFormat="false" ht="72" hidden="false" customHeight="true" outlineLevel="0" collapsed="false">
      <c r="A4460" s="1" t="n">
        <v>1</v>
      </c>
      <c r="B4460" s="10" t="n">
        <v>45647</v>
      </c>
      <c r="C4460" s="11" t="s">
        <v>4478</v>
      </c>
      <c r="D4460" s="1" t="s">
        <v>2901</v>
      </c>
      <c r="E4460" s="1" t="s">
        <v>32</v>
      </c>
      <c r="F4460" s="1" t="str">
        <f aca="false">TEXT(B4460,"mmm-yyyy")</f>
        <v>Dec-2024</v>
      </c>
    </row>
    <row r="4461" customFormat="false" ht="57.75" hidden="false" customHeight="true" outlineLevel="0" collapsed="false">
      <c r="A4461" s="1" t="n">
        <v>1</v>
      </c>
      <c r="B4461" s="10" t="n">
        <v>45641</v>
      </c>
      <c r="C4461" s="11" t="s">
        <v>4479</v>
      </c>
      <c r="D4461" s="1" t="s">
        <v>2901</v>
      </c>
      <c r="E4461" s="1" t="s">
        <v>20</v>
      </c>
      <c r="F4461" s="1" t="str">
        <f aca="false">TEXT(B4461,"mmm-yyyy")</f>
        <v>Dec-2024</v>
      </c>
    </row>
    <row r="4462" customFormat="false" ht="57.75" hidden="false" customHeight="true" outlineLevel="0" collapsed="false">
      <c r="A4462" s="1" t="n">
        <v>1</v>
      </c>
      <c r="B4462" s="10" t="n">
        <v>45642</v>
      </c>
      <c r="C4462" s="11" t="s">
        <v>4480</v>
      </c>
      <c r="D4462" s="1" t="s">
        <v>2901</v>
      </c>
      <c r="E4462" s="1" t="s">
        <v>20</v>
      </c>
      <c r="F4462" s="1" t="str">
        <f aca="false">TEXT(B4462,"mmm-yyyy")</f>
        <v>Dec-2024</v>
      </c>
    </row>
    <row r="4463" customFormat="false" ht="43.5" hidden="false" customHeight="true" outlineLevel="0" collapsed="false">
      <c r="A4463" s="1" t="n">
        <v>1</v>
      </c>
      <c r="B4463" s="10" t="n">
        <v>45654</v>
      </c>
      <c r="C4463" s="11" t="s">
        <v>4481</v>
      </c>
      <c r="D4463" s="1" t="s">
        <v>2901</v>
      </c>
      <c r="E4463" s="1" t="s">
        <v>20</v>
      </c>
      <c r="F4463" s="1" t="str">
        <f aca="false">TEXT(B4463,"mmm-yyyy")</f>
        <v>Dec-2024</v>
      </c>
    </row>
    <row r="4464" customFormat="false" ht="43.5" hidden="false" customHeight="true" outlineLevel="0" collapsed="false">
      <c r="A4464" s="1" t="n">
        <v>1</v>
      </c>
      <c r="B4464" s="10" t="n">
        <v>45642</v>
      </c>
      <c r="C4464" s="11" t="s">
        <v>4482</v>
      </c>
      <c r="D4464" s="1" t="s">
        <v>2901</v>
      </c>
      <c r="E4464" s="1" t="s">
        <v>20</v>
      </c>
      <c r="F4464" s="1" t="str">
        <f aca="false">TEXT(B4464,"mmm-yyyy")</f>
        <v>Dec-2024</v>
      </c>
    </row>
    <row r="4465" customFormat="false" ht="43.5" hidden="false" customHeight="true" outlineLevel="0" collapsed="false">
      <c r="A4465" s="1" t="n">
        <v>1</v>
      </c>
      <c r="B4465" s="10" t="n">
        <v>45648</v>
      </c>
      <c r="C4465" s="11" t="s">
        <v>4483</v>
      </c>
      <c r="D4465" s="1" t="s">
        <v>2901</v>
      </c>
      <c r="E4465" s="1" t="s">
        <v>20</v>
      </c>
      <c r="F4465" s="1" t="str">
        <f aca="false">TEXT(B4465,"mmm-yyyy")</f>
        <v>Dec-2024</v>
      </c>
    </row>
    <row r="4466" customFormat="false" ht="57.75" hidden="false" customHeight="true" outlineLevel="0" collapsed="false">
      <c r="A4466" s="1" t="n">
        <v>3</v>
      </c>
      <c r="B4466" s="10" t="n">
        <v>45651</v>
      </c>
      <c r="C4466" s="11" t="s">
        <v>4484</v>
      </c>
      <c r="D4466" s="1" t="s">
        <v>2901</v>
      </c>
      <c r="E4466" s="1" t="s">
        <v>18</v>
      </c>
      <c r="F4466" s="1" t="str">
        <f aca="false">TEXT(B4466,"mmm-yyyy")</f>
        <v>Dec-2024</v>
      </c>
    </row>
    <row r="4467" customFormat="false" ht="57.75" hidden="false" customHeight="true" outlineLevel="0" collapsed="false">
      <c r="A4467" s="1" t="n">
        <v>1</v>
      </c>
      <c r="B4467" s="10" t="n">
        <v>45650</v>
      </c>
      <c r="C4467" s="11" t="s">
        <v>4485</v>
      </c>
      <c r="D4467" s="1" t="s">
        <v>2901</v>
      </c>
      <c r="E4467" s="1" t="s">
        <v>20</v>
      </c>
      <c r="F4467" s="1" t="str">
        <f aca="false">TEXT(B4467,"mmm-yyyy")</f>
        <v>Dec-2024</v>
      </c>
    </row>
    <row r="4468" customFormat="false" ht="28.5" hidden="false" customHeight="true" outlineLevel="0" collapsed="false">
      <c r="A4468" s="1" t="n">
        <v>5</v>
      </c>
      <c r="B4468" s="10" t="n">
        <v>45642</v>
      </c>
      <c r="C4468" s="11" t="s">
        <v>4486</v>
      </c>
      <c r="D4468" s="1" t="s">
        <v>2901</v>
      </c>
      <c r="E4468" s="1" t="s">
        <v>18</v>
      </c>
      <c r="F4468" s="1" t="str">
        <f aca="false">TEXT(B4468,"mmm-yyyy")</f>
        <v>Dec-2024</v>
      </c>
    </row>
    <row r="4469" customFormat="false" ht="43.5" hidden="false" customHeight="true" outlineLevel="0" collapsed="false">
      <c r="A4469" s="1" t="n">
        <v>1</v>
      </c>
      <c r="B4469" s="10" t="n">
        <v>45651</v>
      </c>
      <c r="C4469" s="11" t="s">
        <v>4487</v>
      </c>
      <c r="D4469" s="1" t="s">
        <v>2901</v>
      </c>
      <c r="E4469" s="1" t="s">
        <v>18</v>
      </c>
      <c r="F4469" s="1" t="str">
        <f aca="false">TEXT(B4469,"mmm-yyyy")</f>
        <v>Dec-2024</v>
      </c>
    </row>
    <row r="4470" customFormat="false" ht="87" hidden="false" customHeight="true" outlineLevel="0" collapsed="false">
      <c r="A4470" s="1" t="n">
        <v>3</v>
      </c>
      <c r="B4470" s="10" t="n">
        <v>45607</v>
      </c>
      <c r="C4470" s="11" t="s">
        <v>4488</v>
      </c>
      <c r="D4470" s="1" t="s">
        <v>2901</v>
      </c>
      <c r="E4470" s="1" t="s">
        <v>20</v>
      </c>
      <c r="F4470" s="1" t="str">
        <f aca="false">TEXT(B4470,"mmm-yyyy")</f>
        <v>Nov-2024</v>
      </c>
    </row>
    <row r="4471" customFormat="false" ht="57.75" hidden="false" customHeight="true" outlineLevel="0" collapsed="false">
      <c r="A4471" s="1" t="n">
        <v>1</v>
      </c>
      <c r="B4471" s="10" t="n">
        <v>45578</v>
      </c>
      <c r="C4471" s="11" t="s">
        <v>4489</v>
      </c>
      <c r="D4471" s="1" t="s">
        <v>2901</v>
      </c>
      <c r="E4471" s="1" t="s">
        <v>20</v>
      </c>
      <c r="F4471" s="1" t="str">
        <f aca="false">TEXT(B4471,"mmm-yyyy")</f>
        <v>Oct-2024</v>
      </c>
    </row>
    <row r="4472" customFormat="false" ht="57.75" hidden="false" customHeight="true" outlineLevel="0" collapsed="false">
      <c r="A4472" s="1" t="n">
        <v>1</v>
      </c>
      <c r="B4472" s="10" t="n">
        <v>45636</v>
      </c>
      <c r="C4472" s="11" t="s">
        <v>4490</v>
      </c>
      <c r="D4472" s="1" t="s">
        <v>2901</v>
      </c>
      <c r="E4472" s="1" t="s">
        <v>20</v>
      </c>
      <c r="F4472" s="1" t="str">
        <f aca="false">TEXT(B4472,"mmm-yyyy")</f>
        <v>Dec-2024</v>
      </c>
    </row>
    <row r="4473" customFormat="false" ht="72" hidden="false" customHeight="true" outlineLevel="0" collapsed="false">
      <c r="A4473" s="1" t="n">
        <v>1</v>
      </c>
      <c r="B4473" s="10" t="n">
        <v>45608</v>
      </c>
      <c r="C4473" s="11" t="s">
        <v>4491</v>
      </c>
      <c r="D4473" s="1" t="s">
        <v>2901</v>
      </c>
      <c r="E4473" s="1" t="s">
        <v>32</v>
      </c>
      <c r="F4473" s="1" t="str">
        <f aca="false">TEXT(B4473,"mmm-yyyy")</f>
        <v>Nov-2024</v>
      </c>
    </row>
    <row r="4474" customFormat="false" ht="115.5" hidden="false" customHeight="true" outlineLevel="0" collapsed="false">
      <c r="A4474" s="1" t="n">
        <v>5</v>
      </c>
      <c r="B4474" s="10" t="n">
        <v>45597</v>
      </c>
      <c r="C4474" s="11" t="s">
        <v>4492</v>
      </c>
      <c r="D4474" s="1" t="s">
        <v>2901</v>
      </c>
      <c r="E4474" s="1" t="s">
        <v>18</v>
      </c>
      <c r="F4474" s="1" t="str">
        <f aca="false">TEXT(B4474,"mmm-yyyy")</f>
        <v>Nov-2024</v>
      </c>
    </row>
    <row r="4475" customFormat="false" ht="57.75" hidden="false" customHeight="true" outlineLevel="0" collapsed="false">
      <c r="A4475" s="1" t="n">
        <v>1</v>
      </c>
      <c r="B4475" s="10" t="n">
        <v>45628</v>
      </c>
      <c r="C4475" s="11" t="s">
        <v>4493</v>
      </c>
      <c r="D4475" s="1" t="s">
        <v>2901</v>
      </c>
      <c r="E4475" s="1" t="s">
        <v>20</v>
      </c>
      <c r="F4475" s="1" t="str">
        <f aca="false">TEXT(B4475,"mmm-yyyy")</f>
        <v>Dec-2024</v>
      </c>
    </row>
    <row r="4476" customFormat="false" ht="72" hidden="false" customHeight="true" outlineLevel="0" collapsed="false">
      <c r="A4476" s="1" t="n">
        <v>1</v>
      </c>
      <c r="B4476" s="10" t="n">
        <v>45616</v>
      </c>
      <c r="C4476" s="11" t="s">
        <v>4494</v>
      </c>
      <c r="D4476" s="1" t="s">
        <v>2901</v>
      </c>
      <c r="E4476" s="1" t="s">
        <v>20</v>
      </c>
      <c r="F4476" s="1" t="str">
        <f aca="false">TEXT(B4476,"mmm-yyyy")</f>
        <v>Nov-2024</v>
      </c>
    </row>
    <row r="4477" customFormat="false" ht="130.5" hidden="false" customHeight="true" outlineLevel="0" collapsed="false">
      <c r="A4477" s="1" t="n">
        <v>4</v>
      </c>
      <c r="B4477" s="10" t="n">
        <v>45620</v>
      </c>
      <c r="C4477" s="11" t="s">
        <v>4495</v>
      </c>
      <c r="D4477" s="1" t="s">
        <v>2901</v>
      </c>
      <c r="E4477" s="1" t="s">
        <v>20</v>
      </c>
      <c r="F4477" s="1" t="str">
        <f aca="false">TEXT(B4477,"mmm-yyyy")</f>
        <v>Nov-2024</v>
      </c>
    </row>
    <row r="4478" customFormat="false" ht="57.75" hidden="false" customHeight="true" outlineLevel="0" collapsed="false">
      <c r="A4478" s="1" t="n">
        <v>1</v>
      </c>
      <c r="B4478" s="10" t="n">
        <v>45585</v>
      </c>
      <c r="C4478" s="11" t="s">
        <v>4496</v>
      </c>
      <c r="D4478" s="1" t="s">
        <v>2901</v>
      </c>
      <c r="E4478" s="1" t="s">
        <v>32</v>
      </c>
      <c r="F4478" s="1" t="str">
        <f aca="false">TEXT(B4478,"mmm-yyyy")</f>
        <v>Oct-2024</v>
      </c>
    </row>
    <row r="4479" customFormat="false" ht="57.75" hidden="false" customHeight="true" outlineLevel="0" collapsed="false">
      <c r="A4479" s="1" t="n">
        <v>1</v>
      </c>
      <c r="B4479" s="10" t="n">
        <v>45588</v>
      </c>
      <c r="C4479" s="11" t="s">
        <v>4497</v>
      </c>
      <c r="D4479" s="1" t="s">
        <v>2901</v>
      </c>
      <c r="E4479" s="1" t="s">
        <v>20</v>
      </c>
      <c r="F4479" s="1" t="str">
        <f aca="false">TEXT(B4479,"mmm-yyyy")</f>
        <v>Oct-2024</v>
      </c>
    </row>
    <row r="4480" customFormat="false" ht="57.75" hidden="false" customHeight="true" outlineLevel="0" collapsed="false">
      <c r="A4480" s="1" t="n">
        <v>1</v>
      </c>
      <c r="B4480" s="10" t="n">
        <v>45629</v>
      </c>
      <c r="C4480" s="11" t="s">
        <v>4498</v>
      </c>
      <c r="D4480" s="1" t="s">
        <v>2901</v>
      </c>
      <c r="E4480" s="1" t="s">
        <v>20</v>
      </c>
      <c r="F4480" s="1" t="str">
        <f aca="false">TEXT(B4480,"mmm-yyyy")</f>
        <v>Dec-2024</v>
      </c>
    </row>
    <row r="4481" customFormat="false" ht="72" hidden="false" customHeight="true" outlineLevel="0" collapsed="false">
      <c r="A4481" s="1" t="n">
        <v>1</v>
      </c>
      <c r="B4481" s="10" t="n">
        <v>45604</v>
      </c>
      <c r="C4481" s="11" t="s">
        <v>4499</v>
      </c>
      <c r="D4481" s="1" t="s">
        <v>2901</v>
      </c>
      <c r="E4481" s="1" t="s">
        <v>20</v>
      </c>
      <c r="F4481" s="1" t="str">
        <f aca="false">TEXT(B4481,"mmm-yyyy")</f>
        <v>Nov-2024</v>
      </c>
    </row>
    <row r="4482" customFormat="false" ht="72" hidden="false" customHeight="true" outlineLevel="0" collapsed="false">
      <c r="A4482" s="1" t="n">
        <v>2</v>
      </c>
      <c r="B4482" s="10" t="n">
        <v>45624</v>
      </c>
      <c r="C4482" s="11" t="s">
        <v>4500</v>
      </c>
      <c r="D4482" s="1" t="s">
        <v>2901</v>
      </c>
      <c r="E4482" s="1" t="s">
        <v>20</v>
      </c>
      <c r="F4482" s="1" t="str">
        <f aca="false">TEXT(B4482,"mmm-yyyy")</f>
        <v>Nov-2024</v>
      </c>
    </row>
    <row r="4483" customFormat="false" ht="87" hidden="false" customHeight="true" outlineLevel="0" collapsed="false">
      <c r="A4483" s="1" t="n">
        <v>1</v>
      </c>
      <c r="B4483" s="10" t="n">
        <v>45642</v>
      </c>
      <c r="C4483" s="11" t="s">
        <v>4501</v>
      </c>
      <c r="D4483" s="1" t="s">
        <v>2901</v>
      </c>
      <c r="E4483" s="1" t="s">
        <v>20</v>
      </c>
      <c r="F4483" s="1" t="str">
        <f aca="false">TEXT(B4483,"mmm-yyyy")</f>
        <v>Dec-2024</v>
      </c>
    </row>
    <row r="4484" customFormat="false" ht="72" hidden="false" customHeight="true" outlineLevel="0" collapsed="false">
      <c r="A4484" s="1" t="n">
        <v>5</v>
      </c>
      <c r="B4484" s="10" t="n">
        <v>45637</v>
      </c>
      <c r="C4484" s="11" t="s">
        <v>4502</v>
      </c>
      <c r="D4484" s="1" t="s">
        <v>2901</v>
      </c>
      <c r="E4484" s="1" t="s">
        <v>18</v>
      </c>
      <c r="F4484" s="1" t="str">
        <f aca="false">TEXT(B4484,"mmm-yyyy")</f>
        <v>Dec-2024</v>
      </c>
    </row>
    <row r="4485" customFormat="false" ht="87" hidden="false" customHeight="true" outlineLevel="0" collapsed="false">
      <c r="A4485" s="1" t="n">
        <v>5</v>
      </c>
      <c r="B4485" s="10" t="n">
        <v>45642</v>
      </c>
      <c r="C4485" s="11" t="s">
        <v>4503</v>
      </c>
      <c r="D4485" s="1" t="s">
        <v>2901</v>
      </c>
      <c r="E4485" s="1" t="s">
        <v>18</v>
      </c>
      <c r="F4485" s="1" t="str">
        <f aca="false">TEXT(B4485,"mmm-yyyy")</f>
        <v>Dec-2024</v>
      </c>
    </row>
    <row r="4486" customFormat="false" ht="57.75" hidden="false" customHeight="true" outlineLevel="0" collapsed="false">
      <c r="A4486" s="1" t="n">
        <v>5</v>
      </c>
      <c r="B4486" s="10" t="n">
        <v>45643</v>
      </c>
      <c r="C4486" s="11" t="s">
        <v>4504</v>
      </c>
      <c r="D4486" s="1" t="s">
        <v>2901</v>
      </c>
      <c r="E4486" s="1" t="s">
        <v>18</v>
      </c>
      <c r="F4486" s="1" t="str">
        <f aca="false">TEXT(B4486,"mmm-yyyy")</f>
        <v>Dec-2024</v>
      </c>
    </row>
    <row r="4487" customFormat="false" ht="101.25" hidden="false" customHeight="true" outlineLevel="0" collapsed="false">
      <c r="A4487" s="1" t="n">
        <v>1</v>
      </c>
      <c r="B4487" s="10" t="n">
        <v>45642</v>
      </c>
      <c r="C4487" s="11" t="s">
        <v>4505</v>
      </c>
      <c r="D4487" s="1" t="s">
        <v>2901</v>
      </c>
      <c r="E4487" s="1" t="s">
        <v>20</v>
      </c>
      <c r="F4487" s="1" t="str">
        <f aca="false">TEXT(B4487,"mmm-yyyy")</f>
        <v>Dec-2024</v>
      </c>
    </row>
    <row r="4488" customFormat="false" ht="57.75" hidden="false" customHeight="true" outlineLevel="0" collapsed="false">
      <c r="A4488" s="1" t="n">
        <v>1</v>
      </c>
      <c r="B4488" s="10" t="n">
        <v>45642</v>
      </c>
      <c r="C4488" s="11" t="s">
        <v>4506</v>
      </c>
      <c r="D4488" s="1" t="s">
        <v>2901</v>
      </c>
      <c r="E4488" s="1" t="s">
        <v>20</v>
      </c>
      <c r="F4488" s="1" t="str">
        <f aca="false">TEXT(B4488,"mmm-yyyy")</f>
        <v>Dec-2024</v>
      </c>
    </row>
    <row r="4489" customFormat="false" ht="43.5" hidden="false" customHeight="true" outlineLevel="0" collapsed="false">
      <c r="A4489" s="1" t="n">
        <v>5</v>
      </c>
      <c r="B4489" s="10" t="n">
        <v>45645</v>
      </c>
      <c r="C4489" s="11" t="s">
        <v>4507</v>
      </c>
      <c r="D4489" s="1" t="s">
        <v>2901</v>
      </c>
      <c r="E4489" s="1" t="s">
        <v>18</v>
      </c>
      <c r="F4489" s="1" t="str">
        <f aca="false">TEXT(B4489,"mmm-yyyy")</f>
        <v>Dec-2024</v>
      </c>
    </row>
    <row r="4490" customFormat="false" ht="130.5" hidden="false" customHeight="true" outlineLevel="0" collapsed="false">
      <c r="A4490" s="1" t="n">
        <v>1</v>
      </c>
      <c r="B4490" s="10" t="n">
        <v>45642</v>
      </c>
      <c r="C4490" s="11" t="s">
        <v>4508</v>
      </c>
      <c r="D4490" s="1" t="s">
        <v>2901</v>
      </c>
      <c r="E4490" s="1" t="s">
        <v>20</v>
      </c>
      <c r="F4490" s="1" t="str">
        <f aca="false">TEXT(B4490,"mmm-yyyy")</f>
        <v>Dec-2024</v>
      </c>
    </row>
    <row r="4491" customFormat="false" ht="57.75" hidden="false" customHeight="true" outlineLevel="0" collapsed="false">
      <c r="A4491" s="1" t="n">
        <v>2</v>
      </c>
      <c r="B4491" s="10" t="n">
        <v>45641</v>
      </c>
      <c r="C4491" s="11" t="s">
        <v>4509</v>
      </c>
      <c r="D4491" s="1" t="s">
        <v>2901</v>
      </c>
      <c r="E4491" s="1" t="s">
        <v>20</v>
      </c>
      <c r="F4491" s="1" t="str">
        <f aca="false">TEXT(B4491,"mmm-yyyy")</f>
        <v>Dec-2024</v>
      </c>
    </row>
    <row r="4492" customFormat="false" ht="57.75" hidden="false" customHeight="true" outlineLevel="0" collapsed="false">
      <c r="A4492" s="1" t="n">
        <v>1</v>
      </c>
      <c r="B4492" s="10" t="n">
        <v>45642</v>
      </c>
      <c r="C4492" s="11" t="s">
        <v>4510</v>
      </c>
      <c r="D4492" s="1" t="s">
        <v>2901</v>
      </c>
      <c r="E4492" s="1" t="s">
        <v>20</v>
      </c>
      <c r="F4492" s="1" t="str">
        <f aca="false">TEXT(B4492,"mmm-yyyy")</f>
        <v>Dec-2024</v>
      </c>
    </row>
    <row r="4493" customFormat="false" ht="115.5" hidden="false" customHeight="true" outlineLevel="0" collapsed="false">
      <c r="A4493" s="1" t="n">
        <v>1</v>
      </c>
      <c r="B4493" s="10" t="n">
        <v>45640</v>
      </c>
      <c r="C4493" s="11" t="s">
        <v>4511</v>
      </c>
      <c r="D4493" s="1" t="s">
        <v>2901</v>
      </c>
      <c r="E4493" s="1" t="s">
        <v>20</v>
      </c>
      <c r="F4493" s="1" t="str">
        <f aca="false">TEXT(B4493,"mmm-yyyy")</f>
        <v>Dec-2024</v>
      </c>
    </row>
    <row r="4494" customFormat="false" ht="43.5" hidden="false" customHeight="true" outlineLevel="0" collapsed="false">
      <c r="A4494" s="1" t="n">
        <v>5</v>
      </c>
      <c r="B4494" s="10" t="n">
        <v>45642</v>
      </c>
      <c r="C4494" s="11" t="s">
        <v>4512</v>
      </c>
      <c r="D4494" s="1" t="s">
        <v>2901</v>
      </c>
      <c r="E4494" s="1" t="s">
        <v>18</v>
      </c>
      <c r="F4494" s="1" t="str">
        <f aca="false">TEXT(B4494,"mmm-yyyy")</f>
        <v>Dec-2024</v>
      </c>
    </row>
    <row r="4495" customFormat="false" ht="57.75" hidden="false" customHeight="true" outlineLevel="0" collapsed="false">
      <c r="A4495" s="1" t="n">
        <v>2</v>
      </c>
      <c r="B4495" s="10" t="n">
        <v>45641</v>
      </c>
      <c r="C4495" s="11" t="s">
        <v>4513</v>
      </c>
      <c r="D4495" s="1" t="s">
        <v>2901</v>
      </c>
      <c r="E4495" s="1" t="s">
        <v>20</v>
      </c>
      <c r="F4495" s="1" t="str">
        <f aca="false">TEXT(B4495,"mmm-yyyy")</f>
        <v>Dec-2024</v>
      </c>
    </row>
    <row r="4496" customFormat="false" ht="57.75" hidden="false" customHeight="true" outlineLevel="0" collapsed="false">
      <c r="A4496" s="1" t="n">
        <v>1</v>
      </c>
      <c r="B4496" s="10" t="n">
        <v>45642</v>
      </c>
      <c r="C4496" s="11" t="s">
        <v>4514</v>
      </c>
      <c r="D4496" s="1" t="s">
        <v>2901</v>
      </c>
      <c r="E4496" s="1" t="s">
        <v>20</v>
      </c>
      <c r="F4496" s="1" t="str">
        <f aca="false">TEXT(B4496,"mmm-yyyy")</f>
        <v>Dec-2024</v>
      </c>
    </row>
    <row r="4497" customFormat="false" ht="144.75" hidden="false" customHeight="true" outlineLevel="0" collapsed="false">
      <c r="A4497" s="1" t="n">
        <v>5</v>
      </c>
      <c r="B4497" s="10" t="n">
        <v>45642</v>
      </c>
      <c r="C4497" s="11" t="s">
        <v>4515</v>
      </c>
      <c r="D4497" s="1" t="s">
        <v>2901</v>
      </c>
      <c r="E4497" s="1" t="s">
        <v>18</v>
      </c>
      <c r="F4497" s="1" t="str">
        <f aca="false">TEXT(B4497,"mmm-yyyy")</f>
        <v>Dec-2024</v>
      </c>
    </row>
    <row r="4498" customFormat="false" ht="101.25" hidden="false" customHeight="true" outlineLevel="0" collapsed="false">
      <c r="A4498" s="1" t="n">
        <v>1</v>
      </c>
      <c r="B4498" s="10" t="n">
        <v>45641</v>
      </c>
      <c r="C4498" s="11" t="s">
        <v>4516</v>
      </c>
      <c r="D4498" s="1" t="s">
        <v>2901</v>
      </c>
      <c r="E4498" s="1" t="s">
        <v>18</v>
      </c>
      <c r="F4498" s="1" t="str">
        <f aca="false">TEXT(B4498,"mmm-yyyy")</f>
        <v>Dec-2024</v>
      </c>
    </row>
    <row r="4499" customFormat="false" ht="57.75" hidden="false" customHeight="true" outlineLevel="0" collapsed="false">
      <c r="A4499" s="1" t="n">
        <v>2</v>
      </c>
      <c r="B4499" s="10" t="n">
        <v>45656</v>
      </c>
      <c r="C4499" s="11" t="s">
        <v>4517</v>
      </c>
      <c r="D4499" s="1" t="s">
        <v>2901</v>
      </c>
      <c r="E4499" s="1" t="s">
        <v>20</v>
      </c>
      <c r="F4499" s="1" t="str">
        <f aca="false">TEXT(B4499,"mmm-yyyy")</f>
        <v>Dec-2024</v>
      </c>
    </row>
    <row r="4500" customFormat="false" ht="43.5" hidden="false" customHeight="true" outlineLevel="0" collapsed="false">
      <c r="A4500" s="1" t="n">
        <v>1</v>
      </c>
      <c r="B4500" s="10" t="n">
        <v>45615</v>
      </c>
      <c r="C4500" s="11" t="s">
        <v>4518</v>
      </c>
      <c r="D4500" s="1" t="s">
        <v>2901</v>
      </c>
      <c r="E4500" s="1" t="s">
        <v>20</v>
      </c>
      <c r="F4500" s="1" t="str">
        <f aca="false">TEXT(B4500,"mmm-yyyy")</f>
        <v>Nov-2024</v>
      </c>
    </row>
    <row r="4501" customFormat="false" ht="57.75" hidden="false" customHeight="true" outlineLevel="0" collapsed="false">
      <c r="A4501" s="1" t="n">
        <v>1</v>
      </c>
      <c r="B4501" s="10" t="n">
        <v>45599</v>
      </c>
      <c r="C4501" s="11" t="s">
        <v>4519</v>
      </c>
      <c r="D4501" s="1" t="s">
        <v>2901</v>
      </c>
      <c r="E4501" s="1" t="s">
        <v>18</v>
      </c>
      <c r="F4501" s="1" t="str">
        <f aca="false">TEXT(B4501,"mmm-yyyy")</f>
        <v>Nov-2024</v>
      </c>
    </row>
    <row r="4502" customFormat="false" ht="101.25" hidden="false" customHeight="true" outlineLevel="0" collapsed="false">
      <c r="A4502" s="1" t="n">
        <v>1</v>
      </c>
      <c r="B4502" s="10" t="n">
        <v>45630</v>
      </c>
      <c r="C4502" s="11" t="s">
        <v>4520</v>
      </c>
      <c r="D4502" s="1" t="s">
        <v>2901</v>
      </c>
      <c r="E4502" s="1" t="s">
        <v>20</v>
      </c>
      <c r="F4502" s="1" t="str">
        <f aca="false">TEXT(B4502,"mmm-yyyy")</f>
        <v>Dec-2024</v>
      </c>
    </row>
    <row r="4503" customFormat="false" ht="72" hidden="false" customHeight="true" outlineLevel="0" collapsed="false">
      <c r="A4503" s="1" t="n">
        <v>1</v>
      </c>
      <c r="B4503" s="10" t="n">
        <v>45614</v>
      </c>
      <c r="C4503" s="11" t="s">
        <v>4521</v>
      </c>
      <c r="D4503" s="1" t="s">
        <v>2901</v>
      </c>
      <c r="E4503" s="1" t="s">
        <v>20</v>
      </c>
      <c r="F4503" s="1" t="str">
        <f aca="false">TEXT(B4503,"mmm-yyyy")</f>
        <v>Nov-2024</v>
      </c>
    </row>
    <row r="4504" customFormat="false" ht="43.5" hidden="false" customHeight="true" outlineLevel="0" collapsed="false">
      <c r="A4504" s="1" t="n">
        <v>1</v>
      </c>
      <c r="B4504" s="10" t="n">
        <v>45627</v>
      </c>
      <c r="C4504" s="11" t="s">
        <v>4522</v>
      </c>
      <c r="D4504" s="1" t="s">
        <v>2901</v>
      </c>
      <c r="E4504" s="1" t="s">
        <v>20</v>
      </c>
      <c r="F4504" s="1" t="str">
        <f aca="false">TEXT(B4504,"mmm-yyyy")</f>
        <v>Dec-2024</v>
      </c>
    </row>
    <row r="4505" customFormat="false" ht="130.5" hidden="false" customHeight="true" outlineLevel="0" collapsed="false">
      <c r="A4505" s="1" t="n">
        <v>5</v>
      </c>
      <c r="B4505" s="10" t="n">
        <v>45576</v>
      </c>
      <c r="C4505" s="11" t="s">
        <v>4523</v>
      </c>
      <c r="D4505" s="1" t="s">
        <v>2901</v>
      </c>
      <c r="E4505" s="1" t="s">
        <v>18</v>
      </c>
      <c r="F4505" s="1" t="str">
        <f aca="false">TEXT(B4505,"mmm-yyyy")</f>
        <v>Oct-2024</v>
      </c>
    </row>
    <row r="4506" customFormat="false" ht="57.75" hidden="false" customHeight="true" outlineLevel="0" collapsed="false">
      <c r="A4506" s="1" t="n">
        <v>1</v>
      </c>
      <c r="B4506" s="10" t="n">
        <v>45605</v>
      </c>
      <c r="C4506" s="11" t="s">
        <v>4524</v>
      </c>
      <c r="D4506" s="1" t="s">
        <v>2901</v>
      </c>
      <c r="E4506" s="1" t="s">
        <v>20</v>
      </c>
      <c r="F4506" s="1" t="str">
        <f aca="false">TEXT(B4506,"mmm-yyyy")</f>
        <v>Nov-2024</v>
      </c>
    </row>
    <row r="4507" customFormat="false" ht="87" hidden="false" customHeight="true" outlineLevel="0" collapsed="false">
      <c r="A4507" s="1" t="n">
        <v>1</v>
      </c>
      <c r="B4507" s="10" t="n">
        <v>45637</v>
      </c>
      <c r="C4507" s="11" t="s">
        <v>4525</v>
      </c>
      <c r="D4507" s="1" t="s">
        <v>2901</v>
      </c>
      <c r="E4507" s="1" t="s">
        <v>18</v>
      </c>
      <c r="F4507" s="1" t="str">
        <f aca="false">TEXT(B4507,"mmm-yyyy")</f>
        <v>Dec-2024</v>
      </c>
    </row>
    <row r="4508" customFormat="false" ht="57.75" hidden="false" customHeight="true" outlineLevel="0" collapsed="false">
      <c r="A4508" s="1" t="n">
        <v>1</v>
      </c>
      <c r="B4508" s="10" t="n">
        <v>45585</v>
      </c>
      <c r="C4508" s="11" t="s">
        <v>4526</v>
      </c>
      <c r="D4508" s="1" t="s">
        <v>2901</v>
      </c>
      <c r="E4508" s="1" t="s">
        <v>18</v>
      </c>
      <c r="F4508" s="1" t="str">
        <f aca="false">TEXT(B4508,"mmm-yyyy")</f>
        <v>Oct-2024</v>
      </c>
    </row>
    <row r="4509" customFormat="false" ht="72" hidden="false" customHeight="true" outlineLevel="0" collapsed="false">
      <c r="A4509" s="1" t="n">
        <v>1</v>
      </c>
      <c r="B4509" s="10" t="n">
        <v>45647</v>
      </c>
      <c r="C4509" s="11" t="s">
        <v>4527</v>
      </c>
      <c r="D4509" s="1" t="s">
        <v>2901</v>
      </c>
      <c r="E4509" s="1" t="s">
        <v>20</v>
      </c>
      <c r="F4509" s="1" t="str">
        <f aca="false">TEXT(B4509,"mmm-yyyy")</f>
        <v>Dec-2024</v>
      </c>
    </row>
    <row r="4510" customFormat="false" ht="57.75" hidden="false" customHeight="true" outlineLevel="0" collapsed="false">
      <c r="A4510" s="1" t="n">
        <v>1</v>
      </c>
      <c r="B4510" s="10" t="n">
        <v>45621</v>
      </c>
      <c r="C4510" s="11" t="s">
        <v>4528</v>
      </c>
      <c r="D4510" s="1" t="s">
        <v>2901</v>
      </c>
      <c r="E4510" s="1" t="s">
        <v>20</v>
      </c>
      <c r="F4510" s="1" t="str">
        <f aca="false">TEXT(B4510,"mmm-yyyy")</f>
        <v>Nov-2024</v>
      </c>
    </row>
    <row r="4511" customFormat="false" ht="101.25" hidden="false" customHeight="true" outlineLevel="0" collapsed="false">
      <c r="A4511" s="1" t="n">
        <v>1</v>
      </c>
      <c r="B4511" s="10" t="n">
        <v>45611</v>
      </c>
      <c r="C4511" s="11" t="s">
        <v>4529</v>
      </c>
      <c r="D4511" s="1" t="s">
        <v>2901</v>
      </c>
      <c r="E4511" s="1" t="s">
        <v>20</v>
      </c>
      <c r="F4511" s="1" t="str">
        <f aca="false">TEXT(B4511,"mmm-yyyy")</f>
        <v>Nov-2024</v>
      </c>
    </row>
    <row r="4512" customFormat="false" ht="57.75" hidden="false" customHeight="true" outlineLevel="0" collapsed="false">
      <c r="A4512" s="1" t="n">
        <v>1</v>
      </c>
      <c r="B4512" s="10" t="n">
        <v>45603</v>
      </c>
      <c r="C4512" s="11" t="s">
        <v>4530</v>
      </c>
      <c r="D4512" s="1" t="s">
        <v>2901</v>
      </c>
      <c r="E4512" s="1" t="s">
        <v>20</v>
      </c>
      <c r="F4512" s="1" t="str">
        <f aca="false">TEXT(B4512,"mmm-yyyy")</f>
        <v>Nov-2024</v>
      </c>
    </row>
    <row r="4513" customFormat="false" ht="72" hidden="false" customHeight="true" outlineLevel="0" collapsed="false">
      <c r="A4513" s="1" t="n">
        <v>1</v>
      </c>
      <c r="B4513" s="10" t="n">
        <v>45612</v>
      </c>
      <c r="C4513" s="11" t="s">
        <v>4531</v>
      </c>
      <c r="D4513" s="1" t="s">
        <v>2901</v>
      </c>
      <c r="E4513" s="1" t="s">
        <v>18</v>
      </c>
      <c r="F4513" s="1" t="str">
        <f aca="false">TEXT(B4513,"mmm-yyyy")</f>
        <v>Nov-2024</v>
      </c>
    </row>
    <row r="4514" customFormat="false" ht="57.75" hidden="false" customHeight="true" outlineLevel="0" collapsed="false">
      <c r="A4514" s="1" t="n">
        <v>1</v>
      </c>
      <c r="B4514" s="10" t="n">
        <v>45626</v>
      </c>
      <c r="C4514" s="11" t="s">
        <v>4532</v>
      </c>
      <c r="D4514" s="1" t="s">
        <v>2901</v>
      </c>
      <c r="E4514" s="1" t="s">
        <v>18</v>
      </c>
      <c r="F4514" s="1" t="str">
        <f aca="false">TEXT(B4514,"mmm-yyyy")</f>
        <v>Nov-2024</v>
      </c>
    </row>
    <row r="4515" customFormat="false" ht="43.5" hidden="false" customHeight="true" outlineLevel="0" collapsed="false">
      <c r="A4515" s="1" t="n">
        <v>1</v>
      </c>
      <c r="B4515" s="10" t="n">
        <v>45626</v>
      </c>
      <c r="C4515" s="11" t="s">
        <v>4533</v>
      </c>
      <c r="D4515" s="1" t="s">
        <v>2901</v>
      </c>
      <c r="E4515" s="1" t="s">
        <v>20</v>
      </c>
      <c r="F4515" s="1" t="str">
        <f aca="false">TEXT(B4515,"mmm-yyyy")</f>
        <v>Nov-2024</v>
      </c>
    </row>
    <row r="4516" customFormat="false" ht="72" hidden="false" customHeight="true" outlineLevel="0" collapsed="false">
      <c r="A4516" s="1" t="n">
        <v>5</v>
      </c>
      <c r="B4516" s="10" t="n">
        <v>45618</v>
      </c>
      <c r="C4516" s="11" t="s">
        <v>4534</v>
      </c>
      <c r="D4516" s="1" t="s">
        <v>2901</v>
      </c>
      <c r="E4516" s="1" t="s">
        <v>20</v>
      </c>
      <c r="F4516" s="1" t="str">
        <f aca="false">TEXT(B4516,"mmm-yyyy")</f>
        <v>Nov-2024</v>
      </c>
    </row>
    <row r="4517" customFormat="false" ht="72" hidden="false" customHeight="true" outlineLevel="0" collapsed="false">
      <c r="A4517" s="1" t="n">
        <v>5</v>
      </c>
      <c r="B4517" s="10" t="n">
        <v>45604</v>
      </c>
      <c r="C4517" s="11" t="s">
        <v>4535</v>
      </c>
      <c r="D4517" s="1" t="s">
        <v>2901</v>
      </c>
      <c r="E4517" s="1" t="s">
        <v>18</v>
      </c>
      <c r="F4517" s="1" t="str">
        <f aca="false">TEXT(B4517,"mmm-yyyy")</f>
        <v>Nov-2024</v>
      </c>
    </row>
    <row r="4518" customFormat="false" ht="130.5" hidden="false" customHeight="true" outlineLevel="0" collapsed="false">
      <c r="A4518" s="1" t="n">
        <v>1</v>
      </c>
      <c r="B4518" s="10" t="n">
        <v>45596</v>
      </c>
      <c r="C4518" s="11" t="s">
        <v>4536</v>
      </c>
      <c r="D4518" s="1" t="s">
        <v>2901</v>
      </c>
      <c r="E4518" s="1" t="s">
        <v>20</v>
      </c>
      <c r="F4518" s="1" t="str">
        <f aca="false">TEXT(B4518,"mmm-yyyy")</f>
        <v>Oct-2024</v>
      </c>
    </row>
    <row r="4519" customFormat="false" ht="72" hidden="false" customHeight="true" outlineLevel="0" collapsed="false">
      <c r="A4519" s="1" t="n">
        <v>1</v>
      </c>
      <c r="B4519" s="10" t="n">
        <v>45604</v>
      </c>
      <c r="C4519" s="11" t="s">
        <v>4537</v>
      </c>
      <c r="D4519" s="1" t="s">
        <v>2901</v>
      </c>
      <c r="E4519" s="1" t="s">
        <v>20</v>
      </c>
      <c r="F4519" s="1" t="str">
        <f aca="false">TEXT(B4519,"mmm-yyyy")</f>
        <v>Nov-2024</v>
      </c>
    </row>
    <row r="4520" customFormat="false" ht="87" hidden="false" customHeight="true" outlineLevel="0" collapsed="false">
      <c r="A4520" s="1" t="n">
        <v>1</v>
      </c>
      <c r="B4520" s="10" t="n">
        <v>45615</v>
      </c>
      <c r="C4520" s="11" t="s">
        <v>4538</v>
      </c>
      <c r="D4520" s="1" t="s">
        <v>2901</v>
      </c>
      <c r="E4520" s="1" t="s">
        <v>20</v>
      </c>
      <c r="F4520" s="1" t="str">
        <f aca="false">TEXT(B4520,"mmm-yyyy")</f>
        <v>Nov-2024</v>
      </c>
    </row>
    <row r="4521" customFormat="false" ht="72" hidden="false" customHeight="true" outlineLevel="0" collapsed="false">
      <c r="A4521" s="1" t="n">
        <v>5</v>
      </c>
      <c r="B4521" s="10" t="n">
        <v>45648</v>
      </c>
      <c r="C4521" s="11" t="s">
        <v>4539</v>
      </c>
      <c r="D4521" s="1" t="s">
        <v>2901</v>
      </c>
      <c r="E4521" s="1" t="s">
        <v>18</v>
      </c>
      <c r="F4521" s="1" t="str">
        <f aca="false">TEXT(B4521,"mmm-yyyy")</f>
        <v>Dec-2024</v>
      </c>
    </row>
    <row r="4522" customFormat="false" ht="57.75" hidden="false" customHeight="true" outlineLevel="0" collapsed="false">
      <c r="A4522" s="1" t="n">
        <v>5</v>
      </c>
      <c r="B4522" s="10" t="n">
        <v>45612</v>
      </c>
      <c r="C4522" s="11" t="s">
        <v>4540</v>
      </c>
      <c r="D4522" s="1" t="s">
        <v>2901</v>
      </c>
      <c r="E4522" s="1" t="s">
        <v>18</v>
      </c>
      <c r="F4522" s="1" t="str">
        <f aca="false">TEXT(B4522,"mmm-yyyy")</f>
        <v>Nov-2024</v>
      </c>
    </row>
    <row r="4523" customFormat="false" ht="57.75" hidden="false" customHeight="true" outlineLevel="0" collapsed="false">
      <c r="A4523" s="1" t="n">
        <v>1</v>
      </c>
      <c r="B4523" s="10" t="n">
        <v>45607</v>
      </c>
      <c r="C4523" s="11" t="s">
        <v>4541</v>
      </c>
      <c r="D4523" s="1" t="s">
        <v>2901</v>
      </c>
      <c r="E4523" s="1" t="s">
        <v>20</v>
      </c>
      <c r="F4523" s="1" t="str">
        <f aca="false">TEXT(B4523,"mmm-yyyy")</f>
        <v>Nov-2024</v>
      </c>
    </row>
    <row r="4524" customFormat="false" ht="87" hidden="false" customHeight="true" outlineLevel="0" collapsed="false">
      <c r="A4524" s="1" t="n">
        <v>2</v>
      </c>
      <c r="B4524" s="10" t="n">
        <v>45634</v>
      </c>
      <c r="C4524" s="11" t="s">
        <v>4542</v>
      </c>
      <c r="D4524" s="1" t="s">
        <v>2901</v>
      </c>
      <c r="E4524" s="1" t="s">
        <v>18</v>
      </c>
      <c r="F4524" s="1" t="str">
        <f aca="false">TEXT(B4524,"mmm-yyyy")</f>
        <v>Dec-2024</v>
      </c>
    </row>
    <row r="4525" customFormat="false" ht="72" hidden="false" customHeight="true" outlineLevel="0" collapsed="false">
      <c r="A4525" s="1" t="n">
        <v>1</v>
      </c>
      <c r="B4525" s="10" t="n">
        <v>45644</v>
      </c>
      <c r="C4525" s="11" t="s">
        <v>4543</v>
      </c>
      <c r="D4525" s="1" t="s">
        <v>2901</v>
      </c>
      <c r="E4525" s="1" t="s">
        <v>18</v>
      </c>
      <c r="F4525" s="1" t="str">
        <f aca="false">TEXT(B4525,"mmm-yyyy")</f>
        <v>Dec-2024</v>
      </c>
    </row>
    <row r="4526" customFormat="false" ht="87" hidden="false" customHeight="true" outlineLevel="0" collapsed="false">
      <c r="A4526" s="1" t="n">
        <v>1</v>
      </c>
      <c r="B4526" s="10" t="n">
        <v>45599</v>
      </c>
      <c r="C4526" s="11" t="s">
        <v>4544</v>
      </c>
      <c r="D4526" s="1" t="s">
        <v>2901</v>
      </c>
      <c r="E4526" s="1" t="s">
        <v>20</v>
      </c>
      <c r="F4526" s="1" t="str">
        <f aca="false">TEXT(B4526,"mmm-yyyy")</f>
        <v>Nov-2024</v>
      </c>
    </row>
    <row r="4527" customFormat="false" ht="72" hidden="false" customHeight="true" outlineLevel="0" collapsed="false">
      <c r="A4527" s="1" t="n">
        <v>2</v>
      </c>
      <c r="B4527" s="10" t="n">
        <v>45601</v>
      </c>
      <c r="C4527" s="11" t="s">
        <v>4545</v>
      </c>
      <c r="D4527" s="1" t="s">
        <v>2901</v>
      </c>
      <c r="E4527" s="1" t="s">
        <v>20</v>
      </c>
      <c r="F4527" s="1" t="str">
        <f aca="false">TEXT(B4527,"mmm-yyyy")</f>
        <v>Nov-2024</v>
      </c>
    </row>
    <row r="4528" customFormat="false" ht="72" hidden="false" customHeight="true" outlineLevel="0" collapsed="false">
      <c r="A4528" s="1" t="n">
        <v>1</v>
      </c>
      <c r="B4528" s="10" t="n">
        <v>45579</v>
      </c>
      <c r="C4528" s="11" t="s">
        <v>4546</v>
      </c>
      <c r="D4528" s="1" t="s">
        <v>2901</v>
      </c>
      <c r="E4528" s="1" t="s">
        <v>20</v>
      </c>
      <c r="F4528" s="1" t="str">
        <f aca="false">TEXT(B4528,"mmm-yyyy")</f>
        <v>Oct-2024</v>
      </c>
    </row>
    <row r="4529" customFormat="false" ht="72" hidden="false" customHeight="true" outlineLevel="0" collapsed="false">
      <c r="A4529" s="1" t="n">
        <v>1</v>
      </c>
      <c r="B4529" s="10" t="n">
        <v>45625</v>
      </c>
      <c r="C4529" s="11" t="s">
        <v>4547</v>
      </c>
      <c r="D4529" s="1" t="s">
        <v>2901</v>
      </c>
      <c r="E4529" s="1" t="s">
        <v>18</v>
      </c>
      <c r="F4529" s="1" t="str">
        <f aca="false">TEXT(B4529,"mmm-yyyy")</f>
        <v>Nov-2024</v>
      </c>
    </row>
    <row r="4530" customFormat="false" ht="72" hidden="false" customHeight="true" outlineLevel="0" collapsed="false">
      <c r="A4530" s="1" t="n">
        <v>1</v>
      </c>
      <c r="B4530" s="10" t="n">
        <v>45608</v>
      </c>
      <c r="C4530" s="11" t="s">
        <v>4548</v>
      </c>
      <c r="D4530" s="1" t="s">
        <v>2901</v>
      </c>
      <c r="E4530" s="1" t="s">
        <v>20</v>
      </c>
      <c r="F4530" s="1" t="str">
        <f aca="false">TEXT(B4530,"mmm-yyyy")</f>
        <v>Nov-2024</v>
      </c>
    </row>
    <row r="4531" customFormat="false" ht="87" hidden="false" customHeight="true" outlineLevel="0" collapsed="false">
      <c r="A4531" s="1" t="n">
        <v>1</v>
      </c>
      <c r="B4531" s="10" t="n">
        <v>45606</v>
      </c>
      <c r="C4531" s="11" t="s">
        <v>4549</v>
      </c>
      <c r="D4531" s="1" t="s">
        <v>2901</v>
      </c>
      <c r="E4531" s="1" t="s">
        <v>20</v>
      </c>
      <c r="F4531" s="1" t="str">
        <f aca="false">TEXT(B4531,"mmm-yyyy")</f>
        <v>Nov-2024</v>
      </c>
    </row>
    <row r="4532" customFormat="false" ht="72" hidden="false" customHeight="true" outlineLevel="0" collapsed="false">
      <c r="A4532" s="1" t="n">
        <v>1</v>
      </c>
      <c r="B4532" s="10" t="n">
        <v>45584</v>
      </c>
      <c r="C4532" s="11" t="s">
        <v>4550</v>
      </c>
      <c r="D4532" s="1" t="s">
        <v>2901</v>
      </c>
      <c r="E4532" s="1" t="s">
        <v>18</v>
      </c>
      <c r="F4532" s="1" t="str">
        <f aca="false">TEXT(B4532,"mmm-yyyy")</f>
        <v>Oct-2024</v>
      </c>
    </row>
    <row r="4533" customFormat="false" ht="57.75" hidden="false" customHeight="true" outlineLevel="0" collapsed="false">
      <c r="A4533" s="1" t="n">
        <v>3</v>
      </c>
      <c r="B4533" s="10" t="n">
        <v>45606</v>
      </c>
      <c r="C4533" s="11" t="s">
        <v>4551</v>
      </c>
      <c r="D4533" s="1" t="s">
        <v>2901</v>
      </c>
      <c r="E4533" s="1" t="s">
        <v>18</v>
      </c>
      <c r="F4533" s="1" t="str">
        <f aca="false">TEXT(B4533,"mmm-yyyy")</f>
        <v>Nov-2024</v>
      </c>
    </row>
    <row r="4534" customFormat="false" ht="130.5" hidden="false" customHeight="true" outlineLevel="0" collapsed="false">
      <c r="A4534" s="1" t="n">
        <v>1</v>
      </c>
      <c r="B4534" s="10" t="n">
        <v>45584</v>
      </c>
      <c r="C4534" s="11" t="s">
        <v>4552</v>
      </c>
      <c r="D4534" s="1" t="s">
        <v>2901</v>
      </c>
      <c r="E4534" s="1" t="s">
        <v>20</v>
      </c>
      <c r="F4534" s="1" t="str">
        <f aca="false">TEXT(B4534,"mmm-yyyy")</f>
        <v>Oct-2024</v>
      </c>
    </row>
    <row r="4535" customFormat="false" ht="57.75" hidden="false" customHeight="true" outlineLevel="0" collapsed="false">
      <c r="A4535" s="1" t="n">
        <v>4</v>
      </c>
      <c r="B4535" s="10" t="n">
        <v>45628</v>
      </c>
      <c r="C4535" s="11" t="s">
        <v>4553</v>
      </c>
      <c r="D4535" s="1" t="s">
        <v>2901</v>
      </c>
      <c r="E4535" s="1" t="s">
        <v>18</v>
      </c>
      <c r="F4535" s="1" t="str">
        <f aca="false">TEXT(B4535,"mmm-yyyy")</f>
        <v>Dec-2024</v>
      </c>
    </row>
    <row r="4536" customFormat="false" ht="57.75" hidden="false" customHeight="true" outlineLevel="0" collapsed="false">
      <c r="A4536" s="1" t="n">
        <v>1</v>
      </c>
      <c r="B4536" s="10" t="n">
        <v>45652</v>
      </c>
      <c r="C4536" s="11" t="s">
        <v>4554</v>
      </c>
      <c r="D4536" s="1" t="s">
        <v>2901</v>
      </c>
      <c r="E4536" s="1" t="s">
        <v>20</v>
      </c>
      <c r="F4536" s="1" t="str">
        <f aca="false">TEXT(B4536,"mmm-yyyy")</f>
        <v>Dec-2024</v>
      </c>
    </row>
    <row r="4537" customFormat="false" ht="130.5" hidden="false" customHeight="true" outlineLevel="0" collapsed="false">
      <c r="A4537" s="1" t="n">
        <v>1</v>
      </c>
      <c r="B4537" s="10" t="n">
        <v>45575</v>
      </c>
      <c r="C4537" s="11" t="s">
        <v>4555</v>
      </c>
      <c r="D4537" s="1" t="s">
        <v>2901</v>
      </c>
      <c r="E4537" s="1" t="s">
        <v>20</v>
      </c>
      <c r="F4537" s="1" t="str">
        <f aca="false">TEXT(B4537,"mmm-yyyy")</f>
        <v>Oct-2024</v>
      </c>
    </row>
    <row r="4538" customFormat="false" ht="57.75" hidden="false" customHeight="true" outlineLevel="0" collapsed="false">
      <c r="A4538" s="1" t="n">
        <v>1</v>
      </c>
      <c r="B4538" s="10" t="n">
        <v>45605</v>
      </c>
      <c r="C4538" s="11" t="s">
        <v>4556</v>
      </c>
      <c r="D4538" s="1" t="s">
        <v>2901</v>
      </c>
      <c r="E4538" s="1" t="s">
        <v>20</v>
      </c>
      <c r="F4538" s="1" t="str">
        <f aca="false">TEXT(B4538,"mmm-yyyy")</f>
        <v>Nov-2024</v>
      </c>
    </row>
    <row r="4539" customFormat="false" ht="87" hidden="false" customHeight="true" outlineLevel="0" collapsed="false">
      <c r="A4539" s="1" t="n">
        <v>1</v>
      </c>
      <c r="B4539" s="10" t="n">
        <v>45623</v>
      </c>
      <c r="C4539" s="11" t="s">
        <v>4557</v>
      </c>
      <c r="D4539" s="1" t="s">
        <v>2901</v>
      </c>
      <c r="E4539" s="1" t="s">
        <v>20</v>
      </c>
      <c r="F4539" s="1" t="str">
        <f aca="false">TEXT(B4539,"mmm-yyyy")</f>
        <v>Nov-2024</v>
      </c>
    </row>
    <row r="4540" customFormat="false" ht="72" hidden="false" customHeight="true" outlineLevel="0" collapsed="false">
      <c r="A4540" s="1" t="n">
        <v>1</v>
      </c>
      <c r="B4540" s="10" t="n">
        <v>45613</v>
      </c>
      <c r="C4540" s="11" t="s">
        <v>4558</v>
      </c>
      <c r="D4540" s="1" t="s">
        <v>2901</v>
      </c>
      <c r="E4540" s="1" t="s">
        <v>20</v>
      </c>
      <c r="F4540" s="1" t="str">
        <f aca="false">TEXT(B4540,"mmm-yyyy")</f>
        <v>Nov-2024</v>
      </c>
    </row>
    <row r="4541" customFormat="false" ht="57.75" hidden="false" customHeight="true" outlineLevel="0" collapsed="false">
      <c r="A4541" s="1" t="n">
        <v>1</v>
      </c>
      <c r="B4541" s="10" t="n">
        <v>45613</v>
      </c>
      <c r="C4541" s="11" t="s">
        <v>4559</v>
      </c>
      <c r="D4541" s="1" t="s">
        <v>2901</v>
      </c>
      <c r="E4541" s="1" t="s">
        <v>20</v>
      </c>
      <c r="F4541" s="1" t="str">
        <f aca="false">TEXT(B4541,"mmm-yyyy")</f>
        <v>Nov-2024</v>
      </c>
    </row>
    <row r="4542" customFormat="false" ht="130.5" hidden="false" customHeight="true" outlineLevel="0" collapsed="false">
      <c r="A4542" s="1" t="n">
        <v>1</v>
      </c>
      <c r="B4542" s="10" t="n">
        <v>45629</v>
      </c>
      <c r="C4542" s="11" t="s">
        <v>4560</v>
      </c>
      <c r="D4542" s="1" t="s">
        <v>2901</v>
      </c>
      <c r="E4542" s="1" t="s">
        <v>18</v>
      </c>
      <c r="F4542" s="1" t="str">
        <f aca="false">TEXT(B4542,"mmm-yyyy")</f>
        <v>Dec-2024</v>
      </c>
    </row>
    <row r="4543" customFormat="false" ht="87" hidden="false" customHeight="true" outlineLevel="0" collapsed="false">
      <c r="A4543" s="1" t="n">
        <v>1</v>
      </c>
      <c r="B4543" s="10" t="n">
        <v>45593</v>
      </c>
      <c r="C4543" s="11" t="s">
        <v>4561</v>
      </c>
      <c r="D4543" s="1" t="s">
        <v>2901</v>
      </c>
      <c r="E4543" s="1" t="s">
        <v>20</v>
      </c>
      <c r="F4543" s="1" t="str">
        <f aca="false">TEXT(B4543,"mmm-yyyy")</f>
        <v>Oct-2024</v>
      </c>
    </row>
    <row r="4544" customFormat="false" ht="130.5" hidden="false" customHeight="true" outlineLevel="0" collapsed="false">
      <c r="A4544" s="1" t="n">
        <v>1</v>
      </c>
      <c r="B4544" s="10" t="n">
        <v>45606</v>
      </c>
      <c r="C4544" s="11" t="s">
        <v>4562</v>
      </c>
      <c r="D4544" s="1" t="s">
        <v>2901</v>
      </c>
      <c r="E4544" s="1" t="s">
        <v>20</v>
      </c>
      <c r="F4544" s="1" t="str">
        <f aca="false">TEXT(B4544,"mmm-yyyy")</f>
        <v>Nov-2024</v>
      </c>
    </row>
    <row r="4545" customFormat="false" ht="72" hidden="false" customHeight="true" outlineLevel="0" collapsed="false">
      <c r="A4545" s="1" t="n">
        <v>1</v>
      </c>
      <c r="B4545" s="10" t="n">
        <v>45643</v>
      </c>
      <c r="C4545" s="11" t="s">
        <v>4563</v>
      </c>
      <c r="D4545" s="1" t="s">
        <v>2901</v>
      </c>
      <c r="E4545" s="1" t="s">
        <v>20</v>
      </c>
      <c r="F4545" s="1" t="str">
        <f aca="false">TEXT(B4545,"mmm-yyyy")</f>
        <v>Dec-2024</v>
      </c>
    </row>
    <row r="4546" customFormat="false" ht="43.5" hidden="false" customHeight="true" outlineLevel="0" collapsed="false">
      <c r="A4546" s="1" t="n">
        <v>5</v>
      </c>
      <c r="B4546" s="10" t="n">
        <v>45597</v>
      </c>
      <c r="C4546" s="11" t="s">
        <v>4564</v>
      </c>
      <c r="D4546" s="1" t="s">
        <v>2901</v>
      </c>
      <c r="E4546" s="1" t="s">
        <v>18</v>
      </c>
      <c r="F4546" s="1" t="str">
        <f aca="false">TEXT(B4546,"mmm-yyyy")</f>
        <v>Nov-2024</v>
      </c>
    </row>
    <row r="4547" customFormat="false" ht="101.25" hidden="false" customHeight="true" outlineLevel="0" collapsed="false">
      <c r="A4547" s="1" t="n">
        <v>1</v>
      </c>
      <c r="B4547" s="10" t="n">
        <v>45632</v>
      </c>
      <c r="C4547" s="11" t="s">
        <v>4565</v>
      </c>
      <c r="D4547" s="1" t="s">
        <v>2901</v>
      </c>
      <c r="E4547" s="1" t="s">
        <v>20</v>
      </c>
      <c r="F4547" s="1" t="str">
        <f aca="false">TEXT(B4547,"mmm-yyyy")</f>
        <v>Dec-2024</v>
      </c>
    </row>
    <row r="4548" customFormat="false" ht="43.5" hidden="false" customHeight="true" outlineLevel="0" collapsed="false">
      <c r="A4548" s="1" t="n">
        <v>4</v>
      </c>
      <c r="B4548" s="10" t="n">
        <v>45591</v>
      </c>
      <c r="C4548" s="11" t="s">
        <v>4566</v>
      </c>
      <c r="D4548" s="1" t="s">
        <v>2901</v>
      </c>
      <c r="E4548" s="1" t="s">
        <v>18</v>
      </c>
      <c r="F4548" s="1" t="str">
        <f aca="false">TEXT(B4548,"mmm-yyyy")</f>
        <v>Oct-2024</v>
      </c>
    </row>
    <row r="4549" customFormat="false" ht="57.75" hidden="false" customHeight="true" outlineLevel="0" collapsed="false">
      <c r="A4549" s="1" t="n">
        <v>1</v>
      </c>
      <c r="B4549" s="10" t="n">
        <v>45587</v>
      </c>
      <c r="C4549" s="11" t="s">
        <v>4567</v>
      </c>
      <c r="D4549" s="1" t="s">
        <v>2901</v>
      </c>
      <c r="E4549" s="1" t="s">
        <v>20</v>
      </c>
      <c r="F4549" s="1" t="str">
        <f aca="false">TEXT(B4549,"mmm-yyyy")</f>
        <v>Oct-2024</v>
      </c>
    </row>
    <row r="4550" customFormat="false" ht="130.5" hidden="false" customHeight="true" outlineLevel="0" collapsed="false">
      <c r="A4550" s="1" t="n">
        <v>1</v>
      </c>
      <c r="B4550" s="10" t="n">
        <v>45613</v>
      </c>
      <c r="C4550" s="11" t="s">
        <v>4568</v>
      </c>
      <c r="D4550" s="1" t="s">
        <v>2901</v>
      </c>
      <c r="E4550" s="1" t="s">
        <v>18</v>
      </c>
      <c r="F4550" s="1" t="str">
        <f aca="false">TEXT(B4550,"mmm-yyyy")</f>
        <v>Nov-2024</v>
      </c>
    </row>
    <row r="4551" customFormat="false" ht="57.75" hidden="false" customHeight="true" outlineLevel="0" collapsed="false">
      <c r="A4551" s="1" t="n">
        <v>5</v>
      </c>
      <c r="B4551" s="10" t="n">
        <v>45630</v>
      </c>
      <c r="C4551" s="11" t="s">
        <v>4569</v>
      </c>
      <c r="D4551" s="1" t="s">
        <v>2901</v>
      </c>
      <c r="E4551" s="1" t="s">
        <v>18</v>
      </c>
      <c r="F4551" s="1" t="str">
        <f aca="false">TEXT(B4551,"mmm-yyyy")</f>
        <v>Dec-2024</v>
      </c>
    </row>
    <row r="4552" customFormat="false" ht="72" hidden="false" customHeight="true" outlineLevel="0" collapsed="false">
      <c r="A4552" s="1" t="n">
        <v>1</v>
      </c>
      <c r="B4552" s="10" t="n">
        <v>45636</v>
      </c>
      <c r="C4552" s="11" t="s">
        <v>4570</v>
      </c>
      <c r="D4552" s="1" t="s">
        <v>2901</v>
      </c>
      <c r="E4552" s="1" t="s">
        <v>20</v>
      </c>
      <c r="F4552" s="1" t="str">
        <f aca="false">TEXT(B4552,"mmm-yyyy")</f>
        <v>Dec-2024</v>
      </c>
    </row>
    <row r="4553" customFormat="false" ht="57.75" hidden="false" customHeight="true" outlineLevel="0" collapsed="false">
      <c r="A4553" s="1" t="n">
        <v>1</v>
      </c>
      <c r="B4553" s="10" t="n">
        <v>45598</v>
      </c>
      <c r="C4553" s="11" t="s">
        <v>4571</v>
      </c>
      <c r="D4553" s="1" t="s">
        <v>2901</v>
      </c>
      <c r="E4553" s="1" t="s">
        <v>20</v>
      </c>
      <c r="F4553" s="1" t="str">
        <f aca="false">TEXT(B4553,"mmm-yyyy")</f>
        <v>Nov-2024</v>
      </c>
    </row>
    <row r="4554" customFormat="false" ht="57.75" hidden="false" customHeight="true" outlineLevel="0" collapsed="false">
      <c r="A4554" s="1" t="n">
        <v>1</v>
      </c>
      <c r="B4554" s="10" t="n">
        <v>45612</v>
      </c>
      <c r="C4554" s="11" t="s">
        <v>4572</v>
      </c>
      <c r="D4554" s="1" t="s">
        <v>2901</v>
      </c>
      <c r="E4554" s="1" t="s">
        <v>20</v>
      </c>
      <c r="F4554" s="1" t="str">
        <f aca="false">TEXT(B4554,"mmm-yyyy")</f>
        <v>Nov-2024</v>
      </c>
    </row>
    <row r="4555" customFormat="false" ht="57.75" hidden="false" customHeight="true" outlineLevel="0" collapsed="false">
      <c r="A4555" s="1" t="n">
        <v>1</v>
      </c>
      <c r="B4555" s="10" t="n">
        <v>45650</v>
      </c>
      <c r="C4555" s="11" t="s">
        <v>4573</v>
      </c>
      <c r="D4555" s="1" t="s">
        <v>2901</v>
      </c>
      <c r="E4555" s="1" t="s">
        <v>20</v>
      </c>
      <c r="F4555" s="1" t="str">
        <f aca="false">TEXT(B4555,"mmm-yyyy")</f>
        <v>Dec-2024</v>
      </c>
    </row>
    <row r="4556" customFormat="false" ht="57.75" hidden="false" customHeight="true" outlineLevel="0" collapsed="false">
      <c r="A4556" s="1" t="n">
        <v>1</v>
      </c>
      <c r="B4556" s="10" t="n">
        <v>45643</v>
      </c>
      <c r="C4556" s="11" t="s">
        <v>4574</v>
      </c>
      <c r="D4556" s="1" t="s">
        <v>2901</v>
      </c>
      <c r="E4556" s="1" t="s">
        <v>18</v>
      </c>
      <c r="F4556" s="1" t="str">
        <f aca="false">TEXT(B4556,"mmm-yyyy")</f>
        <v>Dec-2024</v>
      </c>
    </row>
    <row r="4557" customFormat="false" ht="72" hidden="false" customHeight="true" outlineLevel="0" collapsed="false">
      <c r="A4557" s="1" t="n">
        <v>1</v>
      </c>
      <c r="B4557" s="10" t="n">
        <v>45627</v>
      </c>
      <c r="C4557" s="11" t="s">
        <v>4575</v>
      </c>
      <c r="D4557" s="1" t="s">
        <v>2901</v>
      </c>
      <c r="E4557" s="1" t="s">
        <v>18</v>
      </c>
      <c r="F4557" s="1" t="str">
        <f aca="false">TEXT(B4557,"mmm-yyyy")</f>
        <v>Dec-2024</v>
      </c>
    </row>
    <row r="4558" customFormat="false" ht="87" hidden="false" customHeight="true" outlineLevel="0" collapsed="false">
      <c r="A4558" s="1" t="n">
        <v>5</v>
      </c>
      <c r="B4558" s="10" t="n">
        <v>45604</v>
      </c>
      <c r="C4558" s="11" t="s">
        <v>4576</v>
      </c>
      <c r="D4558" s="1" t="s">
        <v>2901</v>
      </c>
      <c r="E4558" s="1" t="s">
        <v>18</v>
      </c>
      <c r="F4558" s="1" t="str">
        <f aca="false">TEXT(B4558,"mmm-yyyy")</f>
        <v>Nov-2024</v>
      </c>
    </row>
    <row r="4559" customFormat="false" ht="57.75" hidden="false" customHeight="true" outlineLevel="0" collapsed="false">
      <c r="A4559" s="1" t="n">
        <v>1</v>
      </c>
      <c r="B4559" s="10" t="n">
        <v>45632</v>
      </c>
      <c r="C4559" s="11" t="s">
        <v>4577</v>
      </c>
      <c r="D4559" s="1" t="s">
        <v>2901</v>
      </c>
      <c r="E4559" s="1" t="s">
        <v>20</v>
      </c>
      <c r="F4559" s="1" t="str">
        <f aca="false">TEXT(B4559,"mmm-yyyy")</f>
        <v>Dec-2024</v>
      </c>
    </row>
    <row r="4560" customFormat="false" ht="101.25" hidden="false" customHeight="true" outlineLevel="0" collapsed="false">
      <c r="A4560" s="1" t="n">
        <v>1</v>
      </c>
      <c r="B4560" s="10" t="n">
        <v>45618</v>
      </c>
      <c r="C4560" s="11" t="s">
        <v>4578</v>
      </c>
      <c r="D4560" s="1" t="s">
        <v>2901</v>
      </c>
      <c r="E4560" s="1" t="s">
        <v>20</v>
      </c>
      <c r="F4560" s="1" t="str">
        <f aca="false">TEXT(B4560,"mmm-yyyy")</f>
        <v>Nov-2024</v>
      </c>
    </row>
    <row r="4561" customFormat="false" ht="43.5" hidden="false" customHeight="true" outlineLevel="0" collapsed="false">
      <c r="A4561" s="1" t="n">
        <v>5</v>
      </c>
      <c r="B4561" s="10" t="n">
        <v>45652</v>
      </c>
      <c r="C4561" s="11" t="s">
        <v>4579</v>
      </c>
      <c r="D4561" s="1" t="s">
        <v>2901</v>
      </c>
      <c r="E4561" s="1" t="s">
        <v>18</v>
      </c>
      <c r="F4561" s="1" t="str">
        <f aca="false">TEXT(B4561,"mmm-yyyy")</f>
        <v>Dec-2024</v>
      </c>
    </row>
    <row r="4562" customFormat="false" ht="101.25" hidden="false" customHeight="true" outlineLevel="0" collapsed="false">
      <c r="A4562" s="1" t="n">
        <v>1</v>
      </c>
      <c r="B4562" s="10" t="n">
        <v>45604</v>
      </c>
      <c r="C4562" s="11" t="s">
        <v>4580</v>
      </c>
      <c r="D4562" s="1" t="s">
        <v>2901</v>
      </c>
      <c r="E4562" s="1" t="s">
        <v>20</v>
      </c>
      <c r="F4562" s="1" t="str">
        <f aca="false">TEXT(B4562,"mmm-yyyy")</f>
        <v>Nov-2024</v>
      </c>
    </row>
    <row r="4563" customFormat="false" ht="57.75" hidden="false" customHeight="true" outlineLevel="0" collapsed="false">
      <c r="A4563" s="1" t="n">
        <v>1</v>
      </c>
      <c r="B4563" s="10" t="n">
        <v>45577</v>
      </c>
      <c r="C4563" s="11" t="s">
        <v>4581</v>
      </c>
      <c r="D4563" s="1" t="s">
        <v>2901</v>
      </c>
      <c r="E4563" s="1" t="s">
        <v>20</v>
      </c>
      <c r="F4563" s="1" t="str">
        <f aca="false">TEXT(B4563,"mmm-yyyy")</f>
        <v>Oct-2024</v>
      </c>
    </row>
    <row r="4564" customFormat="false" ht="87" hidden="false" customHeight="true" outlineLevel="0" collapsed="false">
      <c r="A4564" s="1" t="n">
        <v>1</v>
      </c>
      <c r="B4564" s="10" t="n">
        <v>45622</v>
      </c>
      <c r="C4564" s="11" t="s">
        <v>4582</v>
      </c>
      <c r="D4564" s="1" t="s">
        <v>2901</v>
      </c>
      <c r="E4564" s="1" t="s">
        <v>20</v>
      </c>
      <c r="F4564" s="1" t="str">
        <f aca="false">TEXT(B4564,"mmm-yyyy")</f>
        <v>Nov-2024</v>
      </c>
    </row>
    <row r="4565" customFormat="false" ht="87" hidden="false" customHeight="true" outlineLevel="0" collapsed="false">
      <c r="A4565" s="1" t="n">
        <v>2</v>
      </c>
      <c r="B4565" s="10" t="n">
        <v>45590</v>
      </c>
      <c r="C4565" s="11" t="s">
        <v>4583</v>
      </c>
      <c r="D4565" s="1" t="s">
        <v>2901</v>
      </c>
      <c r="E4565" s="1" t="s">
        <v>20</v>
      </c>
      <c r="F4565" s="1" t="str">
        <f aca="false">TEXT(B4565,"mmm-yyyy")</f>
        <v>Oct-2024</v>
      </c>
    </row>
    <row r="4566" customFormat="false" ht="130.5" hidden="false" customHeight="true" outlineLevel="0" collapsed="false">
      <c r="A4566" s="1" t="n">
        <v>5</v>
      </c>
      <c r="B4566" s="10" t="n">
        <v>45615</v>
      </c>
      <c r="C4566" s="11" t="s">
        <v>4584</v>
      </c>
      <c r="D4566" s="1" t="s">
        <v>2901</v>
      </c>
      <c r="E4566" s="1" t="s">
        <v>18</v>
      </c>
      <c r="F4566" s="1" t="str">
        <f aca="false">TEXT(B4566,"mmm-yyyy")</f>
        <v>Nov-2024</v>
      </c>
    </row>
    <row r="4567" customFormat="false" ht="57.75" hidden="false" customHeight="true" outlineLevel="0" collapsed="false">
      <c r="A4567" s="1" t="n">
        <v>1</v>
      </c>
      <c r="B4567" s="10" t="n">
        <v>45611</v>
      </c>
      <c r="C4567" s="11" t="s">
        <v>4585</v>
      </c>
      <c r="D4567" s="1" t="s">
        <v>2901</v>
      </c>
      <c r="E4567" s="1" t="s">
        <v>20</v>
      </c>
      <c r="F4567" s="1" t="str">
        <f aca="false">TEXT(B4567,"mmm-yyyy")</f>
        <v>Nov-2024</v>
      </c>
    </row>
    <row r="4568" customFormat="false" ht="87" hidden="false" customHeight="true" outlineLevel="0" collapsed="false">
      <c r="A4568" s="1" t="n">
        <v>1</v>
      </c>
      <c r="B4568" s="10" t="n">
        <v>45624</v>
      </c>
      <c r="C4568" s="11" t="s">
        <v>4586</v>
      </c>
      <c r="D4568" s="1" t="s">
        <v>2901</v>
      </c>
      <c r="E4568" s="1" t="s">
        <v>20</v>
      </c>
      <c r="F4568" s="1" t="str">
        <f aca="false">TEXT(B4568,"mmm-yyyy")</f>
        <v>Nov-2024</v>
      </c>
    </row>
    <row r="4569" customFormat="false" ht="101.25" hidden="false" customHeight="true" outlineLevel="0" collapsed="false">
      <c r="A4569" s="1" t="n">
        <v>5</v>
      </c>
      <c r="B4569" s="10" t="n">
        <v>45597</v>
      </c>
      <c r="C4569" s="11" t="s">
        <v>4587</v>
      </c>
      <c r="D4569" s="1" t="s">
        <v>2901</v>
      </c>
      <c r="E4569" s="1" t="s">
        <v>18</v>
      </c>
      <c r="F4569" s="1" t="str">
        <f aca="false">TEXT(B4569,"mmm-yyyy")</f>
        <v>Nov-2024</v>
      </c>
    </row>
    <row r="4570" customFormat="false" ht="115.5" hidden="false" customHeight="true" outlineLevel="0" collapsed="false">
      <c r="A4570" s="1" t="n">
        <v>4</v>
      </c>
      <c r="B4570" s="10" t="n">
        <v>45580</v>
      </c>
      <c r="C4570" s="11" t="s">
        <v>4588</v>
      </c>
      <c r="D4570" s="1" t="s">
        <v>2901</v>
      </c>
      <c r="E4570" s="1" t="s">
        <v>20</v>
      </c>
      <c r="F4570" s="1" t="str">
        <f aca="false">TEXT(B4570,"mmm-yyyy")</f>
        <v>Oct-2024</v>
      </c>
    </row>
    <row r="4571" customFormat="false" ht="57.75" hidden="false" customHeight="true" outlineLevel="0" collapsed="false">
      <c r="A4571" s="1" t="n">
        <v>1</v>
      </c>
      <c r="B4571" s="10" t="n">
        <v>45591</v>
      </c>
      <c r="C4571" s="11" t="s">
        <v>4589</v>
      </c>
      <c r="D4571" s="1" t="s">
        <v>2901</v>
      </c>
      <c r="E4571" s="1" t="s">
        <v>20</v>
      </c>
      <c r="F4571" s="1" t="str">
        <f aca="false">TEXT(B4571,"mmm-yyyy")</f>
        <v>Oct-2024</v>
      </c>
    </row>
    <row r="4572" customFormat="false" ht="72" hidden="false" customHeight="true" outlineLevel="0" collapsed="false">
      <c r="A4572" s="1" t="n">
        <v>1</v>
      </c>
      <c r="B4572" s="10" t="n">
        <v>45581</v>
      </c>
      <c r="C4572" s="11" t="s">
        <v>4590</v>
      </c>
      <c r="D4572" s="1" t="s">
        <v>2901</v>
      </c>
      <c r="E4572" s="1" t="s">
        <v>18</v>
      </c>
      <c r="F4572" s="1" t="str">
        <f aca="false">TEXT(B4572,"mmm-yyyy")</f>
        <v>Oct-2024</v>
      </c>
    </row>
    <row r="4573" customFormat="false" ht="43.5" hidden="false" customHeight="true" outlineLevel="0" collapsed="false">
      <c r="A4573" s="1" t="n">
        <v>1</v>
      </c>
      <c r="B4573" s="10" t="n">
        <v>45650</v>
      </c>
      <c r="C4573" s="11" t="s">
        <v>4591</v>
      </c>
      <c r="D4573" s="1" t="s">
        <v>2901</v>
      </c>
      <c r="E4573" s="1" t="s">
        <v>18</v>
      </c>
      <c r="F4573" s="1" t="str">
        <f aca="false">TEXT(B4573,"mmm-yyyy")</f>
        <v>Dec-2024</v>
      </c>
    </row>
    <row r="4574" customFormat="false" ht="87" hidden="false" customHeight="true" outlineLevel="0" collapsed="false">
      <c r="A4574" s="1" t="n">
        <v>1</v>
      </c>
      <c r="B4574" s="10" t="n">
        <v>45633</v>
      </c>
      <c r="C4574" s="11" t="s">
        <v>4592</v>
      </c>
      <c r="D4574" s="1" t="s">
        <v>2901</v>
      </c>
      <c r="E4574" s="1" t="s">
        <v>18</v>
      </c>
      <c r="F4574" s="1" t="str">
        <f aca="false">TEXT(B4574,"mmm-yyyy")</f>
        <v>Dec-2024</v>
      </c>
    </row>
    <row r="4575" customFormat="false" ht="72" hidden="false" customHeight="true" outlineLevel="0" collapsed="false">
      <c r="A4575" s="1" t="n">
        <v>1</v>
      </c>
      <c r="B4575" s="10" t="n">
        <v>45620</v>
      </c>
      <c r="C4575" s="11" t="s">
        <v>4593</v>
      </c>
      <c r="D4575" s="1" t="s">
        <v>2901</v>
      </c>
      <c r="E4575" s="1" t="s">
        <v>18</v>
      </c>
      <c r="F4575" s="1" t="str">
        <f aca="false">TEXT(B4575,"mmm-yyyy")</f>
        <v>Nov-2024</v>
      </c>
    </row>
    <row r="4576" customFormat="false" ht="57.75" hidden="false" customHeight="true" outlineLevel="0" collapsed="false">
      <c r="A4576" s="1" t="n">
        <v>1</v>
      </c>
      <c r="B4576" s="10" t="n">
        <v>45578</v>
      </c>
      <c r="C4576" s="11" t="s">
        <v>4594</v>
      </c>
      <c r="D4576" s="1" t="s">
        <v>2901</v>
      </c>
      <c r="E4576" s="1" t="s">
        <v>18</v>
      </c>
      <c r="F4576" s="1" t="str">
        <f aca="false">TEXT(B4576,"mmm-yyyy")</f>
        <v>Oct-2024</v>
      </c>
    </row>
    <row r="4577" customFormat="false" ht="72" hidden="false" customHeight="true" outlineLevel="0" collapsed="false">
      <c r="A4577" s="1" t="n">
        <v>1</v>
      </c>
      <c r="B4577" s="10" t="n">
        <v>45605</v>
      </c>
      <c r="C4577" s="11" t="s">
        <v>4595</v>
      </c>
      <c r="D4577" s="1" t="s">
        <v>2901</v>
      </c>
      <c r="E4577" s="1" t="s">
        <v>20</v>
      </c>
      <c r="F4577" s="1" t="str">
        <f aca="false">TEXT(B4577,"mmm-yyyy")</f>
        <v>Nov-2024</v>
      </c>
    </row>
    <row r="4578" customFormat="false" ht="72" hidden="false" customHeight="true" outlineLevel="0" collapsed="false">
      <c r="A4578" s="1" t="n">
        <v>1</v>
      </c>
      <c r="B4578" s="10" t="n">
        <v>45652</v>
      </c>
      <c r="C4578" s="11" t="s">
        <v>4596</v>
      </c>
      <c r="D4578" s="1" t="s">
        <v>2901</v>
      </c>
      <c r="E4578" s="1" t="s">
        <v>18</v>
      </c>
      <c r="F4578" s="1" t="str">
        <f aca="false">TEXT(B4578,"mmm-yyyy")</f>
        <v>Dec-2024</v>
      </c>
    </row>
    <row r="4579" customFormat="false" ht="72" hidden="false" customHeight="true" outlineLevel="0" collapsed="false">
      <c r="A4579" s="1" t="n">
        <v>1</v>
      </c>
      <c r="B4579" s="10" t="n">
        <v>45627</v>
      </c>
      <c r="C4579" s="11" t="s">
        <v>4597</v>
      </c>
      <c r="D4579" s="1" t="s">
        <v>2901</v>
      </c>
      <c r="E4579" s="1" t="s">
        <v>18</v>
      </c>
      <c r="F4579" s="1" t="str">
        <f aca="false">TEXT(B4579,"mmm-yyyy")</f>
        <v>Dec-2024</v>
      </c>
    </row>
    <row r="4580" customFormat="false" ht="57.75" hidden="false" customHeight="true" outlineLevel="0" collapsed="false">
      <c r="A4580" s="1" t="n">
        <v>1</v>
      </c>
      <c r="B4580" s="10" t="n">
        <v>45600</v>
      </c>
      <c r="C4580" s="11" t="s">
        <v>4598</v>
      </c>
      <c r="D4580" s="1" t="s">
        <v>2901</v>
      </c>
      <c r="E4580" s="1" t="s">
        <v>20</v>
      </c>
      <c r="F4580" s="1" t="str">
        <f aca="false">TEXT(B4580,"mmm-yyyy")</f>
        <v>Nov-2024</v>
      </c>
    </row>
    <row r="4581" customFormat="false" ht="87" hidden="false" customHeight="true" outlineLevel="0" collapsed="false">
      <c r="A4581" s="1" t="n">
        <v>1</v>
      </c>
      <c r="B4581" s="10" t="n">
        <v>45605</v>
      </c>
      <c r="C4581" s="11" t="s">
        <v>4599</v>
      </c>
      <c r="D4581" s="1" t="s">
        <v>2901</v>
      </c>
      <c r="E4581" s="1" t="s">
        <v>20</v>
      </c>
      <c r="F4581" s="1" t="str">
        <f aca="false">TEXT(B4581,"mmm-yyyy")</f>
        <v>Nov-2024</v>
      </c>
    </row>
    <row r="4582" customFormat="false" ht="130.5" hidden="false" customHeight="true" outlineLevel="0" collapsed="false">
      <c r="A4582" s="1" t="n">
        <v>1</v>
      </c>
      <c r="B4582" s="10" t="n">
        <v>45610</v>
      </c>
      <c r="C4582" s="11" t="s">
        <v>4600</v>
      </c>
      <c r="D4582" s="1" t="s">
        <v>2901</v>
      </c>
      <c r="E4582" s="1" t="s">
        <v>20</v>
      </c>
      <c r="F4582" s="1" t="str">
        <f aca="false">TEXT(B4582,"mmm-yyyy")</f>
        <v>Nov-2024</v>
      </c>
    </row>
    <row r="4583" customFormat="false" ht="72" hidden="false" customHeight="true" outlineLevel="0" collapsed="false">
      <c r="A4583" s="1" t="n">
        <v>1</v>
      </c>
      <c r="B4583" s="10" t="n">
        <v>45585</v>
      </c>
      <c r="C4583" s="11" t="s">
        <v>4601</v>
      </c>
      <c r="D4583" s="1" t="s">
        <v>2901</v>
      </c>
      <c r="E4583" s="1" t="s">
        <v>18</v>
      </c>
      <c r="F4583" s="1" t="str">
        <f aca="false">TEXT(B4583,"mmm-yyyy")</f>
        <v>Oct-2024</v>
      </c>
    </row>
    <row r="4584" customFormat="false" ht="72" hidden="false" customHeight="true" outlineLevel="0" collapsed="false">
      <c r="A4584" s="1" t="n">
        <v>4</v>
      </c>
      <c r="B4584" s="10" t="n">
        <v>45647</v>
      </c>
      <c r="C4584" s="11" t="s">
        <v>4602</v>
      </c>
      <c r="D4584" s="1" t="s">
        <v>2901</v>
      </c>
      <c r="E4584" s="1" t="s">
        <v>18</v>
      </c>
      <c r="F4584" s="1" t="str">
        <f aca="false">TEXT(B4584,"mmm-yyyy")</f>
        <v>Dec-2024</v>
      </c>
    </row>
    <row r="4585" customFormat="false" ht="57.75" hidden="false" customHeight="true" outlineLevel="0" collapsed="false">
      <c r="A4585" s="1" t="n">
        <v>1</v>
      </c>
      <c r="B4585" s="10" t="n">
        <v>45573</v>
      </c>
      <c r="C4585" s="11" t="s">
        <v>4603</v>
      </c>
      <c r="D4585" s="1" t="s">
        <v>2901</v>
      </c>
      <c r="E4585" s="1" t="s">
        <v>20</v>
      </c>
      <c r="F4585" s="1" t="str">
        <f aca="false">TEXT(B4585,"mmm-yyyy")</f>
        <v>Oct-2024</v>
      </c>
    </row>
    <row r="4586" customFormat="false" ht="57.75" hidden="false" customHeight="true" outlineLevel="0" collapsed="false">
      <c r="A4586" s="1" t="n">
        <v>5</v>
      </c>
      <c r="B4586" s="10" t="n">
        <v>45575</v>
      </c>
      <c r="C4586" s="11" t="s">
        <v>4604</v>
      </c>
      <c r="D4586" s="1" t="s">
        <v>2901</v>
      </c>
      <c r="E4586" s="1" t="s">
        <v>18</v>
      </c>
      <c r="F4586" s="1" t="str">
        <f aca="false">TEXT(B4586,"mmm-yyyy")</f>
        <v>Oct-2024</v>
      </c>
    </row>
    <row r="4587" customFormat="false" ht="72" hidden="false" customHeight="true" outlineLevel="0" collapsed="false">
      <c r="A4587" s="1" t="n">
        <v>1</v>
      </c>
      <c r="B4587" s="10" t="n">
        <v>45645</v>
      </c>
      <c r="C4587" s="11" t="s">
        <v>4605</v>
      </c>
      <c r="D4587" s="1" t="s">
        <v>2901</v>
      </c>
      <c r="E4587" s="1" t="s">
        <v>20</v>
      </c>
      <c r="F4587" s="1" t="str">
        <f aca="false">TEXT(B4587,"mmm-yyyy")</f>
        <v>Dec-2024</v>
      </c>
    </row>
    <row r="4588" customFormat="false" ht="57.75" hidden="false" customHeight="true" outlineLevel="0" collapsed="false">
      <c r="A4588" s="1" t="n">
        <v>1</v>
      </c>
      <c r="B4588" s="10" t="n">
        <v>45617</v>
      </c>
      <c r="C4588" s="11" t="s">
        <v>4606</v>
      </c>
      <c r="D4588" s="1" t="s">
        <v>2901</v>
      </c>
      <c r="E4588" s="1" t="s">
        <v>20</v>
      </c>
      <c r="F4588" s="1" t="str">
        <f aca="false">TEXT(B4588,"mmm-yyyy")</f>
        <v>Nov-2024</v>
      </c>
    </row>
    <row r="4589" customFormat="false" ht="57.75" hidden="false" customHeight="true" outlineLevel="0" collapsed="false">
      <c r="A4589" s="1" t="n">
        <v>1</v>
      </c>
      <c r="B4589" s="10" t="n">
        <v>45606</v>
      </c>
      <c r="C4589" s="11" t="s">
        <v>4607</v>
      </c>
      <c r="D4589" s="1" t="s">
        <v>2901</v>
      </c>
      <c r="E4589" s="1" t="s">
        <v>20</v>
      </c>
      <c r="F4589" s="1" t="str">
        <f aca="false">TEXT(B4589,"mmm-yyyy")</f>
        <v>Nov-2024</v>
      </c>
    </row>
    <row r="4590" customFormat="false" ht="43.5" hidden="false" customHeight="true" outlineLevel="0" collapsed="false">
      <c r="A4590" s="1" t="n">
        <v>1</v>
      </c>
      <c r="B4590" s="10" t="n">
        <v>45653</v>
      </c>
      <c r="C4590" s="11" t="s">
        <v>4608</v>
      </c>
      <c r="D4590" s="1" t="s">
        <v>2901</v>
      </c>
      <c r="E4590" s="1" t="s">
        <v>20</v>
      </c>
      <c r="F4590" s="1" t="str">
        <f aca="false">TEXT(B4590,"mmm-yyyy")</f>
        <v>Dec-2024</v>
      </c>
    </row>
    <row r="4591" customFormat="false" ht="57.75" hidden="false" customHeight="true" outlineLevel="0" collapsed="false">
      <c r="A4591" s="1" t="n">
        <v>3</v>
      </c>
      <c r="B4591" s="10" t="n">
        <v>45596</v>
      </c>
      <c r="C4591" s="11" t="s">
        <v>4609</v>
      </c>
      <c r="D4591" s="1" t="s">
        <v>2901</v>
      </c>
      <c r="E4591" s="1" t="s">
        <v>18</v>
      </c>
      <c r="F4591" s="1" t="str">
        <f aca="false">TEXT(B4591,"mmm-yyyy")</f>
        <v>Oct-2024</v>
      </c>
    </row>
    <row r="4592" customFormat="false" ht="130.5" hidden="false" customHeight="true" outlineLevel="0" collapsed="false">
      <c r="A4592" s="1" t="n">
        <v>2</v>
      </c>
      <c r="B4592" s="10" t="n">
        <v>45518</v>
      </c>
      <c r="C4592" s="11" t="s">
        <v>4610</v>
      </c>
      <c r="D4592" s="1" t="s">
        <v>2901</v>
      </c>
      <c r="E4592" s="1" t="s">
        <v>18</v>
      </c>
      <c r="F4592" s="1" t="str">
        <f aca="false">TEXT(B4592,"mmm-yyyy")</f>
        <v>Aug-2024</v>
      </c>
    </row>
    <row r="4593" customFormat="false" ht="43.5" hidden="false" customHeight="true" outlineLevel="0" collapsed="false">
      <c r="A4593" s="1" t="n">
        <v>1</v>
      </c>
      <c r="B4593" s="10" t="n">
        <v>45615</v>
      </c>
      <c r="C4593" s="11" t="s">
        <v>4611</v>
      </c>
      <c r="D4593" s="1" t="s">
        <v>2901</v>
      </c>
      <c r="E4593" s="1" t="s">
        <v>20</v>
      </c>
      <c r="F4593" s="1" t="str">
        <f aca="false">TEXT(B4593,"mmm-yyyy")</f>
        <v>Nov-2024</v>
      </c>
    </row>
    <row r="4594" customFormat="false" ht="28.5" hidden="false" customHeight="true" outlineLevel="0" collapsed="false">
      <c r="A4594" s="1" t="n">
        <v>2</v>
      </c>
      <c r="B4594" s="10" t="n">
        <v>45647</v>
      </c>
      <c r="C4594" s="11" t="s">
        <v>4612</v>
      </c>
      <c r="D4594" s="1" t="s">
        <v>2901</v>
      </c>
      <c r="E4594" s="1" t="s">
        <v>32</v>
      </c>
      <c r="F4594" s="1" t="str">
        <f aca="false">TEXT(B4594,"mmm-yyyy")</f>
        <v>Dec-2024</v>
      </c>
    </row>
    <row r="4595" customFormat="false" ht="72" hidden="false" customHeight="true" outlineLevel="0" collapsed="false">
      <c r="A4595" s="1" t="n">
        <v>5</v>
      </c>
      <c r="B4595" s="10" t="n">
        <v>45576</v>
      </c>
      <c r="C4595" s="11" t="s">
        <v>4613</v>
      </c>
      <c r="D4595" s="1" t="s">
        <v>2901</v>
      </c>
      <c r="E4595" s="1" t="s">
        <v>18</v>
      </c>
      <c r="F4595" s="1" t="str">
        <f aca="false">TEXT(B4595,"mmm-yyyy")</f>
        <v>Oct-2024</v>
      </c>
    </row>
    <row r="4596" customFormat="false" ht="87" hidden="false" customHeight="true" outlineLevel="0" collapsed="false">
      <c r="A4596" s="1" t="n">
        <v>1</v>
      </c>
      <c r="B4596" s="10" t="n">
        <v>45602</v>
      </c>
      <c r="C4596" s="11" t="s">
        <v>4614</v>
      </c>
      <c r="D4596" s="1" t="s">
        <v>2901</v>
      </c>
      <c r="E4596" s="1" t="s">
        <v>32</v>
      </c>
      <c r="F4596" s="1" t="str">
        <f aca="false">TEXT(B4596,"mmm-yyyy")</f>
        <v>Nov-2024</v>
      </c>
    </row>
    <row r="4597" customFormat="false" ht="72" hidden="false" customHeight="true" outlineLevel="0" collapsed="false">
      <c r="A4597" s="1" t="n">
        <v>1</v>
      </c>
      <c r="B4597" s="10" t="n">
        <v>45615</v>
      </c>
      <c r="C4597" s="11" t="s">
        <v>4615</v>
      </c>
      <c r="D4597" s="1" t="s">
        <v>2901</v>
      </c>
      <c r="E4597" s="1" t="s">
        <v>20</v>
      </c>
      <c r="F4597" s="1" t="str">
        <f aca="false">TEXT(B4597,"mmm-yyyy")</f>
        <v>Nov-2024</v>
      </c>
    </row>
    <row r="4598" customFormat="false" ht="57.75" hidden="false" customHeight="true" outlineLevel="0" collapsed="false">
      <c r="A4598" s="1" t="n">
        <v>1</v>
      </c>
      <c r="B4598" s="10" t="n">
        <v>45610</v>
      </c>
      <c r="C4598" s="11" t="s">
        <v>4616</v>
      </c>
      <c r="D4598" s="1" t="s">
        <v>2901</v>
      </c>
      <c r="E4598" s="1" t="s">
        <v>18</v>
      </c>
      <c r="F4598" s="1" t="str">
        <f aca="false">TEXT(B4598,"mmm-yyyy")</f>
        <v>Nov-2024</v>
      </c>
    </row>
    <row r="4599" customFormat="false" ht="28.5" hidden="false" customHeight="true" outlineLevel="0" collapsed="false">
      <c r="A4599" s="1" t="n">
        <v>1</v>
      </c>
      <c r="B4599" s="10" t="n">
        <v>45642</v>
      </c>
      <c r="C4599" s="11" t="s">
        <v>4617</v>
      </c>
      <c r="D4599" s="1" t="s">
        <v>2901</v>
      </c>
      <c r="E4599" s="1" t="s">
        <v>20</v>
      </c>
      <c r="F4599" s="1" t="str">
        <f aca="false">TEXT(B4599,"mmm-yyyy")</f>
        <v>Dec-2024</v>
      </c>
    </row>
    <row r="4600" customFormat="false" ht="115.5" hidden="false" customHeight="true" outlineLevel="0" collapsed="false">
      <c r="A4600" s="1" t="n">
        <v>1</v>
      </c>
      <c r="B4600" s="10" t="n">
        <v>45625</v>
      </c>
      <c r="C4600" s="11" t="s">
        <v>4618</v>
      </c>
      <c r="D4600" s="1" t="s">
        <v>2901</v>
      </c>
      <c r="E4600" s="1" t="s">
        <v>20</v>
      </c>
      <c r="F4600" s="1" t="str">
        <f aca="false">TEXT(B4600,"mmm-yyyy")</f>
        <v>Nov-2024</v>
      </c>
    </row>
    <row r="4601" customFormat="false" ht="57.75" hidden="false" customHeight="true" outlineLevel="0" collapsed="false">
      <c r="A4601" s="1" t="n">
        <v>1</v>
      </c>
      <c r="B4601" s="10" t="n">
        <v>45620</v>
      </c>
      <c r="C4601" s="11" t="s">
        <v>4619</v>
      </c>
      <c r="D4601" s="1" t="s">
        <v>2901</v>
      </c>
      <c r="E4601" s="1" t="s">
        <v>20</v>
      </c>
      <c r="F4601" s="1" t="str">
        <f aca="false">TEXT(B4601,"mmm-yyyy")</f>
        <v>Nov-2024</v>
      </c>
    </row>
    <row r="4602" customFormat="false" ht="115.5" hidden="false" customHeight="true" outlineLevel="0" collapsed="false">
      <c r="A4602" s="1" t="n">
        <v>1</v>
      </c>
      <c r="B4602" s="10" t="n">
        <v>45574</v>
      </c>
      <c r="C4602" s="11" t="s">
        <v>4620</v>
      </c>
      <c r="D4602" s="1" t="s">
        <v>2901</v>
      </c>
      <c r="E4602" s="1" t="s">
        <v>20</v>
      </c>
      <c r="F4602" s="1" t="str">
        <f aca="false">TEXT(B4602,"mmm-yyyy")</f>
        <v>Oct-2024</v>
      </c>
    </row>
    <row r="4603" customFormat="false" ht="72" hidden="false" customHeight="true" outlineLevel="0" collapsed="false">
      <c r="A4603" s="1" t="n">
        <v>1</v>
      </c>
      <c r="B4603" s="10" t="n">
        <v>45603</v>
      </c>
      <c r="C4603" s="11" t="s">
        <v>4621</v>
      </c>
      <c r="D4603" s="1" t="s">
        <v>2901</v>
      </c>
      <c r="E4603" s="1" t="s">
        <v>20</v>
      </c>
      <c r="F4603" s="1" t="str">
        <f aca="false">TEXT(B4603,"mmm-yyyy")</f>
        <v>Nov-2024</v>
      </c>
    </row>
    <row r="4604" customFormat="false" ht="57.75" hidden="false" customHeight="true" outlineLevel="0" collapsed="false">
      <c r="A4604" s="1" t="n">
        <v>1</v>
      </c>
      <c r="B4604" s="10" t="n">
        <v>45651</v>
      </c>
      <c r="C4604" s="11" t="s">
        <v>4622</v>
      </c>
      <c r="D4604" s="1" t="s">
        <v>2901</v>
      </c>
      <c r="E4604" s="1" t="s">
        <v>20</v>
      </c>
      <c r="F4604" s="1" t="str">
        <f aca="false">TEXT(B4604,"mmm-yyyy")</f>
        <v>Dec-2024</v>
      </c>
    </row>
    <row r="4605" customFormat="false" ht="57.75" hidden="false" customHeight="true" outlineLevel="0" collapsed="false">
      <c r="A4605" s="1" t="n">
        <v>1</v>
      </c>
      <c r="B4605" s="10" t="n">
        <v>45647</v>
      </c>
      <c r="C4605" s="11" t="s">
        <v>4623</v>
      </c>
      <c r="D4605" s="1" t="s">
        <v>2901</v>
      </c>
      <c r="E4605" s="1" t="s">
        <v>18</v>
      </c>
      <c r="F4605" s="1" t="str">
        <f aca="false">TEXT(B4605,"mmm-yyyy")</f>
        <v>Dec-2024</v>
      </c>
    </row>
    <row r="4606" customFormat="false" ht="57.75" hidden="false" customHeight="true" outlineLevel="0" collapsed="false">
      <c r="A4606" s="1" t="n">
        <v>1</v>
      </c>
      <c r="B4606" s="10" t="n">
        <v>45605</v>
      </c>
      <c r="C4606" s="11" t="s">
        <v>4624</v>
      </c>
      <c r="D4606" s="1" t="s">
        <v>2901</v>
      </c>
      <c r="E4606" s="1" t="s">
        <v>32</v>
      </c>
      <c r="F4606" s="1" t="str">
        <f aca="false">TEXT(B4606,"mmm-yyyy")</f>
        <v>Nov-2024</v>
      </c>
    </row>
    <row r="4607" customFormat="false" ht="72" hidden="false" customHeight="true" outlineLevel="0" collapsed="false">
      <c r="A4607" s="1" t="n">
        <v>1</v>
      </c>
      <c r="B4607" s="10" t="n">
        <v>45623</v>
      </c>
      <c r="C4607" s="11" t="s">
        <v>4625</v>
      </c>
      <c r="D4607" s="1" t="s">
        <v>2901</v>
      </c>
      <c r="E4607" s="1" t="s">
        <v>20</v>
      </c>
      <c r="F4607" s="1" t="str">
        <f aca="false">TEXT(B4607,"mmm-yyyy")</f>
        <v>Nov-2024</v>
      </c>
    </row>
    <row r="4608" customFormat="false" ht="43.5" hidden="false" customHeight="true" outlineLevel="0" collapsed="false">
      <c r="A4608" s="1" t="n">
        <v>1</v>
      </c>
      <c r="B4608" s="10" t="n">
        <v>45639</v>
      </c>
      <c r="C4608" s="11" t="s">
        <v>4626</v>
      </c>
      <c r="D4608" s="1" t="s">
        <v>2901</v>
      </c>
      <c r="E4608" s="1" t="s">
        <v>20</v>
      </c>
      <c r="F4608" s="1" t="str">
        <f aca="false">TEXT(B4608,"mmm-yyyy")</f>
        <v>Dec-2024</v>
      </c>
    </row>
    <row r="4609" customFormat="false" ht="57.75" hidden="false" customHeight="true" outlineLevel="0" collapsed="false">
      <c r="A4609" s="1" t="n">
        <v>1</v>
      </c>
      <c r="B4609" s="10" t="n">
        <v>45657</v>
      </c>
      <c r="C4609" s="11" t="s">
        <v>4627</v>
      </c>
      <c r="D4609" s="1" t="s">
        <v>2901</v>
      </c>
      <c r="E4609" s="1" t="s">
        <v>20</v>
      </c>
      <c r="F4609" s="1" t="str">
        <f aca="false">TEXT(B4609,"mmm-yyyy")</f>
        <v>Dec-2024</v>
      </c>
    </row>
    <row r="4610" customFormat="false" ht="87" hidden="false" customHeight="true" outlineLevel="0" collapsed="false">
      <c r="A4610" s="1" t="n">
        <v>4</v>
      </c>
      <c r="B4610" s="10" t="n">
        <v>45621</v>
      </c>
      <c r="C4610" s="11" t="s">
        <v>4628</v>
      </c>
      <c r="D4610" s="1" t="s">
        <v>2901</v>
      </c>
      <c r="E4610" s="1" t="s">
        <v>18</v>
      </c>
      <c r="F4610" s="1" t="str">
        <f aca="false">TEXT(B4610,"mmm-yyyy")</f>
        <v>Nov-2024</v>
      </c>
    </row>
    <row r="4611" customFormat="false" ht="57.75" hidden="false" customHeight="true" outlineLevel="0" collapsed="false">
      <c r="A4611" s="1" t="n">
        <v>3</v>
      </c>
      <c r="B4611" s="10" t="n">
        <v>45625</v>
      </c>
      <c r="C4611" s="11" t="s">
        <v>4629</v>
      </c>
      <c r="D4611" s="1" t="s">
        <v>2901</v>
      </c>
      <c r="E4611" s="1" t="s">
        <v>20</v>
      </c>
      <c r="F4611" s="1" t="str">
        <f aca="false">TEXT(B4611,"mmm-yyyy")</f>
        <v>Nov-2024</v>
      </c>
    </row>
    <row r="4612" customFormat="false" ht="57.75" hidden="false" customHeight="true" outlineLevel="0" collapsed="false">
      <c r="A4612" s="1" t="n">
        <v>1</v>
      </c>
      <c r="B4612" s="10" t="n">
        <v>45604</v>
      </c>
      <c r="C4612" s="11" t="s">
        <v>4630</v>
      </c>
      <c r="D4612" s="1" t="s">
        <v>2901</v>
      </c>
      <c r="E4612" s="1" t="s">
        <v>20</v>
      </c>
      <c r="F4612" s="1" t="str">
        <f aca="false">TEXT(B4612,"mmm-yyyy")</f>
        <v>Nov-2024</v>
      </c>
    </row>
    <row r="4613" customFormat="false" ht="43.5" hidden="false" customHeight="true" outlineLevel="0" collapsed="false">
      <c r="A4613" s="1" t="n">
        <v>1</v>
      </c>
      <c r="B4613" s="10" t="n">
        <v>45646</v>
      </c>
      <c r="C4613" s="11" t="s">
        <v>4631</v>
      </c>
      <c r="D4613" s="1" t="s">
        <v>2901</v>
      </c>
      <c r="E4613" s="1" t="s">
        <v>20</v>
      </c>
      <c r="F4613" s="1" t="str">
        <f aca="false">TEXT(B4613,"mmm-yyyy")</f>
        <v>Dec-2024</v>
      </c>
    </row>
    <row r="4614" customFormat="false" ht="43.5" hidden="false" customHeight="true" outlineLevel="0" collapsed="false">
      <c r="A4614" s="1" t="n">
        <v>1</v>
      </c>
      <c r="B4614" s="10" t="n">
        <v>45651</v>
      </c>
      <c r="C4614" s="11" t="s">
        <v>4632</v>
      </c>
      <c r="D4614" s="1" t="s">
        <v>2901</v>
      </c>
      <c r="E4614" s="1" t="s">
        <v>20</v>
      </c>
      <c r="F4614" s="1" t="str">
        <f aca="false">TEXT(B4614,"mmm-yyyy")</f>
        <v>Dec-2024</v>
      </c>
    </row>
    <row r="4615" customFormat="false" ht="57.75" hidden="false" customHeight="true" outlineLevel="0" collapsed="false">
      <c r="A4615" s="1" t="n">
        <v>1</v>
      </c>
      <c r="B4615" s="10" t="n">
        <v>45606</v>
      </c>
      <c r="C4615" s="11" t="s">
        <v>4633</v>
      </c>
      <c r="D4615" s="1" t="s">
        <v>2901</v>
      </c>
      <c r="E4615" s="1" t="s">
        <v>20</v>
      </c>
      <c r="F4615" s="1" t="str">
        <f aca="false">TEXT(B4615,"mmm-yyyy")</f>
        <v>Nov-2024</v>
      </c>
    </row>
    <row r="4616" customFormat="false" ht="57.75" hidden="false" customHeight="true" outlineLevel="0" collapsed="false">
      <c r="A4616" s="1" t="n">
        <v>1</v>
      </c>
      <c r="B4616" s="10" t="n">
        <v>45646</v>
      </c>
      <c r="C4616" s="11" t="s">
        <v>4634</v>
      </c>
      <c r="D4616" s="1" t="s">
        <v>2901</v>
      </c>
      <c r="E4616" s="1" t="s">
        <v>20</v>
      </c>
      <c r="F4616" s="1" t="str">
        <f aca="false">TEXT(B4616,"mmm-yyyy")</f>
        <v>Dec-2024</v>
      </c>
    </row>
    <row r="4617" customFormat="false" ht="57.75" hidden="false" customHeight="true" outlineLevel="0" collapsed="false">
      <c r="A4617" s="1" t="n">
        <v>1</v>
      </c>
      <c r="B4617" s="10" t="n">
        <v>45623</v>
      </c>
      <c r="C4617" s="11" t="s">
        <v>4635</v>
      </c>
      <c r="D4617" s="1" t="s">
        <v>2901</v>
      </c>
      <c r="E4617" s="1" t="s">
        <v>18</v>
      </c>
      <c r="F4617" s="1" t="str">
        <f aca="false">TEXT(B4617,"mmm-yyyy")</f>
        <v>Nov-2024</v>
      </c>
    </row>
    <row r="4618" customFormat="false" ht="43.5" hidden="false" customHeight="true" outlineLevel="0" collapsed="false">
      <c r="A4618" s="1" t="n">
        <v>4</v>
      </c>
      <c r="B4618" s="10" t="n">
        <v>45631</v>
      </c>
      <c r="C4618" s="11" t="s">
        <v>4636</v>
      </c>
      <c r="D4618" s="1" t="s">
        <v>2901</v>
      </c>
      <c r="E4618" s="1" t="s">
        <v>18</v>
      </c>
      <c r="F4618" s="1" t="str">
        <f aca="false">TEXT(B4618,"mmm-yyyy")</f>
        <v>Dec-2024</v>
      </c>
    </row>
    <row r="4619" customFormat="false" ht="72" hidden="false" customHeight="true" outlineLevel="0" collapsed="false">
      <c r="A4619" s="1" t="n">
        <v>1</v>
      </c>
      <c r="B4619" s="10" t="n">
        <v>45609</v>
      </c>
      <c r="C4619" s="11" t="s">
        <v>4637</v>
      </c>
      <c r="D4619" s="1" t="s">
        <v>2901</v>
      </c>
      <c r="E4619" s="1" t="s">
        <v>20</v>
      </c>
      <c r="F4619" s="1" t="str">
        <f aca="false">TEXT(B4619,"mmm-yyyy")</f>
        <v>Nov-2024</v>
      </c>
    </row>
    <row r="4620" customFormat="false" ht="57.75" hidden="false" customHeight="true" outlineLevel="0" collapsed="false">
      <c r="A4620" s="1" t="n">
        <v>5</v>
      </c>
      <c r="B4620" s="10" t="n">
        <v>45613</v>
      </c>
      <c r="C4620" s="11" t="s">
        <v>4638</v>
      </c>
      <c r="D4620" s="1" t="s">
        <v>2901</v>
      </c>
      <c r="E4620" s="1" t="s">
        <v>18</v>
      </c>
      <c r="F4620" s="1" t="str">
        <f aca="false">TEXT(B4620,"mmm-yyyy")</f>
        <v>Nov-2024</v>
      </c>
    </row>
    <row r="4621" customFormat="false" ht="72" hidden="false" customHeight="true" outlineLevel="0" collapsed="false">
      <c r="A4621" s="1" t="n">
        <v>1</v>
      </c>
      <c r="B4621" s="10" t="n">
        <v>45587</v>
      </c>
      <c r="C4621" s="11" t="s">
        <v>4639</v>
      </c>
      <c r="D4621" s="1" t="s">
        <v>2901</v>
      </c>
      <c r="E4621" s="1" t="s">
        <v>20</v>
      </c>
      <c r="F4621" s="1" t="str">
        <f aca="false">TEXT(B4621,"mmm-yyyy")</f>
        <v>Oct-2024</v>
      </c>
    </row>
    <row r="4622" customFormat="false" ht="14.25" hidden="false" customHeight="true" outlineLevel="0" collapsed="false">
      <c r="A4622" s="1" t="n">
        <f aca="false">COUNT(Table1[rating])</f>
        <v>4620</v>
      </c>
      <c r="B4622" s="10"/>
      <c r="C4622"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6"/>
    <col collapsed="false" customWidth="true" hidden="false" outlineLevel="0" max="5" min="5" style="1" width="18"/>
    <col collapsed="false" customWidth="true" hidden="false" outlineLevel="0" max="6" min="6" style="1" width="14"/>
  </cols>
  <sheetData>
    <row r="1" customFormat="false" ht="15" hidden="false" customHeight="true" outlineLevel="0" collapsed="false">
      <c r="A1" s="12" t="s">
        <v>4640</v>
      </c>
    </row>
    <row r="2" customFormat="false" ht="15" hidden="false" customHeight="true" outlineLevel="0" collapsed="false">
      <c r="A2" s="13" t="s">
        <v>4641</v>
      </c>
      <c r="B2" s="13" t="s">
        <v>4642</v>
      </c>
      <c r="C2" s="13" t="s">
        <v>4643</v>
      </c>
      <c r="D2" s="13" t="s">
        <v>4644</v>
      </c>
      <c r="E2" s="13" t="s">
        <v>4645</v>
      </c>
      <c r="F2" s="13" t="s">
        <v>4646</v>
      </c>
    </row>
    <row r="3" customFormat="false" ht="15" hidden="false" customHeight="true" outlineLevel="0" collapsed="false">
      <c r="A3" s="14" t="s">
        <v>4647</v>
      </c>
      <c r="B3" s="14" t="n">
        <f aca="false">COUNTIF(Table1[platform],"blinkit")</f>
        <v>1380</v>
      </c>
      <c r="C3" s="15" t="n">
        <f aca="false">AVERAGEIF(Table1[platform],"blinkit",Table1[rating])</f>
        <v>2.55289855072464</v>
      </c>
      <c r="D3" s="16" t="n">
        <f aca="false">COUNTIFS(Table1[platform],"blinkit",Table1[sentiment],"Positive")/COUNTIF(Table1[platform],"blinkit")</f>
        <v>0.507246376811594</v>
      </c>
      <c r="E3" s="16" t="n">
        <f aca="false">COUNTIFS(Table1[platform],"blinkit",Table1[sentiment],"Negative")/COUNTIF(Table1[platform],"blinkit")</f>
        <v>0.464492753623188</v>
      </c>
      <c r="F3" s="16" t="n">
        <f aca="false">COUNTIFS(Table1[platform],"blinkit",Table1[sentiment],"Neutral")/COUNTIF(Table1[platform],"blinkit")</f>
        <v>0.0282608695652174</v>
      </c>
    </row>
    <row r="4" customFormat="false" ht="15" hidden="false" customHeight="true" outlineLevel="0" collapsed="false">
      <c r="A4" s="14" t="s">
        <v>4648</v>
      </c>
      <c r="B4" s="14" t="n">
        <f aca="false">COUNTIF(Table1[platform],"zepto")</f>
        <v>1740</v>
      </c>
      <c r="C4" s="15" t="n">
        <f aca="false">AVERAGEIF(Table1[platform],"zepto",Table1[rating])</f>
        <v>1.53218390804598</v>
      </c>
      <c r="D4" s="16" t="n">
        <f aca="false">COUNTIFS(Table1[platform],"zepto",Table1[sentiment],"Positive")/COUNTIF(Table1[platform],"zepto")</f>
        <v>0.354022988505747</v>
      </c>
      <c r="E4" s="16" t="n">
        <f aca="false">COUNTIFS(Table1[platform],"zepto",Table1[sentiment],"Negative")/COUNTIF(Table1[platform],"zepto")</f>
        <v>0.614942528735632</v>
      </c>
      <c r="F4" s="16" t="n">
        <f aca="false">COUNTIFS(Table1[platform],"zepto",Table1[sentiment],"Neutral")/COUNTIF(Table1[platform],"zepto")</f>
        <v>0.0310344827586207</v>
      </c>
    </row>
    <row r="5" customFormat="false" ht="15" hidden="false" customHeight="true" outlineLevel="0" collapsed="false">
      <c r="A5" s="14" t="s">
        <v>4649</v>
      </c>
      <c r="B5" s="14" t="n">
        <f aca="false">COUNTIF(Table1[platform],"jiomart")</f>
        <v>1500</v>
      </c>
      <c r="C5" s="15" t="n">
        <f aca="false">AVERAGEIF(Table1[platform],"jiomart",Table1[rating])</f>
        <v>1.502</v>
      </c>
      <c r="D5" s="16" t="n">
        <f aca="false">COUNTIFS(Table1[platform],"jiomart",Table1[sentiment],"Positive")/COUNTIF(Table1[platform],"jiomart")</f>
        <v>0.262</v>
      </c>
      <c r="E5" s="16" t="n">
        <f aca="false">COUNTIFS(Table1[platform],"jiomart",Table1[sentiment],"Negative")/COUNTIF(Table1[platform],"jiomart")</f>
        <v>0.692</v>
      </c>
      <c r="F5" s="16" t="n">
        <f aca="false">COUNTIFS(Table1[platform],"jiomart",Table1[sentiment],"Neutral")/COUNTIF(Table1[platform],"jiomart")</f>
        <v>0.046</v>
      </c>
    </row>
    <row r="6" customFormat="false" ht="15" hidden="false" customHeight="true" outlineLevel="0" collapsed="false">
      <c r="A6" s="17" t="s">
        <v>4650</v>
      </c>
      <c r="B6" s="17" t="n">
        <f aca="false">SUM(B3:B5)</f>
        <v>4620</v>
      </c>
      <c r="C6" s="18" t="n">
        <f aca="false">AVERAGE(Table1[rating])</f>
        <v>1.82727272727273</v>
      </c>
      <c r="D6" s="19" t="n">
        <f aca="false">COUNTIF(Table1[sentiment],"Positive")/COUNTA(Table1[sentiment])</f>
        <v>0.36991341991342</v>
      </c>
      <c r="E6" s="19" t="n">
        <f aca="false">COUNTIF(Table1[sentiment],"Negative")/COUNTA(Table1[sentiment])</f>
        <v>0.595021645021645</v>
      </c>
      <c r="F6" s="19" t="n">
        <f aca="false">COUNTIF(Table1[sentiment],"Neutral")/COUNTA(Table1[sentiment])</f>
        <v>0.0350649350649351</v>
      </c>
    </row>
    <row r="9" customFormat="false" ht="15" hidden="false" customHeight="true" outlineLevel="0" collapsed="false">
      <c r="A9" s="12" t="s">
        <v>4651</v>
      </c>
      <c r="D9" s="12" t="s">
        <v>4652</v>
      </c>
    </row>
    <row r="10" customFormat="false" ht="15" hidden="false" customHeight="true" outlineLevel="0" collapsed="false">
      <c r="A10" s="13" t="s">
        <v>4653</v>
      </c>
      <c r="B10" s="13" t="s">
        <v>4654</v>
      </c>
      <c r="D10" s="13" t="s">
        <v>4655</v>
      </c>
      <c r="E10" s="13" t="s">
        <v>4642</v>
      </c>
      <c r="F10" s="13" t="s">
        <v>4643</v>
      </c>
    </row>
    <row r="11" customFormat="false" ht="15" hidden="false" customHeight="true" outlineLevel="0" collapsed="false">
      <c r="A11" s="14" t="n">
        <v>1</v>
      </c>
      <c r="B11" s="14" t="n">
        <f aca="false">COUNTIF(Table1[rating],1)</f>
        <v>3305</v>
      </c>
      <c r="D11" s="14" t="s">
        <v>4656</v>
      </c>
      <c r="E11" s="14" t="n">
        <f aca="false">COUNTIF(Table1[month],"Aug-2024")</f>
        <v>181</v>
      </c>
      <c r="F11" s="15" t="n">
        <f aca="false">IFERROR(AVERAGEIF(Table1[month],"Aug-2024",Table1[rating]),0)</f>
        <v>1.35911602209945</v>
      </c>
    </row>
    <row r="12" customFormat="false" ht="15" hidden="false" customHeight="true" outlineLevel="0" collapsed="false">
      <c r="A12" s="14" t="n">
        <v>2</v>
      </c>
      <c r="B12" s="14" t="n">
        <f aca="false">COUNTIF(Table1[rating],2)</f>
        <v>279</v>
      </c>
      <c r="D12" s="14" t="s">
        <v>4657</v>
      </c>
      <c r="E12" s="14" t="n">
        <f aca="false">COUNTIF(Table1[month],"Sep-2024")</f>
        <v>157</v>
      </c>
      <c r="F12" s="15" t="n">
        <f aca="false">IFERROR(AVERAGEIF(Table1[month],"Sep-2024",Table1[rating]),0)</f>
        <v>1.35031847133758</v>
      </c>
    </row>
    <row r="13" customFormat="false" ht="15" hidden="false" customHeight="true" outlineLevel="0" collapsed="false">
      <c r="A13" s="14" t="n">
        <v>3</v>
      </c>
      <c r="B13" s="14" t="n">
        <f aca="false">COUNTIF(Table1[rating],3)</f>
        <v>188</v>
      </c>
      <c r="D13" s="14" t="s">
        <v>4658</v>
      </c>
      <c r="E13" s="14" t="n">
        <f aca="false">COUNTIF(Table1[month],"Oct-2024")</f>
        <v>822</v>
      </c>
      <c r="F13" s="15" t="n">
        <f aca="false">IFERROR(AVERAGEIF(Table1[month],"Oct-2024",Table1[rating]),0)</f>
        <v>1.92579075425791</v>
      </c>
    </row>
    <row r="14" customFormat="false" ht="15" hidden="false" customHeight="true" outlineLevel="0" collapsed="false">
      <c r="A14" s="14" t="n">
        <v>4</v>
      </c>
      <c r="B14" s="14" t="n">
        <f aca="false">COUNTIF(Table1[rating],4)</f>
        <v>225</v>
      </c>
      <c r="D14" s="14" t="s">
        <v>4659</v>
      </c>
      <c r="E14" s="14" t="n">
        <f aca="false">COUNTIF(Table1[month],"Nov-2024")</f>
        <v>1000</v>
      </c>
      <c r="F14" s="15" t="n">
        <f aca="false">IFERROR(AVERAGEIF(Table1[month],"Nov-2024",Table1[rating]),0)</f>
        <v>1.857</v>
      </c>
    </row>
    <row r="15" customFormat="false" ht="15" hidden="false" customHeight="true" outlineLevel="0" collapsed="false">
      <c r="A15" s="14" t="n">
        <v>5</v>
      </c>
      <c r="B15" s="14" t="n">
        <f aca="false">COUNTIF(Table1[rating],5)</f>
        <v>623</v>
      </c>
      <c r="D15" s="14" t="s">
        <v>4660</v>
      </c>
      <c r="E15" s="14" t="n">
        <f aca="false">COUNTIF(Table1[month],"Dec-2024")</f>
        <v>2212</v>
      </c>
      <c r="F15" s="15" t="n">
        <f aca="false">IFERROR(AVERAGEIF(Table1[month],"Dec-2024",Table1[rating]),0)</f>
        <v>1.91048824593128</v>
      </c>
    </row>
    <row r="16" customFormat="false" ht="15" hidden="false" customHeight="true" outlineLevel="0" collapsed="false">
      <c r="A16" s="17" t="s">
        <v>4661</v>
      </c>
      <c r="B16" s="17" t="n">
        <f aca="false">SUM(B11:B15)</f>
        <v>4620</v>
      </c>
    </row>
    <row r="19" customFormat="false" ht="15" hidden="false" customHeight="true" outlineLevel="0" collapsed="false">
      <c r="A19" s="12" t="s">
        <v>4662</v>
      </c>
    </row>
    <row r="20" customFormat="false" ht="15" hidden="false" customHeight="true" outlineLevel="0" collapsed="false">
      <c r="A20" s="13" t="s">
        <v>4641</v>
      </c>
      <c r="B20" s="13" t="s">
        <v>18</v>
      </c>
      <c r="C20" s="13" t="s">
        <v>32</v>
      </c>
      <c r="D20" s="13" t="s">
        <v>20</v>
      </c>
    </row>
    <row r="21" customFormat="false" ht="15" hidden="false" customHeight="true" outlineLevel="0" collapsed="false">
      <c r="A21" s="14" t="s">
        <v>4647</v>
      </c>
      <c r="B21" s="14" t="n">
        <f aca="false">COUNTIFS(Table1[platform],"blinkit",Table1[sentiment],"Positive")</f>
        <v>700</v>
      </c>
      <c r="C21" s="14" t="n">
        <f aca="false">COUNTIFS(Table1[platform],"blinkit",Table1[sentiment],"Neutral")</f>
        <v>39</v>
      </c>
      <c r="D21" s="14" t="n">
        <f aca="false">COUNTIFS(Table1[platform],"blinkit",Table1[sentiment],"Negative")</f>
        <v>641</v>
      </c>
    </row>
    <row r="22" customFormat="false" ht="15" hidden="false" customHeight="true" outlineLevel="0" collapsed="false">
      <c r="A22" s="14" t="s">
        <v>4648</v>
      </c>
      <c r="B22" s="14" t="n">
        <f aca="false">COUNTIFS(Table1[platform],"zepto",Table1[sentiment],"Positive")</f>
        <v>616</v>
      </c>
      <c r="C22" s="14" t="n">
        <f aca="false">COUNTIFS(Table1[platform],"zepto",Table1[sentiment],"Neutral")</f>
        <v>54</v>
      </c>
      <c r="D22" s="14" t="n">
        <f aca="false">COUNTIFS(Table1[platform],"zepto",Table1[sentiment],"Negative")</f>
        <v>1070</v>
      </c>
    </row>
    <row r="23" customFormat="false" ht="15" hidden="false" customHeight="true" outlineLevel="0" collapsed="false">
      <c r="A23" s="14" t="s">
        <v>4649</v>
      </c>
      <c r="B23" s="14" t="n">
        <f aca="false">COUNTIFS(Table1[platform],"jiomart",Table1[sentiment],"Positive")</f>
        <v>393</v>
      </c>
      <c r="C23" s="14" t="n">
        <f aca="false">COUNTIFS(Table1[platform],"jiomart",Table1[sentiment],"Neutral")</f>
        <v>69</v>
      </c>
      <c r="D23" s="14" t="n">
        <f aca="false">COUNTIFS(Table1[platform],"jiomart",Table1[sentiment],"Negative")</f>
        <v>1038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16"/>
  </cols>
  <sheetData>
    <row r="1" customFormat="false" ht="19.5" hidden="false" customHeight="true" outlineLevel="0" collapsed="false">
      <c r="A1" s="20" t="s">
        <v>4663</v>
      </c>
      <c r="B1" s="20"/>
      <c r="C1" s="20"/>
      <c r="D1" s="20"/>
      <c r="E1" s="20"/>
      <c r="F1" s="20"/>
    </row>
    <row r="4" customFormat="false" ht="30" hidden="false" customHeight="true" outlineLevel="0" collapsed="false">
      <c r="A4" s="21" t="s">
        <v>4664</v>
      </c>
      <c r="B4" s="22" t="s">
        <v>4665</v>
      </c>
      <c r="C4" s="22"/>
      <c r="D4" s="22"/>
      <c r="E4" s="22"/>
      <c r="F4" s="22"/>
    </row>
    <row r="6" customFormat="false" ht="30" hidden="false" customHeight="true" outlineLevel="0" collapsed="false">
      <c r="A6" s="21" t="s">
        <v>4666</v>
      </c>
      <c r="B6" s="22" t="s">
        <v>4667</v>
      </c>
      <c r="C6" s="22"/>
      <c r="D6" s="22"/>
      <c r="E6" s="22"/>
      <c r="F6" s="22"/>
    </row>
    <row r="8" customFormat="false" ht="30" hidden="false" customHeight="true" outlineLevel="0" collapsed="false">
      <c r="A8" s="21" t="s">
        <v>4668</v>
      </c>
      <c r="B8" s="22" t="s">
        <v>4669</v>
      </c>
      <c r="C8" s="22"/>
      <c r="D8" s="22"/>
      <c r="E8" s="22"/>
      <c r="F8" s="22"/>
    </row>
    <row r="10" customFormat="false" ht="30" hidden="false" customHeight="true" outlineLevel="0" collapsed="false">
      <c r="A10" s="21" t="s">
        <v>4670</v>
      </c>
      <c r="B10" s="22" t="s">
        <v>4671</v>
      </c>
      <c r="C10" s="22"/>
      <c r="D10" s="22"/>
      <c r="E10" s="22"/>
      <c r="F10" s="22"/>
    </row>
    <row r="12" customFormat="false" ht="45" hidden="false" customHeight="true" outlineLevel="0" collapsed="false">
      <c r="A12" s="21" t="s">
        <v>4672</v>
      </c>
      <c r="B12" s="22" t="s">
        <v>4673</v>
      </c>
      <c r="C12" s="22"/>
      <c r="D12" s="22"/>
      <c r="E12" s="22"/>
      <c r="F12" s="22"/>
    </row>
    <row r="14" customFormat="false" ht="60" hidden="false" customHeight="true" outlineLevel="0" collapsed="false">
      <c r="A14" s="21" t="s">
        <v>4674</v>
      </c>
      <c r="B14" s="22" t="s">
        <v>4675</v>
      </c>
      <c r="C14" s="22"/>
      <c r="D14" s="22"/>
      <c r="E14" s="22"/>
      <c r="F14" s="22"/>
    </row>
    <row r="16" customFormat="false" ht="45" hidden="false" customHeight="true" outlineLevel="0" collapsed="false">
      <c r="A16" s="21" t="s">
        <v>4676</v>
      </c>
      <c r="B16" s="22" t="s">
        <v>4677</v>
      </c>
      <c r="C16" s="22"/>
      <c r="D16" s="22"/>
      <c r="E16" s="22"/>
      <c r="F16" s="22"/>
    </row>
    <row r="18" customFormat="false" ht="45" hidden="false" customHeight="true" outlineLevel="0" collapsed="false">
      <c r="A18" s="21" t="s">
        <v>4678</v>
      </c>
      <c r="B18" s="22" t="s">
        <v>4679</v>
      </c>
      <c r="C18" s="22"/>
      <c r="D18" s="22"/>
      <c r="E18" s="22"/>
      <c r="F18" s="22"/>
    </row>
    <row r="20" customFormat="false" ht="19.5" hidden="false" customHeight="true" outlineLevel="0" collapsed="false">
      <c r="A20" s="21" t="s">
        <v>4680</v>
      </c>
      <c r="B20" s="22" t="s">
        <v>4681</v>
      </c>
      <c r="C20" s="22"/>
      <c r="D20" s="22"/>
      <c r="E20" s="22"/>
      <c r="F20" s="22"/>
    </row>
  </sheetData>
  <mergeCells count="10">
    <mergeCell ref="A1:F1"/>
    <mergeCell ref="B4:F4"/>
    <mergeCell ref="B6:F6"/>
    <mergeCell ref="B8:F8"/>
    <mergeCell ref="B10:F10"/>
    <mergeCell ref="B12:F12"/>
    <mergeCell ref="B14:F14"/>
    <mergeCell ref="B16:F16"/>
    <mergeCell ref="B18:F18"/>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2026-07-23T17:11:18Z</dcterms:created>
  <dc:creator>Lohith MH</dc:creator>
  <dc:description/>
  <dc:language>en-US</dc:language>
  <cp:lastModifiedBy/>
  <dcterms:modified xsi:type="dcterms:W3CDTF">2026-07-25T07:47:15Z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